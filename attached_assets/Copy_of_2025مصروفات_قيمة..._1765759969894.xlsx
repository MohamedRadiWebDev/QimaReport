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pivotTables/pivotTable2.xml" ContentType="application/vnd.openxmlformats-officedocument.spreadsheetml.pivotTable+xml"/>
  <Override PartName="/xl/tables/table5.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slicers/slicer2.xml" ContentType="application/vnd.ms-excel.slicer+xml"/>
  <Override PartName="/xl/drawings/drawing4.xml" ContentType="application/vnd.openxmlformats-officedocument.drawing+xml"/>
  <Override PartName="/xl/tables/table8.xml" ContentType="application/vnd.openxmlformats-officedocument.spreadsheetml.table+xml"/>
  <Override PartName="/xl/slicers/slicer3.xml" ContentType="application/vnd.ms-excel.slicer+xml"/>
  <Override PartName="/xl/comments3.xml" ContentType="application/vnd.openxmlformats-officedocument.spreadsheetml.comments+xml"/>
  <Override PartName="/xl/drawings/drawing5.xml" ContentType="application/vnd.openxmlformats-officedocument.drawing+xml"/>
  <Override PartName="/xl/tables/table9.xml" ContentType="application/vnd.openxmlformats-officedocument.spreadsheetml.table+xml"/>
  <Override PartName="/xl/slicers/slicer4.xml" ContentType="application/vnd.ms-excel.slicer+xml"/>
  <Override PartName="/xl/comments4.xml" ContentType="application/vnd.openxmlformats-officedocument.spreadsheetml.comments+xml"/>
  <Override PartName="/xl/drawings/drawing6.xml" ContentType="application/vnd.openxmlformats-officedocument.drawing+xml"/>
  <Override PartName="/xl/tables/table10.xml" ContentType="application/vnd.openxmlformats-officedocument.spreadsheetml.table+xml"/>
  <Override PartName="/xl/slicers/slicer5.xml" ContentType="application/vnd.ms-excel.slicer+xml"/>
  <Override PartName="/xl/pivotTables/pivotTable4.xml" ContentType="application/vnd.openxmlformats-officedocument.spreadsheetml.pivotTable+xml"/>
  <Override PartName="/xl/tables/table11.xml" ContentType="application/vnd.openxmlformats-officedocument.spreadsheetml.table+xml"/>
  <Override PartName="/xl/tables/table12.xml" ContentType="application/vnd.openxmlformats-officedocument.spreadsheetml.tab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Radi\Desktop\"/>
    </mc:Choice>
  </mc:AlternateContent>
  <xr:revisionPtr revIDLastSave="0" documentId="13_ncr:1_{D335F709-CF64-4628-9091-E521E75345D8}" xr6:coauthVersionLast="47" xr6:coauthVersionMax="47" xr10:uidLastSave="{00000000-0000-0000-0000-000000000000}"/>
  <bookViews>
    <workbookView xWindow="-120" yWindow="-120" windowWidth="20730" windowHeight="11160" firstSheet="4" activeTab="4" xr2:uid="{F21CE174-84A6-4E7D-B123-D16D543664D6}"/>
  </bookViews>
  <sheets>
    <sheet name="قاعدة بيانات  " sheetId="10" r:id="rId1"/>
    <sheet name="تحليلات 2024" sheetId="29" state="hidden" r:id="rId2"/>
    <sheet name="Report " sheetId="12" r:id="rId3"/>
    <sheet name="الايرادات " sheetId="9" r:id="rId4"/>
    <sheet name="الخزينه " sheetId="1" r:id="rId5"/>
    <sheet name="بنك مصر  " sheetId="4" r:id="rId6"/>
    <sheet name="خزينه السلف " sheetId="6" r:id="rId7"/>
    <sheet name="العهد " sheetId="7" r:id="rId8"/>
    <sheet name="بنك كريدي " sheetId="5" r:id="rId9"/>
    <sheet name="الاهلى الكويتى" sheetId="37" r:id="rId10"/>
    <sheet name="ايجي بنك" sheetId="41" r:id="rId11"/>
    <sheet name="بنك مصر  المنصورة" sheetId="33" r:id="rId12"/>
    <sheet name="فوري " sheetId="8" state="hidden" r:id="rId13"/>
    <sheet name="اجمالى راس المال" sheetId="3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xlnm._FilterDatabase" localSheetId="9" hidden="1">'الاهلى الكويتى'!$A$3:$G$439</definedName>
    <definedName name="_xlnm._FilterDatabase" localSheetId="3" hidden="1">'الايرادات '!$A$3:$O$150</definedName>
    <definedName name="_xlnm._FilterDatabase" localSheetId="8" hidden="1">'بنك كريدي '!$A$3:$G$854</definedName>
    <definedName name="_xlnm._FilterDatabase" localSheetId="5" hidden="1">'بنك مصر  '!$A$3:$G$665</definedName>
    <definedName name="_xlnm._FilterDatabase" localSheetId="11" hidden="1">'بنك مصر  المنصورة'!$A$3:$G$856</definedName>
    <definedName name="_xlnm._FilterDatabase" localSheetId="0" hidden="1">'قاعدة بيانات  '!$K$2:$T$321</definedName>
    <definedName name="_Key1" localSheetId="13" hidden="1">[1]ACCRCAI!#REF!</definedName>
    <definedName name="_Key1" hidden="1">[1]ACCRCAI!#REF!</definedName>
    <definedName name="_Order1" hidden="1">0</definedName>
    <definedName name="AAA" localSheetId="13">'[2]28-02-97'!#REF!</definedName>
    <definedName name="AAA">'[2]28-02-97'!#REF!</definedName>
    <definedName name="ACCRUAL">'[3]Acc&amp;Prep'!$A$1:$J$700</definedName>
    <definedName name="ACCRUALS">'[3]Acc&amp;Prep'!$D$701</definedName>
    <definedName name="AS2DocOpenMode" hidden="1">"AS2DocumentEdit"</definedName>
    <definedName name="Beg_Bal" localSheetId="13">#REF!</definedName>
    <definedName name="Beg_Bal">#REF!</definedName>
    <definedName name="CCY" localSheetId="13">#REF!</definedName>
    <definedName name="CCY">#REF!</definedName>
    <definedName name="copy.P_LtoAC" localSheetId="13">#REF!</definedName>
    <definedName name="copy.P_LtoAC">#REF!</definedName>
    <definedName name="copyCons_toAA" localSheetId="13">#REF!</definedName>
    <definedName name="copyCons_toAA">#REF!</definedName>
    <definedName name="_xlnm.Criteria" localSheetId="13">#REF!</definedName>
    <definedName name="_xlnm.Criteria">#REF!</definedName>
    <definedName name="Cum_Int" localSheetId="13">#REF!</definedName>
    <definedName name="Cum_Int">#REF!</definedName>
    <definedName name="Data" localSheetId="13">#REF!</definedName>
    <definedName name="Data">#REF!</definedName>
    <definedName name="data84">'[4]Purchase Order'!$E$52</definedName>
    <definedName name="Def.Income" localSheetId="13">#REF!</definedName>
    <definedName name="Def.Income">#REF!</definedName>
    <definedName name="Direct">[3]TB!$42:$124</definedName>
    <definedName name="dtrj" localSheetId="13">DATE(YEAR([5]Payments!Loan_Start),MONTH([5]Payments!Loan_Start)+Payment_Number,DAY([5]Payments!Loan_Start))</definedName>
    <definedName name="dtrj" localSheetId="9">DATE(YEAR([5]Payments!Loan_Start),MONTH([5]Payments!Loan_Start)+Payment_Number,DAY([5]Payments!Loan_Start))</definedName>
    <definedName name="dtrj" localSheetId="3">DATE(YEAR([5]Payments!Loan_Start),MONTH([5]Payments!Loan_Start)+Payment_Number,DAY([5]Payments!Loan_Start))</definedName>
    <definedName name="dtrj" localSheetId="7">DATE(YEAR([5]Payments!Loan_Start),MONTH([5]Payments!Loan_Start)+Payment_Number,DAY([5]Payments!Loan_Start))</definedName>
    <definedName name="dtrj" localSheetId="8">DATE(YEAR([5]Payments!Loan_Start),MONTH([5]Payments!Loan_Start)+Payment_Number,DAY([5]Payments!Loan_Start))</definedName>
    <definedName name="dtrj" localSheetId="11">DATE(YEAR([5]Payments!Loan_Start),MONTH([5]Payments!Loan_Start)+Payment_Number,DAY([5]Payments!Loan_Start))</definedName>
    <definedName name="dtrj" localSheetId="12">DATE(YEAR([5]Payments!Loan_Start),MONTH([5]Payments!Loan_Start)+Payment_Number,DAY([5]Payments!Loan_Start))</definedName>
    <definedName name="dtrj">DATE(YEAR([5]Payments!Loan_Start),MONTH([5]Payments!Loan_Start)+Payment_Number,DAY([5]Payments!Loan_Start))</definedName>
    <definedName name="End_Bal" localSheetId="13">#REF!</definedName>
    <definedName name="End_Bal">#REF!</definedName>
    <definedName name="Extra_Pay" localSheetId="13">#REF!</definedName>
    <definedName name="Extra_Pay">#REF!</definedName>
    <definedName name="Full_Print" localSheetId="13">#REF!</definedName>
    <definedName name="Full_Print">#REF!</definedName>
    <definedName name="Header_Row">ROW(#REF!)</definedName>
    <definedName name="Int" localSheetId="13">#REF!</definedName>
    <definedName name="Int">#REF!</definedName>
    <definedName name="Interest_Rate" localSheetId="13">#REF!</definedName>
    <definedName name="Interest_Rate">#REF!</definedName>
    <definedName name="Last_Row" localSheetId="13">IF('اجمالى راس المال'!Values_Entered,[6]!Header_Row+'اجمالى راس المال'!Number_of_Payments,[6]!Header_Row)</definedName>
    <definedName name="Last_Row" localSheetId="3">IF('الايرادات '!Values_Entered,Header_Row+'الايرادات '!Number_of_Payments,Header_Row)</definedName>
    <definedName name="Last_Row">IF(Values_Entered,Header_Row+Number_of_Payments,Header_Row)</definedName>
    <definedName name="Loan_Amount" localSheetId="13">#REF!</definedName>
    <definedName name="Loan_Amount">#REF!</definedName>
    <definedName name="Loan_Start" localSheetId="13">#REF!</definedName>
    <definedName name="Loan_Start">#REF!</definedName>
    <definedName name="Loan_Years" localSheetId="13">#REF!</definedName>
    <definedName name="Loan_Years">#REF!</definedName>
    <definedName name="MonthEnding" localSheetId="13">#REF!</definedName>
    <definedName name="MonthEnding">#REF!</definedName>
    <definedName name="nnn" localSheetId="13">Scheduled_Payment+Extra_Payment</definedName>
    <definedName name="nnn" localSheetId="9">Scheduled_Payment+Extra_Payment</definedName>
    <definedName name="nnn" localSheetId="3">Scheduled_Payment+Extra_Payment</definedName>
    <definedName name="nnn" localSheetId="7">Scheduled_Payment+Extra_Payment</definedName>
    <definedName name="nnn" localSheetId="8">Scheduled_Payment+Extra_Payment</definedName>
    <definedName name="nnn" localSheetId="11">Scheduled_Payment+Extra_Payment</definedName>
    <definedName name="nnn" localSheetId="12">Scheduled_Payment+Extra_Payment</definedName>
    <definedName name="nnn">Scheduled_Payment+Extra_Payment</definedName>
    <definedName name="Num_Pmt_Per_Year" localSheetId="13">#REF!</definedName>
    <definedName name="Num_Pmt_Per_Year">#REF!</definedName>
    <definedName name="Number_of_Payments" localSheetId="13">MATCH(0.01,'اجمالى راس المال'!End_Bal,-1)+1</definedName>
    <definedName name="Number_of_Payments" localSheetId="3">MATCH(0.01,End_Bal,-1)+1</definedName>
    <definedName name="Number_of_Payments">MATCH(0.01,End_Bal,-1)+1</definedName>
    <definedName name="Pay_Date" localSheetId="13">#REF!</definedName>
    <definedName name="Pay_Date">#REF!</definedName>
    <definedName name="Pay_Num" localSheetId="13">#REF!</definedName>
    <definedName name="Pay_Num">#REF!</definedName>
    <definedName name="Payment_Date" localSheetId="13">DATE(YEAR('اجمالى راس المال'!Loan_Start),MONTH('اجمالى راس المال'!Loan_Start)+Payment_Number,DAY('اجمالى راس المال'!Loan_Start))</definedName>
    <definedName name="Payment_Date" localSheetId="9">DATE(YEAR([6]!Loan_Start),MONTH([6]!Loan_Start)+Payment_Number,DAY([6]!Loan_Start))</definedName>
    <definedName name="Payment_Date" localSheetId="3">DATE(YEAR(Loan_Start),MONTH(Loan_Start)+Payment_Number,DAY(Loan_Start))</definedName>
    <definedName name="Payment_Date" localSheetId="7">DATE(YEAR([7]!Loan_Start),MONTH([7]!Loan_Start)+Payment_Number,DAY([7]!Loan_Start))</definedName>
    <definedName name="Payment_Date" localSheetId="8">DATE(YEAR([7]!Loan_Start),MONTH([7]!Loan_Start)+Payment_Number,DAY([7]!Loan_Start))</definedName>
    <definedName name="Payment_Date" localSheetId="11">DATE(YEAR([6]!Loan_Start),MONTH([6]!Loan_Start)+Payment_Number,DAY([6]!Loan_Start))</definedName>
    <definedName name="Payment_Date" localSheetId="12">DATE(YEAR([7]!Loan_Start),MONTH([7]!Loan_Start)+Payment_Number,DAY([7]!Loan_Start))</definedName>
    <definedName name="Payment_Date">DATE(YEAR(Loan_Start),MONTH(Loan_Start)+Payment_Number,DAY(Loan_Start))</definedName>
    <definedName name="Period" localSheetId="13">#REF!</definedName>
    <definedName name="Period">#REF!</definedName>
    <definedName name="Princ" localSheetId="13">#REF!</definedName>
    <definedName name="Princ">#REF!</definedName>
    <definedName name="print.accruals">'[8]Accruals CPT'!$A$1:$G$469</definedName>
    <definedName name="print.B_S" localSheetId="13">#REF!</definedName>
    <definedName name="print.B_S">#REF!</definedName>
    <definedName name="Print.Bus_Tours" localSheetId="13">#REF!</definedName>
    <definedName name="Print.Bus_Tours">#REF!</definedName>
    <definedName name="_xlnm.Print_Area" localSheetId="2">'Report '!$A$1:$M$75</definedName>
    <definedName name="_xlnm.Print_Area" localSheetId="13">'اجمالى راس المال'!$A$1:$G$65</definedName>
    <definedName name="_xlnm.Print_Area" localSheetId="9">'الاهلى الكويتى'!$A$1:$J$438</definedName>
    <definedName name="_xlnm.Print_Area" localSheetId="3">'الايرادات '!$A$1:$T$151</definedName>
    <definedName name="_xlnm.Print_Area" localSheetId="4">'الخزينه '!$A$1:$R$556</definedName>
    <definedName name="_xlnm.Print_Area" localSheetId="7">'العهد '!$A$1:$L$23</definedName>
    <definedName name="_xlnm.Print_Area" localSheetId="8">'بنك كريدي '!$A$1:$J$854</definedName>
    <definedName name="_xlnm.Print_Area" localSheetId="5">'بنك مصر  '!$A$1:$J$673</definedName>
    <definedName name="_xlnm.Print_Area" localSheetId="11">'بنك مصر  المنصورة'!$A$1:$J$856</definedName>
    <definedName name="_xlnm.Print_Area" localSheetId="6">'خزينه السلف '!$A$1:$I$21</definedName>
    <definedName name="_xlnm.Print_Area" localSheetId="0">'قاعدة بيانات  '!$A$1:$T$325</definedName>
    <definedName name="Print_Area_MI" localSheetId="13">'[2]28-02-97'!#REF!</definedName>
    <definedName name="Print_Area_MI">'[2]28-02-97'!#REF!</definedName>
    <definedName name="Print_Area_Reset" localSheetId="13">OFFSET('اجمالى راس المال'!Full_Print,0,0,'اجمالى راس المال'!Last_Row)</definedName>
    <definedName name="Print_Area_Reset" localSheetId="3">OFFSET(Full_Print,0,0,'الايرادات '!Last_Row)</definedName>
    <definedName name="Print_Area_Reset">OFFSET(Full_Print,0,0,Last_Row)</definedName>
    <definedName name="Salaries_Template">#N/A</definedName>
    <definedName name="sales">[3]TB!$8:$38</definedName>
    <definedName name="Sched_Pay" localSheetId="13">#REF!</definedName>
    <definedName name="Sched_Pay">#REF!</definedName>
    <definedName name="Scheduled_Extra_Payments" localSheetId="13">#REF!</definedName>
    <definedName name="Scheduled_Extra_Payments">#REF!</definedName>
    <definedName name="Scheduled_Interest_Rate" localSheetId="13">#REF!</definedName>
    <definedName name="Scheduled_Interest_Rate">#REF!</definedName>
    <definedName name="Scheduled_Monthly_Payment" localSheetId="13">#REF!</definedName>
    <definedName name="Scheduled_Monthly_Payment">#REF!</definedName>
    <definedName name="Slicer_الشهر">#N/A</definedName>
    <definedName name="Slicer_الشهر1">#N/A</definedName>
    <definedName name="Slicer_الشهر2">#N/A</definedName>
    <definedName name="Slicer_الشهر3">#N/A</definedName>
    <definedName name="Slicer_الشهر321">#N/A</definedName>
    <definedName name="Total_Interest" localSheetId="13">#REF!</definedName>
    <definedName name="Total_Interest">#REF!</definedName>
    <definedName name="Total_Pay" localSheetId="13">#REF!</definedName>
    <definedName name="Total_Pay">#REF!</definedName>
    <definedName name="Total_Payment" localSheetId="13">Scheduled_Payment+Extra_Payment</definedName>
    <definedName name="Total_Payment" localSheetId="9">Scheduled_Payment+Extra_Payment</definedName>
    <definedName name="Total_Payment" localSheetId="3">Scheduled_Payment+Extra_Payment</definedName>
    <definedName name="Total_Payment" localSheetId="7">Scheduled_Payment+Extra_Payment</definedName>
    <definedName name="Total_Payment" localSheetId="8">Scheduled_Payment+Extra_Payment</definedName>
    <definedName name="Total_Payment" localSheetId="11">Scheduled_Payment+Extra_Payment</definedName>
    <definedName name="Total_Payment" localSheetId="12">Scheduled_Payment+Extra_Payment</definedName>
    <definedName name="Total_Payment">Scheduled_Payment+Extra_Payment</definedName>
    <definedName name="Values_Entered" localSheetId="13">IF('اجمالى راس المال'!Loan_Amount*'اجمالى راس المال'!Interest_Rate*'اجمالى راس المال'!Loan_Years*'اجمالى راس المال'!Loan_Start&gt;0,1,0)</definedName>
    <definedName name="Values_Entered" localSheetId="3">IF(Loan_Amount*Interest_Rate*Loan_Years*Loan_Start&gt;0,1,0)</definedName>
    <definedName name="Values_Entered">IF(Loan_Amount*Interest_Rate*Loan_Years*Loan_Start&gt;0,1,0)</definedName>
    <definedName name="XREF_COLUMN_1" localSheetId="13" hidden="1">#REF!</definedName>
    <definedName name="XREF_COLUMN_1" hidden="1">#REF!</definedName>
    <definedName name="XRefActiveRow" localSheetId="13" hidden="1">#REF!</definedName>
    <definedName name="XRefActiveRow" hidden="1">#REF!</definedName>
    <definedName name="XRefColumnsCount" hidden="1">1</definedName>
    <definedName name="XRefPaste2" localSheetId="13" hidden="1">#REF!</definedName>
    <definedName name="XRefPaste2" hidden="1">#REF!</definedName>
    <definedName name="XRefPaste2Row" localSheetId="13" hidden="1">#REF!</definedName>
    <definedName name="XRefPaste2Row" hidden="1">#REF!</definedName>
    <definedName name="XRefPasteRangeCount" hidden="1">2</definedName>
    <definedName name="ميزان_المراجعة___غير_مرحل" localSheetId="13">#REF!</definedName>
    <definedName name="ميزان_المراجعة___غير_مرحل">#REF!</definedName>
  </definedNames>
  <calcPr calcId="191029"/>
  <pivotCaches>
    <pivotCache cacheId="0" r:id="rId29"/>
    <pivotCache cacheId="1" r:id="rId30"/>
    <pivotCache cacheId="2" r:id="rId3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2"/>
        <x14:slicerCache r:id="rId33"/>
        <x14:slicerCache r:id="rId34"/>
        <x14:slicerCache r:id="rId35"/>
        <x14:slicerCache r:id="rId36"/>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04" i="7" l="1"/>
  <c r="D93" i="7" l="1"/>
  <c r="B93" i="7"/>
  <c r="D92" i="7"/>
  <c r="B92" i="7"/>
  <c r="D91" i="7"/>
  <c r="B91" i="7"/>
  <c r="K107" i="7"/>
  <c r="J107" i="7"/>
  <c r="D103" i="7"/>
  <c r="I124" i="7" l="1"/>
  <c r="H130" i="7"/>
  <c r="H129" i="7"/>
  <c r="H128" i="7"/>
  <c r="H127" i="7"/>
  <c r="J127" i="7" s="1"/>
  <c r="H126" i="7"/>
  <c r="H124" i="7"/>
  <c r="H120" i="7"/>
  <c r="K53" i="7" l="1"/>
  <c r="K23" i="7" l="1"/>
  <c r="K68" i="7"/>
  <c r="K14" i="7"/>
  <c r="K34" i="7"/>
  <c r="K32" i="7"/>
  <c r="M111" i="7"/>
  <c r="L113" i="7"/>
  <c r="K111" i="7"/>
  <c r="J112" i="7"/>
  <c r="I112" i="7"/>
  <c r="D97" i="7" l="1"/>
  <c r="H621" i="4" l="1"/>
  <c r="B89" i="7"/>
  <c r="D89" i="7"/>
  <c r="B88" i="7"/>
  <c r="D88" i="7"/>
  <c r="K11" i="7" l="1"/>
  <c r="K9" i="7" l="1"/>
  <c r="K35" i="7"/>
  <c r="K66" i="7"/>
  <c r="B3" i="7"/>
  <c r="D3" i="7"/>
  <c r="B4" i="7"/>
  <c r="D4" i="7"/>
  <c r="B5" i="7"/>
  <c r="D5" i="7"/>
  <c r="B6" i="7"/>
  <c r="D6" i="7"/>
  <c r="B7" i="7"/>
  <c r="D7" i="7"/>
  <c r="B8" i="7"/>
  <c r="D8" i="7"/>
  <c r="B9" i="7"/>
  <c r="B10" i="7"/>
  <c r="B11" i="7"/>
  <c r="D11" i="7"/>
  <c r="B12" i="7"/>
  <c r="D12" i="7"/>
  <c r="B13" i="7"/>
  <c r="D13" i="7"/>
  <c r="B14" i="7"/>
  <c r="D14" i="7"/>
  <c r="B15" i="7"/>
  <c r="D15" i="7"/>
  <c r="B16" i="7"/>
  <c r="B17" i="7"/>
  <c r="D17" i="7"/>
  <c r="B18" i="7"/>
  <c r="D18" i="7"/>
  <c r="B20" i="7"/>
  <c r="D20" i="7"/>
  <c r="B19" i="7"/>
  <c r="D19" i="7"/>
  <c r="B21" i="7"/>
  <c r="D21" i="7"/>
  <c r="B22" i="7"/>
  <c r="D22" i="7"/>
  <c r="B23" i="7"/>
  <c r="D23" i="7"/>
  <c r="B24" i="7"/>
  <c r="D24" i="7"/>
  <c r="B25" i="7"/>
  <c r="D25" i="7"/>
  <c r="B26" i="7"/>
  <c r="D26" i="7"/>
  <c r="B27" i="7"/>
  <c r="D27" i="7"/>
  <c r="B28" i="7"/>
  <c r="D28" i="7"/>
  <c r="B29" i="7"/>
  <c r="D29" i="7"/>
  <c r="B30" i="7"/>
  <c r="D30" i="7"/>
  <c r="B31" i="7"/>
  <c r="D31" i="7"/>
  <c r="B32" i="7"/>
  <c r="D32" i="7"/>
  <c r="B33" i="7"/>
  <c r="D33" i="7"/>
  <c r="B34" i="7"/>
  <c r="B35" i="7"/>
  <c r="D35" i="7"/>
  <c r="B36" i="7"/>
  <c r="D36" i="7"/>
  <c r="B37" i="7"/>
  <c r="D37" i="7"/>
  <c r="B38" i="7"/>
  <c r="D38" i="7"/>
  <c r="B39" i="7"/>
  <c r="D39" i="7"/>
  <c r="B40" i="7"/>
  <c r="D40" i="7"/>
  <c r="B41" i="7"/>
  <c r="D41" i="7"/>
  <c r="B42" i="7"/>
  <c r="D42" i="7"/>
  <c r="B43" i="7"/>
  <c r="D43" i="7"/>
  <c r="B44" i="7"/>
  <c r="D44" i="7"/>
  <c r="B45" i="7"/>
  <c r="D45" i="7"/>
  <c r="B46" i="7"/>
  <c r="D46" i="7"/>
  <c r="B47" i="7"/>
  <c r="D47" i="7"/>
  <c r="B48" i="7"/>
  <c r="D48" i="7"/>
  <c r="B49" i="7"/>
  <c r="D49" i="7"/>
  <c r="B50" i="7"/>
  <c r="D50" i="7"/>
  <c r="B51" i="7"/>
  <c r="D51" i="7"/>
  <c r="B52" i="7"/>
  <c r="D52" i="7"/>
  <c r="B53" i="7"/>
  <c r="D53" i="7"/>
  <c r="B54" i="7"/>
  <c r="D54" i="7"/>
  <c r="B55" i="7"/>
  <c r="B56" i="7"/>
  <c r="D56" i="7"/>
  <c r="B57" i="7"/>
  <c r="D57" i="7"/>
  <c r="B58" i="7"/>
  <c r="D58" i="7"/>
  <c r="B59" i="7"/>
  <c r="D59" i="7"/>
  <c r="B60" i="7"/>
  <c r="D60" i="7"/>
  <c r="B61" i="7"/>
  <c r="D61" i="7"/>
  <c r="B62" i="7"/>
  <c r="D62" i="7"/>
  <c r="B63" i="7"/>
  <c r="D63" i="7"/>
  <c r="B64" i="7"/>
  <c r="D64" i="7"/>
  <c r="B65" i="7"/>
  <c r="D65" i="7"/>
  <c r="B66" i="7"/>
  <c r="D66" i="7"/>
  <c r="B67" i="7"/>
  <c r="D67" i="7"/>
  <c r="B68" i="7"/>
  <c r="D68" i="7"/>
  <c r="B69" i="7"/>
  <c r="D69" i="7"/>
  <c r="B70" i="7"/>
  <c r="B71" i="7"/>
  <c r="D71" i="7"/>
  <c r="B72" i="7"/>
  <c r="D72" i="7"/>
  <c r="B73" i="7"/>
  <c r="D73" i="7"/>
  <c r="B74" i="7"/>
  <c r="D74" i="7"/>
  <c r="B75" i="7"/>
  <c r="B76" i="7"/>
  <c r="D76" i="7"/>
  <c r="B77" i="7"/>
  <c r="D77" i="7"/>
  <c r="B78" i="7"/>
  <c r="D78" i="7"/>
  <c r="B79" i="7"/>
  <c r="D79" i="7"/>
  <c r="B80" i="7"/>
  <c r="D80" i="7"/>
  <c r="B81" i="7"/>
  <c r="D81" i="7"/>
  <c r="B82" i="7"/>
  <c r="D82" i="7"/>
  <c r="B83" i="7"/>
  <c r="D83" i="7"/>
  <c r="B84" i="7"/>
  <c r="D84" i="7"/>
  <c r="B85" i="7"/>
  <c r="D85" i="7"/>
  <c r="B86" i="7"/>
  <c r="D86" i="7"/>
  <c r="B87" i="7"/>
  <c r="D87" i="7"/>
  <c r="B90" i="7"/>
  <c r="D90" i="7"/>
  <c r="B94" i="7"/>
  <c r="D94" i="7"/>
  <c r="B95" i="7"/>
  <c r="D95" i="7"/>
  <c r="B96" i="7"/>
  <c r="D96" i="7"/>
  <c r="B97" i="7"/>
  <c r="B98" i="7"/>
  <c r="D98" i="7"/>
  <c r="B99" i="7"/>
  <c r="D99" i="7"/>
  <c r="B100" i="7"/>
  <c r="D100" i="7"/>
  <c r="B101" i="7"/>
  <c r="B102" i="7"/>
  <c r="D102" i="7"/>
  <c r="B103" i="7"/>
  <c r="B104" i="7"/>
  <c r="D104" i="7"/>
  <c r="B105" i="7"/>
  <c r="D105" i="7"/>
  <c r="B106" i="7"/>
  <c r="D106" i="7"/>
  <c r="D38" i="12" l="1"/>
  <c r="D37" i="12"/>
  <c r="D36" i="12"/>
  <c r="D35" i="12"/>
  <c r="A92" i="5" l="1"/>
  <c r="A93" i="5" s="1"/>
  <c r="A94" i="5" s="1"/>
  <c r="A95" i="5"/>
  <c r="A96" i="5" s="1"/>
  <c r="A97" i="5" s="1"/>
  <c r="A98" i="5" s="1"/>
  <c r="A99" i="5"/>
  <c r="A100" i="5" s="1"/>
  <c r="A101" i="5" s="1"/>
  <c r="A102" i="5" s="1"/>
  <c r="A103" i="5" s="1"/>
  <c r="A104" i="5" s="1"/>
  <c r="A105" i="5" s="1"/>
  <c r="A106" i="5" s="1"/>
  <c r="A107" i="5"/>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A225" i="5" s="1"/>
  <c r="A226" i="5" s="1"/>
  <c r="A227" i="5" s="1"/>
  <c r="A228" i="5" s="1"/>
  <c r="A229" i="5" s="1"/>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6" i="5" s="1"/>
  <c r="A257" i="5" s="1"/>
  <c r="A258" i="5" s="1"/>
  <c r="A259" i="5" s="1"/>
  <c r="A260" i="5" s="1"/>
  <c r="A261" i="5" s="1"/>
  <c r="A262" i="5" s="1"/>
  <c r="A263" i="5" s="1"/>
  <c r="A264" i="5" s="1"/>
  <c r="A265" i="5" s="1"/>
  <c r="A266" i="5" s="1"/>
  <c r="A267" i="5" s="1"/>
  <c r="A268" i="5" s="1"/>
  <c r="A269" i="5" s="1"/>
  <c r="A270" i="5" s="1"/>
  <c r="A271" i="5" s="1"/>
  <c r="A272" i="5" s="1"/>
  <c r="A273" i="5" s="1"/>
  <c r="A274" i="5" s="1"/>
  <c r="A275" i="5" s="1"/>
  <c r="A276" i="5" s="1"/>
  <c r="A277" i="5" s="1"/>
  <c r="A278" i="5" s="1"/>
  <c r="A279" i="5" s="1"/>
  <c r="A280" i="5" s="1"/>
  <c r="A281" i="5" s="1"/>
  <c r="A282" i="5" s="1"/>
  <c r="A283" i="5" s="1"/>
  <c r="A284" i="5" s="1"/>
  <c r="A285" i="5" s="1"/>
  <c r="A286" i="5" s="1"/>
  <c r="A287" i="5" s="1"/>
  <c r="A288" i="5" s="1"/>
  <c r="A289" i="5" s="1"/>
  <c r="A290" i="5" s="1"/>
  <c r="A291" i="5" s="1"/>
  <c r="A292" i="5" s="1"/>
  <c r="A293" i="5" s="1"/>
  <c r="A294" i="5" s="1"/>
  <c r="A295" i="5" s="1"/>
  <c r="A296" i="5" s="1"/>
  <c r="A297" i="5" s="1"/>
  <c r="A298" i="5" s="1"/>
  <c r="A299" i="5" s="1"/>
  <c r="A300" i="5" s="1"/>
  <c r="A301" i="5" s="1"/>
  <c r="A302" i="5" s="1"/>
  <c r="A303" i="5" s="1"/>
  <c r="A304" i="5" s="1"/>
  <c r="A305" i="5" s="1"/>
  <c r="A306" i="5" s="1"/>
  <c r="A307" i="5" s="1"/>
  <c r="A308" i="5" s="1"/>
  <c r="A309" i="5" s="1"/>
  <c r="A310" i="5" s="1"/>
  <c r="A311" i="5" s="1"/>
  <c r="A312" i="5" s="1"/>
  <c r="A313" i="5" s="1"/>
  <c r="A314" i="5" s="1"/>
  <c r="A315" i="5" s="1"/>
  <c r="A316" i="5" s="1"/>
  <c r="A317" i="5" s="1"/>
  <c r="A318" i="5" s="1"/>
  <c r="A319" i="5" s="1"/>
  <c r="A320" i="5" s="1"/>
  <c r="A321" i="5" s="1"/>
  <c r="A322" i="5" s="1"/>
  <c r="A323" i="5" s="1"/>
  <c r="A324" i="5" s="1"/>
  <c r="A325" i="5" s="1"/>
  <c r="A326" i="5" s="1"/>
  <c r="A327" i="5" s="1"/>
  <c r="A328" i="5" s="1"/>
  <c r="A329" i="5" s="1"/>
  <c r="A330" i="5" s="1"/>
  <c r="A331" i="5" s="1"/>
  <c r="A332" i="5" s="1"/>
  <c r="A333" i="5" s="1"/>
  <c r="A334" i="5" s="1"/>
  <c r="A335" i="5" s="1"/>
  <c r="A336" i="5" s="1"/>
  <c r="A337" i="5" s="1"/>
  <c r="A338" i="5" s="1"/>
  <c r="A339" i="5" s="1"/>
  <c r="A340" i="5" s="1"/>
  <c r="A341" i="5" s="1"/>
  <c r="A342" i="5" s="1"/>
  <c r="A343" i="5" s="1"/>
  <c r="A344" i="5" s="1"/>
  <c r="A345" i="5" s="1"/>
  <c r="A346" i="5" s="1"/>
  <c r="A347" i="5" s="1"/>
  <c r="A348" i="5" s="1"/>
  <c r="A349" i="5" s="1"/>
  <c r="A350" i="5" s="1"/>
  <c r="A351" i="5" s="1"/>
  <c r="A352" i="5" s="1"/>
  <c r="A353" i="5" s="1"/>
  <c r="A354" i="5" s="1"/>
  <c r="A355" i="5" s="1"/>
  <c r="A356" i="5" s="1"/>
  <c r="A357" i="5" s="1"/>
  <c r="A358" i="5" s="1"/>
  <c r="A359" i="5" s="1"/>
  <c r="A360" i="5" s="1"/>
  <c r="A361" i="5" s="1"/>
  <c r="A362" i="5" s="1"/>
  <c r="A363" i="5" s="1"/>
  <c r="A364" i="5" s="1"/>
  <c r="A365" i="5" s="1"/>
  <c r="A366" i="5" s="1"/>
  <c r="A367" i="5" s="1"/>
  <c r="A368" i="5" s="1"/>
  <c r="A369" i="5" s="1"/>
  <c r="A370" i="5" s="1"/>
  <c r="A371" i="5" s="1"/>
  <c r="A372" i="5" s="1"/>
  <c r="A373" i="5" s="1"/>
  <c r="A374" i="5" s="1"/>
  <c r="A375" i="5" s="1"/>
  <c r="A376" i="5" s="1"/>
  <c r="A377" i="5" s="1"/>
  <c r="A378" i="5" s="1"/>
  <c r="A379" i="5" s="1"/>
  <c r="A380" i="5" s="1"/>
  <c r="A381" i="5" s="1"/>
  <c r="A382" i="5" s="1"/>
  <c r="A383" i="5" s="1"/>
  <c r="A384" i="5" s="1"/>
  <c r="A385" i="5" s="1"/>
  <c r="A386" i="5" s="1"/>
  <c r="A387" i="5" s="1"/>
  <c r="A388" i="5" s="1"/>
  <c r="A389" i="5" s="1"/>
  <c r="A390" i="5" s="1"/>
  <c r="A391" i="5" s="1"/>
  <c r="A392" i="5" s="1"/>
  <c r="A393" i="5" s="1"/>
  <c r="A394" i="5" s="1"/>
  <c r="A395" i="5" s="1"/>
  <c r="A396" i="5" s="1"/>
  <c r="A397" i="5" s="1"/>
  <c r="A398" i="5" s="1"/>
  <c r="A399" i="5" s="1"/>
  <c r="A400" i="5" s="1"/>
  <c r="A401" i="5" s="1"/>
  <c r="A402" i="5" s="1"/>
  <c r="A403" i="5" s="1"/>
  <c r="A404" i="5" s="1"/>
  <c r="A405" i="5" s="1"/>
  <c r="A406" i="5" s="1"/>
  <c r="A407" i="5" s="1"/>
  <c r="A408" i="5" s="1"/>
  <c r="A409" i="5" s="1"/>
  <c r="A410" i="5" s="1"/>
  <c r="A411" i="5" s="1"/>
  <c r="A412" i="5" s="1"/>
  <c r="A413" i="5" s="1"/>
  <c r="A414" i="5" s="1"/>
  <c r="A415" i="5" s="1"/>
  <c r="A416" i="5" s="1"/>
  <c r="A417" i="5" s="1"/>
  <c r="A418" i="5" s="1"/>
  <c r="A419" i="5" s="1"/>
  <c r="A420" i="5" s="1"/>
  <c r="A421" i="5" s="1"/>
  <c r="A422" i="5" s="1"/>
  <c r="A423" i="5" s="1"/>
  <c r="A424" i="5" s="1"/>
  <c r="A425" i="5" s="1"/>
  <c r="A426" i="5" s="1"/>
  <c r="A427" i="5" s="1"/>
  <c r="A428" i="5" s="1"/>
  <c r="A429" i="5" s="1"/>
  <c r="A430" i="5" s="1"/>
  <c r="A431" i="5" s="1"/>
  <c r="A432" i="5" s="1"/>
  <c r="A433" i="5" s="1"/>
  <c r="A434" i="5" s="1"/>
  <c r="A435" i="5" s="1"/>
  <c r="A436" i="5" s="1"/>
  <c r="A437" i="5" s="1"/>
  <c r="A438" i="5" s="1"/>
  <c r="A439" i="5" s="1"/>
  <c r="A440" i="5" s="1"/>
  <c r="A441" i="5" s="1"/>
  <c r="A442" i="5" s="1"/>
  <c r="A443" i="5" s="1"/>
  <c r="A444" i="5" s="1"/>
  <c r="A445" i="5" s="1"/>
  <c r="A446" i="5" s="1"/>
  <c r="A447" i="5" s="1"/>
  <c r="A448" i="5" s="1"/>
  <c r="A449" i="5" s="1"/>
  <c r="A450" i="5" s="1"/>
  <c r="A451" i="5" s="1"/>
  <c r="A452" i="5" s="1"/>
  <c r="A453" i="5" s="1"/>
  <c r="A454" i="5" s="1"/>
  <c r="A455" i="5" s="1"/>
  <c r="A456" i="5" s="1"/>
  <c r="A457" i="5" s="1"/>
  <c r="A458" i="5" s="1"/>
  <c r="A459" i="5" s="1"/>
  <c r="A460" i="5" s="1"/>
  <c r="A461" i="5" s="1"/>
  <c r="A462" i="5" s="1"/>
  <c r="A463" i="5" s="1"/>
  <c r="A464" i="5" s="1"/>
  <c r="A465" i="5" s="1"/>
  <c r="A466" i="5" s="1"/>
  <c r="A467" i="5" s="1"/>
  <c r="A468" i="5" s="1"/>
  <c r="A469" i="5" s="1"/>
  <c r="A470" i="5" s="1"/>
  <c r="A471" i="5" s="1"/>
  <c r="A472" i="5" s="1"/>
  <c r="A473" i="5" s="1"/>
  <c r="A474" i="5" s="1"/>
  <c r="A475" i="5" s="1"/>
  <c r="A476" i="5" s="1"/>
  <c r="A477" i="5" s="1"/>
  <c r="A478" i="5" s="1"/>
  <c r="A479" i="5" s="1"/>
  <c r="A480" i="5" s="1"/>
  <c r="A481" i="5" s="1"/>
  <c r="A482" i="5" s="1"/>
  <c r="A483" i="5" s="1"/>
  <c r="A484" i="5" s="1"/>
  <c r="A485" i="5" s="1"/>
  <c r="A486" i="5" s="1"/>
  <c r="A487" i="5" s="1"/>
  <c r="A488" i="5" s="1"/>
  <c r="A489" i="5" s="1"/>
  <c r="A490" i="5" s="1"/>
  <c r="A491" i="5" s="1"/>
  <c r="A492" i="5" s="1"/>
  <c r="A493" i="5" s="1"/>
  <c r="A494" i="5" s="1"/>
  <c r="A495" i="5" s="1"/>
  <c r="A496" i="5" s="1"/>
  <c r="A497" i="5" s="1"/>
  <c r="A498" i="5" s="1"/>
  <c r="A499" i="5" s="1"/>
  <c r="A500" i="5" s="1"/>
  <c r="A501" i="5" s="1"/>
  <c r="A502" i="5" s="1"/>
  <c r="A503" i="5" s="1"/>
  <c r="A504" i="5" s="1"/>
  <c r="A505" i="5" s="1"/>
  <c r="A506" i="5" s="1"/>
  <c r="A507" i="5" s="1"/>
  <c r="A508" i="5" s="1"/>
  <c r="A509" i="5" s="1"/>
  <c r="A510" i="5" s="1"/>
  <c r="A511" i="5" s="1"/>
  <c r="A512" i="5" s="1"/>
  <c r="A513" i="5" s="1"/>
  <c r="A514" i="5" s="1"/>
  <c r="A515" i="5" s="1"/>
  <c r="A516" i="5" s="1"/>
  <c r="A517" i="5" s="1"/>
  <c r="A518" i="5" s="1"/>
  <c r="A519" i="5" s="1"/>
  <c r="A520" i="5" s="1"/>
  <c r="A521" i="5" s="1"/>
  <c r="A522" i="5" s="1"/>
  <c r="A523" i="5" s="1"/>
  <c r="A524" i="5" s="1"/>
  <c r="A525" i="5" s="1"/>
  <c r="A526" i="5" s="1"/>
  <c r="A527" i="5" s="1"/>
  <c r="A528" i="5" s="1"/>
  <c r="A529" i="5" s="1"/>
  <c r="A530" i="5" s="1"/>
  <c r="A531" i="5" s="1"/>
  <c r="A532" i="5" s="1"/>
  <c r="A533" i="5" s="1"/>
  <c r="A534" i="5" s="1"/>
  <c r="A535" i="5" s="1"/>
  <c r="A536" i="5" s="1"/>
  <c r="A537" i="5" s="1"/>
  <c r="A538" i="5" s="1"/>
  <c r="A539" i="5" s="1"/>
  <c r="A540" i="5" s="1"/>
  <c r="A541" i="5" s="1"/>
  <c r="A542" i="5" s="1"/>
  <c r="A543" i="5" s="1"/>
  <c r="A544" i="5" s="1"/>
  <c r="A545" i="5" s="1"/>
  <c r="A546" i="5" s="1"/>
  <c r="A547" i="5" s="1"/>
  <c r="A548" i="5" s="1"/>
  <c r="A549" i="5" s="1"/>
  <c r="A550" i="5" s="1"/>
  <c r="A551" i="5" s="1"/>
  <c r="A552" i="5" s="1"/>
  <c r="A553" i="5" s="1"/>
  <c r="A554" i="5" s="1"/>
  <c r="A555" i="5" s="1"/>
  <c r="A556" i="5" s="1"/>
  <c r="A557" i="5" s="1"/>
  <c r="A558" i="5" s="1"/>
  <c r="A559" i="5" s="1"/>
  <c r="A560" i="5" s="1"/>
  <c r="A561" i="5" s="1"/>
  <c r="A562" i="5" s="1"/>
  <c r="A563" i="5" s="1"/>
  <c r="A564" i="5" s="1"/>
  <c r="A565" i="5" s="1"/>
  <c r="A566" i="5" s="1"/>
  <c r="A567" i="5" s="1"/>
  <c r="A568" i="5" s="1"/>
  <c r="A569" i="5" s="1"/>
  <c r="A570" i="5" s="1"/>
  <c r="A571" i="5" s="1"/>
  <c r="A572" i="5" s="1"/>
  <c r="A573" i="5" s="1"/>
  <c r="A574" i="5" s="1"/>
  <c r="A575" i="5" s="1"/>
  <c r="A576" i="5" s="1"/>
  <c r="A577" i="5" s="1"/>
  <c r="A578" i="5" s="1"/>
  <c r="A579" i="5" s="1"/>
  <c r="A580" i="5" s="1"/>
  <c r="A581" i="5" s="1"/>
  <c r="A582" i="5" s="1"/>
  <c r="A583" i="5" s="1"/>
  <c r="A584" i="5" s="1"/>
  <c r="A585" i="5" s="1"/>
  <c r="A586" i="5" s="1"/>
  <c r="A587" i="5" s="1"/>
  <c r="A588" i="5" s="1"/>
  <c r="A589" i="5" s="1"/>
  <c r="A590" i="5" s="1"/>
  <c r="A591" i="5" s="1"/>
  <c r="A592" i="5" s="1"/>
  <c r="A593" i="5" s="1"/>
  <c r="A594" i="5" s="1"/>
  <c r="A595" i="5" s="1"/>
  <c r="A596" i="5" s="1"/>
  <c r="A597" i="5" s="1"/>
  <c r="A598" i="5" s="1"/>
  <c r="A599" i="5" s="1"/>
  <c r="A600" i="5" s="1"/>
  <c r="A601" i="5" s="1"/>
  <c r="A602" i="5" s="1"/>
  <c r="A603" i="5" s="1"/>
  <c r="A604" i="5" s="1"/>
  <c r="A605" i="5" s="1"/>
  <c r="A606" i="5" s="1"/>
  <c r="A607" i="5" s="1"/>
  <c r="A608" i="5" s="1"/>
  <c r="A609" i="5" s="1"/>
  <c r="A610" i="5" s="1"/>
  <c r="A611" i="5" s="1"/>
  <c r="A612" i="5" s="1"/>
  <c r="A613" i="5" s="1"/>
  <c r="A614" i="5" s="1"/>
  <c r="A615" i="5" s="1"/>
  <c r="A616" i="5" s="1"/>
  <c r="A617" i="5" s="1"/>
  <c r="A618" i="5" s="1"/>
  <c r="A619" i="5" s="1"/>
  <c r="A620" i="5" s="1"/>
  <c r="A621" i="5" s="1"/>
  <c r="A622" i="5" s="1"/>
  <c r="A623" i="5" s="1"/>
  <c r="A624" i="5" s="1"/>
  <c r="A625" i="5" s="1"/>
  <c r="A626" i="5" s="1"/>
  <c r="A627" i="5" s="1"/>
  <c r="A628" i="5" s="1"/>
  <c r="A629" i="5" s="1"/>
  <c r="A630" i="5" s="1"/>
  <c r="A631" i="5" s="1"/>
  <c r="A632" i="5" s="1"/>
  <c r="A633" i="5" s="1"/>
  <c r="A634" i="5" s="1"/>
  <c r="A635" i="5" s="1"/>
  <c r="A636" i="5" s="1"/>
  <c r="A637" i="5" s="1"/>
  <c r="A638" i="5" s="1"/>
  <c r="A639" i="5" s="1"/>
  <c r="A640" i="5" s="1"/>
  <c r="A641" i="5" s="1"/>
  <c r="A642" i="5" s="1"/>
  <c r="A643" i="5" s="1"/>
  <c r="A644" i="5" s="1"/>
  <c r="A645" i="5" s="1"/>
  <c r="A646" i="5" s="1"/>
  <c r="A647" i="5" s="1"/>
  <c r="A648" i="5" s="1"/>
  <c r="A649" i="5" s="1"/>
  <c r="A650" i="5" s="1"/>
  <c r="A651" i="5" s="1"/>
  <c r="A652" i="5" s="1"/>
  <c r="A653" i="5" s="1"/>
  <c r="A654" i="5" s="1"/>
  <c r="A655" i="5" s="1"/>
  <c r="A656" i="5" s="1"/>
  <c r="A657" i="5" s="1"/>
  <c r="A658" i="5" s="1"/>
  <c r="A659" i="5" s="1"/>
  <c r="A660" i="5" s="1"/>
  <c r="A661" i="5" s="1"/>
  <c r="A662" i="5" s="1"/>
  <c r="A663" i="5" s="1"/>
  <c r="A664" i="5" s="1"/>
  <c r="A665" i="5" s="1"/>
  <c r="A666" i="5" s="1"/>
  <c r="A667" i="5" s="1"/>
  <c r="A668" i="5" s="1"/>
  <c r="A669" i="5" s="1"/>
  <c r="A670" i="5" s="1"/>
  <c r="A671" i="5" s="1"/>
  <c r="A672" i="5" s="1"/>
  <c r="A673" i="5" s="1"/>
  <c r="A674" i="5" s="1"/>
  <c r="A675" i="5" s="1"/>
  <c r="A676" i="5" s="1"/>
  <c r="A677" i="5" s="1"/>
  <c r="A678" i="5" s="1"/>
  <c r="A679" i="5" s="1"/>
  <c r="A680" i="5" s="1"/>
  <c r="A681" i="5" s="1"/>
  <c r="A682" i="5" s="1"/>
  <c r="A683" i="5" s="1"/>
  <c r="A684" i="5" s="1"/>
  <c r="A685" i="5" s="1"/>
  <c r="A686" i="5" s="1"/>
  <c r="A687" i="5" s="1"/>
  <c r="A688" i="5" s="1"/>
  <c r="A689" i="5" s="1"/>
  <c r="A690" i="5" s="1"/>
  <c r="A691" i="5" s="1"/>
  <c r="A692" i="5" s="1"/>
  <c r="A693" i="5" s="1"/>
  <c r="A694" i="5" s="1"/>
  <c r="A695" i="5" s="1"/>
  <c r="A696" i="5" s="1"/>
  <c r="A697" i="5" s="1"/>
  <c r="A698" i="5" s="1"/>
  <c r="A699" i="5" s="1"/>
  <c r="A700" i="5" s="1"/>
  <c r="A701" i="5" s="1"/>
  <c r="A702" i="5" s="1"/>
  <c r="A703" i="5" s="1"/>
  <c r="A704" i="5" s="1"/>
  <c r="A705" i="5" s="1"/>
  <c r="A706" i="5" s="1"/>
  <c r="A707" i="5" s="1"/>
  <c r="A708" i="5" s="1"/>
  <c r="A709" i="5" s="1"/>
  <c r="A710" i="5" s="1"/>
  <c r="A711" i="5" s="1"/>
  <c r="A712" i="5" s="1"/>
  <c r="A713" i="5" s="1"/>
  <c r="A714" i="5" s="1"/>
  <c r="A715" i="5" s="1"/>
  <c r="A716" i="5" s="1"/>
  <c r="A717" i="5" s="1"/>
  <c r="A718" i="5" s="1"/>
  <c r="A719" i="5" s="1"/>
  <c r="A720" i="5" s="1"/>
  <c r="A721" i="5" s="1"/>
  <c r="A722" i="5" s="1"/>
  <c r="A723" i="5" s="1"/>
  <c r="A724" i="5" s="1"/>
  <c r="A725" i="5" s="1"/>
  <c r="A726" i="5" s="1"/>
  <c r="A727" i="5" s="1"/>
  <c r="A728" i="5" s="1"/>
  <c r="A729" i="5" s="1"/>
  <c r="A730" i="5" s="1"/>
  <c r="A731" i="5" s="1"/>
  <c r="A732" i="5" s="1"/>
  <c r="A733" i="5" s="1"/>
  <c r="A734" i="5" s="1"/>
  <c r="A735" i="5" s="1"/>
  <c r="A736" i="5" s="1"/>
  <c r="A737" i="5" s="1"/>
  <c r="A738" i="5" s="1"/>
  <c r="A739" i="5" s="1"/>
  <c r="A740" i="5" s="1"/>
  <c r="A741" i="5" s="1"/>
  <c r="A742" i="5" s="1"/>
  <c r="A743" i="5" s="1"/>
  <c r="A744" i="5" s="1"/>
  <c r="A745" i="5" s="1"/>
  <c r="A746" i="5" s="1"/>
  <c r="A747" i="5" s="1"/>
  <c r="A748" i="5" s="1"/>
  <c r="A749" i="5" s="1"/>
  <c r="A750" i="5" s="1"/>
  <c r="A751" i="5" s="1"/>
  <c r="A752" i="5" s="1"/>
  <c r="A753" i="5" s="1"/>
  <c r="A754" i="5" s="1"/>
  <c r="A755" i="5" s="1"/>
  <c r="A756" i="5" s="1"/>
  <c r="A757" i="5" s="1"/>
  <c r="A758" i="5" s="1"/>
  <c r="A759" i="5" s="1"/>
  <c r="A760" i="5" s="1"/>
  <c r="A761" i="5" s="1"/>
  <c r="A762" i="5" s="1"/>
  <c r="A763" i="5" s="1"/>
  <c r="A764" i="5" s="1"/>
  <c r="A765" i="5" s="1"/>
  <c r="A766" i="5" s="1"/>
  <c r="A767" i="5" s="1"/>
  <c r="A768" i="5" s="1"/>
  <c r="A769" i="5" s="1"/>
  <c r="A770" i="5" s="1"/>
  <c r="A771" i="5" s="1"/>
  <c r="A772" i="5" s="1"/>
  <c r="A773" i="5" s="1"/>
  <c r="A774" i="5" s="1"/>
  <c r="A775" i="5" s="1"/>
  <c r="A776" i="5" s="1"/>
  <c r="A777" i="5" s="1"/>
  <c r="A778" i="5" s="1"/>
  <c r="A779" i="5" s="1"/>
  <c r="A780" i="5" s="1"/>
  <c r="A781" i="5" s="1"/>
  <c r="A782" i="5" s="1"/>
  <c r="A783" i="5" s="1"/>
  <c r="A784" i="5" s="1"/>
  <c r="A785" i="5" s="1"/>
  <c r="A786" i="5" s="1"/>
  <c r="A787" i="5" s="1"/>
  <c r="A788" i="5" s="1"/>
  <c r="A789" i="5" s="1"/>
  <c r="A790" i="5" s="1"/>
  <c r="A791" i="5" s="1"/>
  <c r="A792" i="5" s="1"/>
  <c r="A793" i="5" s="1"/>
  <c r="A794" i="5" s="1"/>
  <c r="A795" i="5" s="1"/>
  <c r="A796" i="5" s="1"/>
  <c r="A797" i="5" s="1"/>
  <c r="A798" i="5" s="1"/>
  <c r="A799" i="5" s="1"/>
  <c r="A800" i="5" s="1"/>
  <c r="A801" i="5" s="1"/>
  <c r="A802" i="5" s="1"/>
  <c r="A803" i="5" s="1"/>
  <c r="A804" i="5" s="1"/>
  <c r="A805" i="5" s="1"/>
  <c r="A806" i="5" s="1"/>
  <c r="A807" i="5" s="1"/>
  <c r="A808" i="5" s="1"/>
  <c r="A809" i="5" s="1"/>
  <c r="A810" i="5" s="1"/>
  <c r="A811" i="5" s="1"/>
  <c r="A812" i="5" s="1"/>
  <c r="A813" i="5" s="1"/>
  <c r="A814" i="5" s="1"/>
  <c r="A815" i="5" s="1"/>
  <c r="A816" i="5" s="1"/>
  <c r="A817" i="5" s="1"/>
  <c r="A818" i="5" s="1"/>
  <c r="A819" i="5" s="1"/>
  <c r="A820" i="5" s="1"/>
  <c r="A821" i="5" s="1"/>
  <c r="A822" i="5" s="1"/>
  <c r="A823" i="5" s="1"/>
  <c r="A824" i="5" s="1"/>
  <c r="A825" i="5" s="1"/>
  <c r="A826" i="5" s="1"/>
  <c r="A827" i="5" s="1"/>
  <c r="A828" i="5" s="1"/>
  <c r="A829" i="5" s="1"/>
  <c r="A830" i="5" s="1"/>
  <c r="A831" i="5" s="1"/>
  <c r="A832" i="5" s="1"/>
  <c r="A833" i="5" s="1"/>
  <c r="A834" i="5" s="1"/>
  <c r="A835" i="5" s="1"/>
  <c r="A836" i="5" s="1"/>
  <c r="A837" i="5" s="1"/>
  <c r="A838" i="5" s="1"/>
  <c r="A839" i="5" s="1"/>
  <c r="A840" i="5" s="1"/>
  <c r="A841" i="5" s="1"/>
  <c r="A842" i="5" s="1"/>
  <c r="A843" i="5" s="1"/>
  <c r="A844" i="5" s="1"/>
  <c r="A845" i="5" s="1"/>
  <c r="A846" i="5" s="1"/>
  <c r="A847" i="5" s="1"/>
  <c r="A848" i="5" s="1"/>
  <c r="A849" i="5" s="1"/>
  <c r="A850" i="5" s="1"/>
  <c r="A851" i="5" s="1"/>
  <c r="A852" i="5" s="1"/>
  <c r="A853" i="5" s="1"/>
  <c r="A854" i="5" s="1"/>
  <c r="H602" i="4" l="1"/>
  <c r="H603" i="4"/>
  <c r="H604" i="4"/>
  <c r="H605" i="4"/>
  <c r="H606" i="4"/>
  <c r="H607" i="4"/>
  <c r="H608" i="4"/>
  <c r="H609" i="4"/>
  <c r="H610" i="4"/>
  <c r="H611" i="4"/>
  <c r="H612" i="4"/>
  <c r="H613" i="4"/>
  <c r="H614" i="4"/>
  <c r="H615" i="4"/>
  <c r="H616" i="4"/>
  <c r="H617" i="4"/>
  <c r="H618" i="4"/>
  <c r="H619" i="4"/>
  <c r="H620"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D537" i="1" l="1"/>
  <c r="D538" i="1"/>
  <c r="D539" i="1"/>
  <c r="D540" i="1"/>
  <c r="D541" i="1"/>
  <c r="D542" i="1"/>
  <c r="D543" i="1"/>
  <c r="D544" i="1"/>
  <c r="D536" i="1"/>
  <c r="C14" i="12" l="1"/>
  <c r="E64" i="6" l="1"/>
  <c r="E63" i="6"/>
  <c r="E62" i="6"/>
  <c r="E61" i="6"/>
  <c r="E60" i="6"/>
  <c r="E59" i="6"/>
  <c r="E58" i="6"/>
  <c r="E57" i="6"/>
  <c r="D64" i="6"/>
  <c r="D63" i="6"/>
  <c r="D62" i="6"/>
  <c r="D61" i="6"/>
  <c r="D60" i="6"/>
  <c r="D59" i="6"/>
  <c r="D58" i="6"/>
  <c r="D57" i="6"/>
  <c r="B64" i="6"/>
  <c r="B63" i="6"/>
  <c r="B62" i="6"/>
  <c r="B61" i="6"/>
  <c r="B60" i="6"/>
  <c r="B59" i="6"/>
  <c r="B58" i="6"/>
  <c r="B57" i="6"/>
  <c r="F56" i="6"/>
  <c r="E56" i="6"/>
  <c r="D56" i="6"/>
  <c r="B56" i="6"/>
  <c r="F55" i="6"/>
  <c r="E55" i="6"/>
  <c r="D55" i="6"/>
  <c r="B55" i="6"/>
  <c r="F54" i="6"/>
  <c r="E54" i="6"/>
  <c r="D54" i="6"/>
  <c r="B54" i="6"/>
  <c r="F53" i="6"/>
  <c r="E53" i="6"/>
  <c r="D53" i="6"/>
  <c r="B53" i="6"/>
  <c r="F52" i="6"/>
  <c r="E52" i="6"/>
  <c r="D52" i="6"/>
  <c r="B52" i="6"/>
  <c r="F51" i="6"/>
  <c r="E51" i="6"/>
  <c r="D51" i="6"/>
  <c r="B51" i="6"/>
  <c r="F50" i="6"/>
  <c r="E50" i="6"/>
  <c r="D50" i="6"/>
  <c r="B50" i="6"/>
  <c r="F49" i="6"/>
  <c r="E49" i="6"/>
  <c r="D49" i="6"/>
  <c r="B49" i="6"/>
  <c r="F48" i="6"/>
  <c r="E48" i="6"/>
  <c r="D48" i="6"/>
  <c r="B48" i="6"/>
  <c r="F47" i="6"/>
  <c r="E47" i="6"/>
  <c r="D47" i="6"/>
  <c r="B47" i="6"/>
  <c r="F46" i="6"/>
  <c r="E46" i="6"/>
  <c r="D46" i="6"/>
  <c r="B46" i="6"/>
  <c r="F45" i="6"/>
  <c r="E45" i="6"/>
  <c r="D45" i="6"/>
  <c r="B45" i="6"/>
  <c r="F44" i="6"/>
  <c r="E44" i="6"/>
  <c r="D44" i="6"/>
  <c r="B44" i="6"/>
  <c r="F43" i="6"/>
  <c r="E43" i="6"/>
  <c r="D43" i="6"/>
  <c r="B43" i="6"/>
  <c r="F42" i="6"/>
  <c r="E42" i="6"/>
  <c r="D42" i="6"/>
  <c r="B42" i="6"/>
  <c r="F41" i="6"/>
  <c r="E41" i="6"/>
  <c r="D41" i="6"/>
  <c r="B41" i="6"/>
  <c r="F40" i="6"/>
  <c r="E40" i="6"/>
  <c r="D40" i="6"/>
  <c r="B40" i="6"/>
  <c r="F39" i="6"/>
  <c r="E39" i="6"/>
  <c r="D39" i="6"/>
  <c r="B39" i="6"/>
  <c r="F38" i="6"/>
  <c r="D38" i="6"/>
  <c r="B38" i="6"/>
  <c r="F37" i="6"/>
  <c r="E37" i="6"/>
  <c r="D37" i="6"/>
  <c r="B37" i="6"/>
  <c r="F36" i="6"/>
  <c r="E36" i="6"/>
  <c r="D36" i="6"/>
  <c r="B36" i="6"/>
  <c r="F35" i="6"/>
  <c r="E35" i="6"/>
  <c r="D35" i="6"/>
  <c r="B35" i="6"/>
  <c r="F34" i="6"/>
  <c r="E34" i="6"/>
  <c r="D34" i="6"/>
  <c r="B34" i="6"/>
  <c r="F33" i="6"/>
  <c r="E33" i="6"/>
  <c r="D33" i="6"/>
  <c r="B33" i="6"/>
  <c r="F32" i="6"/>
  <c r="E32" i="6"/>
  <c r="D32" i="6"/>
  <c r="B32" i="6"/>
  <c r="F31" i="6"/>
  <c r="E31" i="6"/>
  <c r="D31" i="6"/>
  <c r="B31" i="6"/>
  <c r="F30" i="6"/>
  <c r="E30" i="6"/>
  <c r="D30" i="6"/>
  <c r="B30" i="6"/>
  <c r="F29" i="6"/>
  <c r="E29" i="6"/>
  <c r="D29" i="6"/>
  <c r="B29" i="6"/>
  <c r="F28" i="6"/>
  <c r="E28" i="6"/>
  <c r="D28" i="6"/>
  <c r="B28" i="6"/>
  <c r="F27" i="6"/>
  <c r="E27" i="6"/>
  <c r="D27" i="6"/>
  <c r="B27" i="6"/>
  <c r="F26" i="6"/>
  <c r="E26" i="6"/>
  <c r="D26" i="6"/>
  <c r="B26" i="6"/>
  <c r="F25" i="6"/>
  <c r="E25" i="6"/>
  <c r="D25" i="6"/>
  <c r="B25" i="6"/>
  <c r="F24" i="6"/>
  <c r="E24" i="6"/>
  <c r="D24" i="6"/>
  <c r="B24" i="6"/>
  <c r="F23" i="6"/>
  <c r="E23" i="6"/>
  <c r="D23" i="6"/>
  <c r="B23" i="6"/>
  <c r="F22" i="6"/>
  <c r="E22" i="6"/>
  <c r="D22" i="6"/>
  <c r="B22" i="6"/>
  <c r="F21" i="6"/>
  <c r="E21" i="6"/>
  <c r="D21" i="6"/>
  <c r="B21" i="6"/>
  <c r="F20" i="6"/>
  <c r="D20" i="6"/>
  <c r="B20" i="6"/>
  <c r="F19" i="6"/>
  <c r="E19" i="6"/>
  <c r="D19" i="6"/>
  <c r="B19" i="6"/>
  <c r="F18" i="6"/>
  <c r="E18" i="6"/>
  <c r="D18" i="6"/>
  <c r="B18" i="6"/>
  <c r="F17" i="6"/>
  <c r="E17" i="6"/>
  <c r="D17" i="6"/>
  <c r="B17" i="6"/>
  <c r="F16" i="6"/>
  <c r="E16" i="6"/>
  <c r="D16" i="6"/>
  <c r="B16" i="6"/>
  <c r="F15" i="6"/>
  <c r="E15" i="6"/>
  <c r="D15" i="6"/>
  <c r="B15" i="6"/>
  <c r="F14" i="6"/>
  <c r="E14" i="6"/>
  <c r="D14" i="6"/>
  <c r="B14" i="6"/>
  <c r="F13" i="6"/>
  <c r="E13" i="6"/>
  <c r="D13" i="6"/>
  <c r="B13" i="6"/>
  <c r="F12" i="6"/>
  <c r="E12" i="6"/>
  <c r="D12" i="6"/>
  <c r="B12" i="6"/>
  <c r="F11" i="6"/>
  <c r="E11" i="6"/>
  <c r="D11" i="6"/>
  <c r="B11" i="6"/>
  <c r="F10" i="6"/>
  <c r="E10" i="6"/>
  <c r="D10" i="6"/>
  <c r="B10" i="6"/>
  <c r="F9" i="6"/>
  <c r="B9" i="6"/>
  <c r="F8" i="6"/>
  <c r="E8" i="6"/>
  <c r="D8" i="6"/>
  <c r="B8" i="6"/>
  <c r="F7" i="6"/>
  <c r="E7" i="6"/>
  <c r="D7" i="6"/>
  <c r="B7" i="6"/>
  <c r="H568" i="4" l="1"/>
  <c r="H569" i="4"/>
  <c r="H585" i="4"/>
  <c r="H586" i="4"/>
  <c r="H587" i="4"/>
  <c r="H588" i="4"/>
  <c r="H589" i="4"/>
  <c r="H590" i="4"/>
  <c r="H591" i="4"/>
  <c r="H592" i="4"/>
  <c r="H593" i="4"/>
  <c r="H594" i="4"/>
  <c r="H595" i="4"/>
  <c r="H596" i="4"/>
  <c r="H597" i="4"/>
  <c r="H598" i="4"/>
  <c r="H599" i="4"/>
  <c r="H600" i="4"/>
  <c r="H601" i="4"/>
  <c r="H575" i="4"/>
  <c r="A566" i="1"/>
  <c r="E536" i="1"/>
  <c r="F536" i="1"/>
  <c r="A560" i="1" l="1"/>
  <c r="D3" i="6" l="1"/>
  <c r="E3" i="6"/>
  <c r="D4" i="6"/>
  <c r="E4" i="6"/>
  <c r="D5" i="6"/>
  <c r="E5" i="6"/>
  <c r="D6" i="6"/>
  <c r="E6" i="6"/>
  <c r="J4" i="6"/>
  <c r="B3" i="6"/>
  <c r="F3" i="6"/>
  <c r="E65" i="6" l="1"/>
  <c r="E66" i="6"/>
  <c r="D65" i="6"/>
  <c r="D66" i="6"/>
  <c r="H560" i="4" l="1"/>
  <c r="H561" i="4"/>
  <c r="H562" i="4"/>
  <c r="H563" i="4"/>
  <c r="H564" i="4"/>
  <c r="H565" i="4"/>
  <c r="H566" i="4"/>
  <c r="H567" i="4"/>
  <c r="H570" i="4"/>
  <c r="H571" i="4"/>
  <c r="H572" i="4"/>
  <c r="H574" i="4"/>
  <c r="H576" i="4"/>
  <c r="H577" i="4"/>
  <c r="H578" i="4"/>
  <c r="H579" i="4"/>
  <c r="H580" i="4"/>
  <c r="H581" i="4"/>
  <c r="H582" i="4"/>
  <c r="H583" i="4"/>
  <c r="H584" i="4"/>
  <c r="H557" i="4" l="1"/>
  <c r="H558" i="4"/>
  <c r="H556" i="4" l="1"/>
  <c r="H559" i="4"/>
  <c r="H662" i="4"/>
  <c r="H663" i="4"/>
  <c r="B65" i="6" l="1"/>
  <c r="B66" i="6"/>
  <c r="F65" i="6"/>
  <c r="F66" i="6"/>
  <c r="H546" i="4" l="1"/>
  <c r="H547" i="4"/>
  <c r="H548" i="4"/>
  <c r="H549" i="4"/>
  <c r="H550" i="4"/>
  <c r="H551" i="4"/>
  <c r="H552" i="4"/>
  <c r="H553" i="4"/>
  <c r="H554" i="4"/>
  <c r="H555" i="4"/>
  <c r="E1" i="6" l="1"/>
  <c r="H1" i="6"/>
  <c r="H539" i="4" l="1"/>
  <c r="H540" i="4"/>
  <c r="H541" i="4"/>
  <c r="H538" i="4"/>
  <c r="A1" i="12" l="1"/>
  <c r="E1" i="12" s="1"/>
  <c r="D5" i="12"/>
  <c r="D6" i="12"/>
  <c r="E8" i="12"/>
  <c r="C1" i="12" l="1"/>
  <c r="D55" i="12" l="1"/>
  <c r="D54" i="12"/>
  <c r="D53" i="12"/>
  <c r="D52" i="12"/>
  <c r="D51" i="12"/>
  <c r="D50" i="12"/>
  <c r="D49" i="12"/>
  <c r="D47" i="12"/>
  <c r="D46" i="12"/>
  <c r="D45" i="12"/>
  <c r="D44" i="12"/>
  <c r="D43" i="12"/>
  <c r="D42" i="12"/>
  <c r="D41" i="12"/>
  <c r="D25" i="12" l="1"/>
  <c r="A565" i="1" l="1"/>
  <c r="A564" i="1"/>
  <c r="A563" i="1"/>
  <c r="A562" i="1"/>
  <c r="A561" i="1"/>
  <c r="A559" i="1"/>
  <c r="A578" i="1"/>
  <c r="A577" i="1"/>
  <c r="A576" i="1"/>
  <c r="A575" i="1"/>
  <c r="A574" i="1"/>
  <c r="A573" i="1"/>
  <c r="A572" i="1"/>
  <c r="A571" i="1"/>
  <c r="A568" i="1" l="1"/>
  <c r="A580" i="1"/>
  <c r="H439" i="41" l="1"/>
  <c r="H438" i="41"/>
  <c r="H437" i="41"/>
  <c r="H436" i="41"/>
  <c r="H435" i="41"/>
  <c r="H434" i="41"/>
  <c r="H433" i="41"/>
  <c r="H432" i="41"/>
  <c r="H431" i="41"/>
  <c r="H430" i="41"/>
  <c r="H429" i="41"/>
  <c r="H428" i="41"/>
  <c r="H427" i="41"/>
  <c r="H426" i="41"/>
  <c r="H425" i="41"/>
  <c r="H424" i="41"/>
  <c r="H423" i="41"/>
  <c r="H422" i="41"/>
  <c r="H421" i="41"/>
  <c r="H420" i="41"/>
  <c r="H419" i="41"/>
  <c r="H418" i="41"/>
  <c r="H417" i="41"/>
  <c r="H416" i="41"/>
  <c r="H415" i="41"/>
  <c r="H414" i="41"/>
  <c r="H413" i="41"/>
  <c r="H412" i="41"/>
  <c r="H411" i="41"/>
  <c r="H410" i="41"/>
  <c r="H409" i="41"/>
  <c r="H408" i="41"/>
  <c r="H407" i="41"/>
  <c r="H406" i="41"/>
  <c r="H405" i="41"/>
  <c r="H404" i="41"/>
  <c r="H403" i="41"/>
  <c r="H402" i="41"/>
  <c r="H401" i="41"/>
  <c r="H400" i="41"/>
  <c r="H399" i="41"/>
  <c r="H398" i="41"/>
  <c r="H397" i="41"/>
  <c r="H396" i="41"/>
  <c r="H395" i="41"/>
  <c r="H394" i="41"/>
  <c r="H393" i="41"/>
  <c r="H392" i="41"/>
  <c r="H391" i="41"/>
  <c r="H390" i="41"/>
  <c r="H389" i="41"/>
  <c r="H388" i="41"/>
  <c r="H387" i="41"/>
  <c r="H386" i="41"/>
  <c r="H385" i="41"/>
  <c r="H384" i="41"/>
  <c r="H383" i="41"/>
  <c r="H382" i="41"/>
  <c r="H381" i="41"/>
  <c r="H380" i="41"/>
  <c r="H379" i="41"/>
  <c r="H378" i="41"/>
  <c r="H377" i="41"/>
  <c r="H376" i="41"/>
  <c r="H375" i="41"/>
  <c r="H374" i="41"/>
  <c r="H373" i="41"/>
  <c r="H372" i="41"/>
  <c r="H371" i="41"/>
  <c r="H370" i="41"/>
  <c r="H369" i="41"/>
  <c r="H368" i="41"/>
  <c r="H367" i="41"/>
  <c r="H366" i="41"/>
  <c r="H365" i="41"/>
  <c r="H364" i="41"/>
  <c r="H363" i="41"/>
  <c r="H362" i="41"/>
  <c r="H361" i="41"/>
  <c r="H360" i="41"/>
  <c r="H359" i="41"/>
  <c r="H358" i="41"/>
  <c r="H357" i="41"/>
  <c r="H356" i="41"/>
  <c r="H355" i="41"/>
  <c r="H354" i="41"/>
  <c r="H353" i="41"/>
  <c r="H352" i="41"/>
  <c r="H351" i="41"/>
  <c r="H350" i="41"/>
  <c r="H349" i="41"/>
  <c r="H348" i="41"/>
  <c r="H347" i="41"/>
  <c r="H346" i="41"/>
  <c r="H345" i="41"/>
  <c r="H344" i="41"/>
  <c r="H343" i="41"/>
  <c r="H342" i="41"/>
  <c r="H341" i="41"/>
  <c r="H340" i="41"/>
  <c r="H339" i="41"/>
  <c r="H338" i="41"/>
  <c r="H337" i="41"/>
  <c r="H336" i="41"/>
  <c r="H335" i="41"/>
  <c r="H334" i="41"/>
  <c r="H333" i="41"/>
  <c r="H332" i="41"/>
  <c r="H331" i="41"/>
  <c r="H330" i="41"/>
  <c r="H329" i="41"/>
  <c r="H328" i="41"/>
  <c r="H327" i="41"/>
  <c r="H326" i="41"/>
  <c r="H325" i="41"/>
  <c r="H324" i="41"/>
  <c r="H323" i="41"/>
  <c r="H322" i="41"/>
  <c r="H321" i="41"/>
  <c r="H320" i="41"/>
  <c r="H319" i="41"/>
  <c r="H318" i="41"/>
  <c r="H317" i="41"/>
  <c r="H316" i="41"/>
  <c r="H315" i="41"/>
  <c r="H314" i="41"/>
  <c r="H313" i="41"/>
  <c r="H312" i="41"/>
  <c r="H311" i="41"/>
  <c r="H310" i="41"/>
  <c r="H309" i="41"/>
  <c r="H308" i="41"/>
  <c r="H307" i="41"/>
  <c r="H306" i="41"/>
  <c r="H305" i="41"/>
  <c r="H304" i="41"/>
  <c r="H303" i="41"/>
  <c r="H302" i="41"/>
  <c r="H301" i="41"/>
  <c r="H300" i="41"/>
  <c r="H299" i="41"/>
  <c r="H298" i="41"/>
  <c r="H297" i="41"/>
  <c r="H296" i="41"/>
  <c r="H295" i="41"/>
  <c r="H294" i="41"/>
  <c r="H293" i="41"/>
  <c r="H292" i="41"/>
  <c r="H291" i="41"/>
  <c r="H290" i="41"/>
  <c r="H289" i="41"/>
  <c r="H288" i="41"/>
  <c r="H287" i="41"/>
  <c r="H286" i="41"/>
  <c r="H285" i="41"/>
  <c r="H284" i="41"/>
  <c r="H283" i="41"/>
  <c r="H282" i="41"/>
  <c r="H281" i="41"/>
  <c r="H280" i="41"/>
  <c r="H279" i="41"/>
  <c r="H278" i="41"/>
  <c r="H277" i="41"/>
  <c r="H276" i="41"/>
  <c r="H275" i="41"/>
  <c r="H274" i="41"/>
  <c r="H273" i="41"/>
  <c r="H272" i="41"/>
  <c r="H271" i="41"/>
  <c r="H270" i="41"/>
  <c r="H269" i="41"/>
  <c r="H268" i="41"/>
  <c r="H267" i="41"/>
  <c r="H266" i="41"/>
  <c r="H265" i="41"/>
  <c r="H264" i="41"/>
  <c r="H263" i="41"/>
  <c r="H262" i="41"/>
  <c r="H261" i="41"/>
  <c r="H260" i="41"/>
  <c r="H259" i="41"/>
  <c r="H258" i="41"/>
  <c r="H257" i="41"/>
  <c r="H256" i="41"/>
  <c r="H255" i="41"/>
  <c r="H254" i="41"/>
  <c r="H253" i="41"/>
  <c r="H252" i="41"/>
  <c r="H251" i="41"/>
  <c r="H250" i="41"/>
  <c r="H249" i="41"/>
  <c r="H248" i="41"/>
  <c r="H247" i="41"/>
  <c r="H246" i="41"/>
  <c r="H245" i="41"/>
  <c r="H244" i="41"/>
  <c r="H243" i="41"/>
  <c r="H242" i="41"/>
  <c r="H241" i="41"/>
  <c r="H240" i="41"/>
  <c r="H239" i="41"/>
  <c r="H238" i="41"/>
  <c r="H237" i="41"/>
  <c r="H236" i="41"/>
  <c r="H235" i="41"/>
  <c r="H234" i="41"/>
  <c r="H233" i="41"/>
  <c r="H232" i="41"/>
  <c r="H231" i="41"/>
  <c r="H229" i="41"/>
  <c r="H228" i="41"/>
  <c r="H227" i="41"/>
  <c r="H226" i="41"/>
  <c r="H225" i="41"/>
  <c r="H224" i="41"/>
  <c r="H223" i="41"/>
  <c r="H222" i="41"/>
  <c r="H221" i="41"/>
  <c r="H220" i="41"/>
  <c r="H219" i="41"/>
  <c r="H218" i="41"/>
  <c r="H217" i="41"/>
  <c r="H216" i="41"/>
  <c r="H215" i="41"/>
  <c r="H214" i="41"/>
  <c r="H213" i="41"/>
  <c r="H212" i="41"/>
  <c r="H211" i="41"/>
  <c r="H210" i="41"/>
  <c r="H209" i="41"/>
  <c r="H208" i="41"/>
  <c r="H207" i="41"/>
  <c r="H206" i="41"/>
  <c r="H205" i="41"/>
  <c r="H204" i="41"/>
  <c r="H203" i="41"/>
  <c r="H202" i="41"/>
  <c r="H201" i="41"/>
  <c r="H200" i="41"/>
  <c r="H199" i="41"/>
  <c r="H198" i="41"/>
  <c r="H197" i="41"/>
  <c r="H196" i="41"/>
  <c r="H195" i="41"/>
  <c r="H194" i="41"/>
  <c r="H193" i="41"/>
  <c r="H192" i="41"/>
  <c r="H191" i="41"/>
  <c r="H190" i="41"/>
  <c r="H189" i="41"/>
  <c r="H188" i="41"/>
  <c r="H187" i="41"/>
  <c r="H186" i="41"/>
  <c r="H185" i="41"/>
  <c r="H184" i="41"/>
  <c r="H183" i="41"/>
  <c r="H182" i="41"/>
  <c r="H181" i="41"/>
  <c r="H180" i="41"/>
  <c r="H179" i="41"/>
  <c r="H178" i="41"/>
  <c r="H177" i="41"/>
  <c r="H176" i="41"/>
  <c r="H175" i="41"/>
  <c r="H174" i="41"/>
  <c r="H173" i="41"/>
  <c r="H172" i="41"/>
  <c r="H171" i="41"/>
  <c r="H170" i="41"/>
  <c r="H169" i="41"/>
  <c r="H168" i="41"/>
  <c r="H167" i="41"/>
  <c r="H166" i="41"/>
  <c r="H165" i="41"/>
  <c r="H164" i="41"/>
  <c r="H163" i="41"/>
  <c r="H162" i="41"/>
  <c r="H161" i="41"/>
  <c r="H160" i="41"/>
  <c r="H159" i="41"/>
  <c r="H158" i="41"/>
  <c r="H157" i="41"/>
  <c r="H156" i="41"/>
  <c r="H155" i="41"/>
  <c r="H154" i="41"/>
  <c r="H153" i="41"/>
  <c r="H152" i="41"/>
  <c r="H151" i="41"/>
  <c r="H150" i="41"/>
  <c r="H149" i="41"/>
  <c r="H148" i="41"/>
  <c r="H147" i="41"/>
  <c r="H146" i="41"/>
  <c r="H145" i="41"/>
  <c r="H144" i="41"/>
  <c r="H143" i="41"/>
  <c r="H142" i="41"/>
  <c r="H141" i="41"/>
  <c r="H140" i="41"/>
  <c r="H139" i="41"/>
  <c r="H138" i="41"/>
  <c r="H137" i="41"/>
  <c r="H136" i="41"/>
  <c r="H135" i="41"/>
  <c r="H134" i="41"/>
  <c r="H133" i="41"/>
  <c r="H132" i="41"/>
  <c r="H131" i="41"/>
  <c r="H130" i="41"/>
  <c r="H129" i="41"/>
  <c r="H128" i="41"/>
  <c r="H127" i="41"/>
  <c r="H126" i="41"/>
  <c r="H125" i="41"/>
  <c r="H124" i="41"/>
  <c r="H123" i="41"/>
  <c r="H122" i="41"/>
  <c r="H121" i="41"/>
  <c r="H120" i="41"/>
  <c r="H119" i="41"/>
  <c r="H118" i="41"/>
  <c r="H117" i="41"/>
  <c r="H116" i="41"/>
  <c r="H115" i="41"/>
  <c r="H114" i="41"/>
  <c r="H113" i="41"/>
  <c r="H112" i="41"/>
  <c r="H111" i="41"/>
  <c r="H110" i="41"/>
  <c r="H109" i="41"/>
  <c r="H108" i="41"/>
  <c r="H107" i="41"/>
  <c r="H106" i="41"/>
  <c r="H105" i="41"/>
  <c r="H104" i="41"/>
  <c r="H103" i="41"/>
  <c r="H102" i="41"/>
  <c r="H101" i="41"/>
  <c r="H100" i="41"/>
  <c r="H99" i="41"/>
  <c r="H98" i="41"/>
  <c r="H97" i="41"/>
  <c r="H96" i="41"/>
  <c r="H95" i="41"/>
  <c r="H94" i="41"/>
  <c r="H93" i="41"/>
  <c r="H92" i="41"/>
  <c r="H91" i="41"/>
  <c r="H90" i="41"/>
  <c r="H89" i="41"/>
  <c r="H88" i="41"/>
  <c r="H87" i="41"/>
  <c r="H86" i="41"/>
  <c r="H85" i="41"/>
  <c r="H84" i="41"/>
  <c r="H83" i="41"/>
  <c r="H82" i="41"/>
  <c r="H81" i="41"/>
  <c r="H80" i="41"/>
  <c r="H79" i="41"/>
  <c r="H78" i="41"/>
  <c r="H77" i="41"/>
  <c r="H76" i="41"/>
  <c r="H75" i="41"/>
  <c r="H74" i="41"/>
  <c r="H73" i="41"/>
  <c r="H72" i="41"/>
  <c r="H71" i="41"/>
  <c r="H70" i="41"/>
  <c r="H69" i="41"/>
  <c r="H68" i="41"/>
  <c r="H67" i="41"/>
  <c r="H66" i="41"/>
  <c r="H65" i="41"/>
  <c r="H64" i="41"/>
  <c r="H63" i="41"/>
  <c r="H62" i="41"/>
  <c r="H61" i="41"/>
  <c r="H60" i="41"/>
  <c r="H59" i="41"/>
  <c r="H58" i="41"/>
  <c r="H57" i="41"/>
  <c r="H56" i="41"/>
  <c r="H55" i="41"/>
  <c r="H54" i="41"/>
  <c r="H53" i="41"/>
  <c r="H52" i="41"/>
  <c r="H51" i="41"/>
  <c r="H50" i="41"/>
  <c r="H49" i="41"/>
  <c r="H48" i="41"/>
  <c r="H47" i="41"/>
  <c r="H46" i="41"/>
  <c r="H45" i="41"/>
  <c r="H44" i="41"/>
  <c r="H43" i="41"/>
  <c r="H42" i="41"/>
  <c r="H41" i="41"/>
  <c r="H40" i="41"/>
  <c r="H39" i="41"/>
  <c r="H38" i="41"/>
  <c r="H37" i="41"/>
  <c r="H36" i="41"/>
  <c r="H35" i="41"/>
  <c r="H34" i="41"/>
  <c r="H33" i="41"/>
  <c r="H32" i="41"/>
  <c r="H31" i="41"/>
  <c r="H30" i="41"/>
  <c r="H29" i="41"/>
  <c r="H28" i="41"/>
  <c r="H27" i="41"/>
  <c r="H26" i="41"/>
  <c r="H25" i="41"/>
  <c r="H24" i="41"/>
  <c r="H23" i="41"/>
  <c r="H22" i="41"/>
  <c r="H21" i="41"/>
  <c r="H20" i="41"/>
  <c r="H19" i="41"/>
  <c r="H18" i="41"/>
  <c r="H17" i="41"/>
  <c r="H16" i="41"/>
  <c r="H15" i="41"/>
  <c r="H14" i="41"/>
  <c r="H13" i="41"/>
  <c r="H12" i="41"/>
  <c r="H11" i="41"/>
  <c r="H10" i="41"/>
  <c r="H9" i="41"/>
  <c r="H8" i="41"/>
  <c r="H7" i="41"/>
  <c r="H6" i="41"/>
  <c r="A5" i="41"/>
  <c r="A6" i="41" s="1"/>
  <c r="A7" i="41" s="1"/>
  <c r="A8" i="41" s="1"/>
  <c r="A9" i="41" s="1"/>
  <c r="A10" i="41" s="1"/>
  <c r="A11" i="41" s="1"/>
  <c r="A12" i="41" s="1"/>
  <c r="A13" i="41" s="1"/>
  <c r="A14" i="41" s="1"/>
  <c r="A15" i="41" s="1"/>
  <c r="A16" i="41" s="1"/>
  <c r="A17" i="41" s="1"/>
  <c r="A18" i="41" s="1"/>
  <c r="A19" i="41" s="1"/>
  <c r="A20" i="41" s="1"/>
  <c r="A21" i="41" s="1"/>
  <c r="A22" i="41" s="1"/>
  <c r="A23" i="41" s="1"/>
  <c r="A24" i="41" s="1"/>
  <c r="A25" i="41" s="1"/>
  <c r="A26" i="41" s="1"/>
  <c r="A27" i="41" s="1"/>
  <c r="A28" i="41" s="1"/>
  <c r="A29" i="41" s="1"/>
  <c r="A30" i="41" s="1"/>
  <c r="A31" i="41" s="1"/>
  <c r="A32" i="41" s="1"/>
  <c r="A33" i="41" s="1"/>
  <c r="A34" i="41" s="1"/>
  <c r="A35" i="41" s="1"/>
  <c r="A36" i="41" s="1"/>
  <c r="A37" i="41" s="1"/>
  <c r="A38" i="41" s="1"/>
  <c r="A39" i="41" s="1"/>
  <c r="A40" i="41" s="1"/>
  <c r="A41" i="41" s="1"/>
  <c r="A42" i="41" s="1"/>
  <c r="A43" i="41" s="1"/>
  <c r="A44" i="41" s="1"/>
  <c r="A45" i="41" s="1"/>
  <c r="A46" i="41" s="1"/>
  <c r="A47" i="41" s="1"/>
  <c r="A48" i="41" s="1"/>
  <c r="A49" i="41" s="1"/>
  <c r="A50" i="41" s="1"/>
  <c r="A51" i="41" s="1"/>
  <c r="A52" i="41" s="1"/>
  <c r="A53" i="41" s="1"/>
  <c r="A54" i="41" s="1"/>
  <c r="A55" i="41" s="1"/>
  <c r="A56" i="41" s="1"/>
  <c r="A57" i="41" s="1"/>
  <c r="A58" i="41" s="1"/>
  <c r="A59" i="41" s="1"/>
  <c r="A60" i="41" s="1"/>
  <c r="A61" i="41" s="1"/>
  <c r="A62" i="41" s="1"/>
  <c r="A63" i="41" s="1"/>
  <c r="A64" i="41" s="1"/>
  <c r="A65" i="41" s="1"/>
  <c r="A66" i="41" s="1"/>
  <c r="A67" i="41" s="1"/>
  <c r="A68" i="41" s="1"/>
  <c r="A69" i="41" s="1"/>
  <c r="A70" i="41" s="1"/>
  <c r="A71" i="41" s="1"/>
  <c r="A72" i="41" s="1"/>
  <c r="A73" i="41" s="1"/>
  <c r="A74" i="41" s="1"/>
  <c r="A75" i="41" s="1"/>
  <c r="A76" i="41" s="1"/>
  <c r="A77" i="41" s="1"/>
  <c r="A78" i="41" s="1"/>
  <c r="A79" i="41" s="1"/>
  <c r="A80" i="41" s="1"/>
  <c r="A81" i="41" s="1"/>
  <c r="A82" i="41" s="1"/>
  <c r="A83" i="41" s="1"/>
  <c r="A84" i="41" s="1"/>
  <c r="A85" i="41" s="1"/>
  <c r="A86" i="41" s="1"/>
  <c r="A87" i="41" s="1"/>
  <c r="A88" i="41" s="1"/>
  <c r="A89" i="41" s="1"/>
  <c r="A90" i="41" s="1"/>
  <c r="A91" i="41" s="1"/>
  <c r="A92" i="41" s="1"/>
  <c r="A93" i="41" s="1"/>
  <c r="A94" i="41" s="1"/>
  <c r="A95" i="41" s="1"/>
  <c r="A96" i="41" s="1"/>
  <c r="A97" i="41" s="1"/>
  <c r="A98" i="41" s="1"/>
  <c r="A99" i="41" s="1"/>
  <c r="A100" i="41" s="1"/>
  <c r="A101" i="41" s="1"/>
  <c r="A102" i="41" s="1"/>
  <c r="A103" i="41" s="1"/>
  <c r="A104" i="41" s="1"/>
  <c r="A105" i="41" s="1"/>
  <c r="A106" i="41" s="1"/>
  <c r="A107" i="41" s="1"/>
  <c r="A108" i="41" s="1"/>
  <c r="A109" i="41" s="1"/>
  <c r="A110" i="41" s="1"/>
  <c r="A111" i="41" s="1"/>
  <c r="A112" i="41" s="1"/>
  <c r="A113" i="41" s="1"/>
  <c r="A114" i="41" s="1"/>
  <c r="A115" i="41" s="1"/>
  <c r="A116" i="41" s="1"/>
  <c r="A117" i="41" s="1"/>
  <c r="A118" i="41" s="1"/>
  <c r="A119" i="41" s="1"/>
  <c r="A120" i="41" s="1"/>
  <c r="A121" i="41" s="1"/>
  <c r="A122" i="41" s="1"/>
  <c r="A123" i="41" s="1"/>
  <c r="A124" i="41" s="1"/>
  <c r="A125" i="41" s="1"/>
  <c r="A126" i="41" s="1"/>
  <c r="A127" i="41" s="1"/>
  <c r="A128" i="41" s="1"/>
  <c r="A129" i="41" s="1"/>
  <c r="A130" i="41" s="1"/>
  <c r="A131" i="41" s="1"/>
  <c r="A132" i="41" s="1"/>
  <c r="A133" i="41" s="1"/>
  <c r="A134" i="41" s="1"/>
  <c r="A135" i="41" s="1"/>
  <c r="A136" i="41" s="1"/>
  <c r="A137" i="41" s="1"/>
  <c r="A138" i="41" s="1"/>
  <c r="A139" i="41" s="1"/>
  <c r="A140" i="41" s="1"/>
  <c r="A141" i="41" s="1"/>
  <c r="A142" i="41" s="1"/>
  <c r="A143" i="41" s="1"/>
  <c r="A144" i="41" s="1"/>
  <c r="A145" i="41" s="1"/>
  <c r="A146" i="41" s="1"/>
  <c r="A147" i="41" s="1"/>
  <c r="A148" i="41" s="1"/>
  <c r="A149" i="41" s="1"/>
  <c r="A150" i="41" s="1"/>
  <c r="A151" i="41" s="1"/>
  <c r="A152" i="41" s="1"/>
  <c r="A153" i="41" s="1"/>
  <c r="A154" i="41" s="1"/>
  <c r="A155" i="41" s="1"/>
  <c r="A156" i="41" s="1"/>
  <c r="A157" i="41" s="1"/>
  <c r="A158" i="41" s="1"/>
  <c r="A159" i="41" s="1"/>
  <c r="A160" i="41" s="1"/>
  <c r="A161" i="41" s="1"/>
  <c r="A162" i="41" s="1"/>
  <c r="A163" i="41" s="1"/>
  <c r="A164" i="41" s="1"/>
  <c r="A165" i="41" s="1"/>
  <c r="A166" i="41" s="1"/>
  <c r="A167" i="41" s="1"/>
  <c r="A168" i="41" s="1"/>
  <c r="A169" i="41" s="1"/>
  <c r="A170" i="41" s="1"/>
  <c r="A171" i="41" s="1"/>
  <c r="A172" i="41" s="1"/>
  <c r="A173" i="41" s="1"/>
  <c r="A174" i="41" s="1"/>
  <c r="A175" i="41" s="1"/>
  <c r="A176" i="41" s="1"/>
  <c r="A177" i="41" s="1"/>
  <c r="A178" i="41" s="1"/>
  <c r="A179" i="41" s="1"/>
  <c r="A180" i="41" s="1"/>
  <c r="A181" i="41" s="1"/>
  <c r="A182" i="41" s="1"/>
  <c r="A183" i="41" s="1"/>
  <c r="A184" i="41" s="1"/>
  <c r="A185" i="41" s="1"/>
  <c r="A186" i="41" s="1"/>
  <c r="A187" i="41" s="1"/>
  <c r="A188" i="41" s="1"/>
  <c r="A189" i="41" s="1"/>
  <c r="A190" i="41" s="1"/>
  <c r="A191" i="41" s="1"/>
  <c r="A192" i="41" s="1"/>
  <c r="A193" i="41" s="1"/>
  <c r="A194" i="41" s="1"/>
  <c r="A195" i="41" s="1"/>
  <c r="A196" i="41" s="1"/>
  <c r="A197" i="41" s="1"/>
  <c r="A198" i="41" s="1"/>
  <c r="A199" i="41" s="1"/>
  <c r="A200" i="41" s="1"/>
  <c r="A201" i="41" s="1"/>
  <c r="A202" i="41" s="1"/>
  <c r="A203" i="41" s="1"/>
  <c r="A204" i="41" s="1"/>
  <c r="A205" i="41" s="1"/>
  <c r="A206" i="41" s="1"/>
  <c r="A207" i="41" s="1"/>
  <c r="A208" i="41" s="1"/>
  <c r="A209" i="41" s="1"/>
  <c r="A210" i="41" s="1"/>
  <c r="A211" i="41" s="1"/>
  <c r="A212" i="41" s="1"/>
  <c r="A213" i="41" s="1"/>
  <c r="A214" i="41" s="1"/>
  <c r="A215" i="41" s="1"/>
  <c r="A216" i="41" s="1"/>
  <c r="A217" i="41" s="1"/>
  <c r="A218" i="41" s="1"/>
  <c r="A219" i="41" s="1"/>
  <c r="A220" i="41" s="1"/>
  <c r="A221" i="41" s="1"/>
  <c r="A222" i="41" s="1"/>
  <c r="A223" i="41" s="1"/>
  <c r="A224" i="41" s="1"/>
  <c r="A225" i="41" s="1"/>
  <c r="A226" i="41" s="1"/>
  <c r="A227" i="41" s="1"/>
  <c r="A228" i="41" s="1"/>
  <c r="A229" i="41" s="1"/>
  <c r="A230" i="41" s="1"/>
  <c r="A231" i="41" s="1"/>
  <c r="A232" i="41" s="1"/>
  <c r="A233" i="41" s="1"/>
  <c r="A234" i="41" s="1"/>
  <c r="A235" i="41" s="1"/>
  <c r="A236" i="41" s="1"/>
  <c r="A237" i="41" s="1"/>
  <c r="A238" i="41" s="1"/>
  <c r="A239" i="41" s="1"/>
  <c r="A240" i="41" s="1"/>
  <c r="A241" i="41" s="1"/>
  <c r="A242" i="41" s="1"/>
  <c r="A243" i="41" s="1"/>
  <c r="A244" i="41" s="1"/>
  <c r="A245" i="41" s="1"/>
  <c r="A246" i="41" s="1"/>
  <c r="A247" i="41" s="1"/>
  <c r="A248" i="41" s="1"/>
  <c r="A249" i="41" s="1"/>
  <c r="A250" i="41" s="1"/>
  <c r="A251" i="41" s="1"/>
  <c r="A252" i="41" s="1"/>
  <c r="A253" i="41" s="1"/>
  <c r="A254" i="41" s="1"/>
  <c r="A255" i="41" s="1"/>
  <c r="A256" i="41" s="1"/>
  <c r="A257" i="41" s="1"/>
  <c r="A258" i="41" s="1"/>
  <c r="A259" i="41" s="1"/>
  <c r="A260" i="41" s="1"/>
  <c r="A261" i="41" s="1"/>
  <c r="A262" i="41" s="1"/>
  <c r="A263" i="41" s="1"/>
  <c r="A264" i="41" s="1"/>
  <c r="A265" i="41" s="1"/>
  <c r="A266" i="41" s="1"/>
  <c r="A267" i="41" s="1"/>
  <c r="A268" i="41" s="1"/>
  <c r="A269" i="41" s="1"/>
  <c r="A270" i="41" s="1"/>
  <c r="A271" i="41" s="1"/>
  <c r="A272" i="41" s="1"/>
  <c r="A273" i="41" s="1"/>
  <c r="A274" i="41" s="1"/>
  <c r="A275" i="41" s="1"/>
  <c r="A276" i="41" s="1"/>
  <c r="A277" i="41" s="1"/>
  <c r="A278" i="41" s="1"/>
  <c r="A279" i="41" s="1"/>
  <c r="A280" i="41" s="1"/>
  <c r="A281" i="41" s="1"/>
  <c r="A282" i="41" s="1"/>
  <c r="A283" i="41" s="1"/>
  <c r="A284" i="41" s="1"/>
  <c r="A285" i="41" s="1"/>
  <c r="A286" i="41" s="1"/>
  <c r="A287" i="41" s="1"/>
  <c r="A288" i="41" s="1"/>
  <c r="A289" i="41" s="1"/>
  <c r="A290" i="41" s="1"/>
  <c r="A291" i="41" s="1"/>
  <c r="A292" i="41" s="1"/>
  <c r="A293" i="41" s="1"/>
  <c r="A294" i="41" s="1"/>
  <c r="A295" i="41" s="1"/>
  <c r="A296" i="41" s="1"/>
  <c r="A297" i="41" s="1"/>
  <c r="A298" i="41" s="1"/>
  <c r="A299" i="41" s="1"/>
  <c r="A300" i="41" s="1"/>
  <c r="A301" i="41" s="1"/>
  <c r="A302" i="41" s="1"/>
  <c r="A303" i="41" s="1"/>
  <c r="A304" i="41" s="1"/>
  <c r="A305" i="41" s="1"/>
  <c r="A306" i="41" s="1"/>
  <c r="A307" i="41" s="1"/>
  <c r="A308" i="41" s="1"/>
  <c r="A309" i="41" s="1"/>
  <c r="A310" i="41" s="1"/>
  <c r="A311" i="41" s="1"/>
  <c r="A312" i="41" s="1"/>
  <c r="A313" i="41" s="1"/>
  <c r="A314" i="41" s="1"/>
  <c r="A315" i="41" s="1"/>
  <c r="A316" i="41" s="1"/>
  <c r="A317" i="41" s="1"/>
  <c r="A318" i="41" s="1"/>
  <c r="A319" i="41" s="1"/>
  <c r="A320" i="41" s="1"/>
  <c r="A321" i="41" s="1"/>
  <c r="A322" i="41" s="1"/>
  <c r="A323" i="41" s="1"/>
  <c r="A324" i="41" s="1"/>
  <c r="A325" i="41" s="1"/>
  <c r="A326" i="41" s="1"/>
  <c r="A327" i="41" s="1"/>
  <c r="A328" i="41" s="1"/>
  <c r="A329" i="41" s="1"/>
  <c r="A330" i="41" s="1"/>
  <c r="A331" i="41" s="1"/>
  <c r="A332" i="41" s="1"/>
  <c r="A333" i="41" s="1"/>
  <c r="A334" i="41" s="1"/>
  <c r="A335" i="41" s="1"/>
  <c r="A336" i="41" s="1"/>
  <c r="A337" i="41" s="1"/>
  <c r="A338" i="41" s="1"/>
  <c r="A339" i="41" s="1"/>
  <c r="A340" i="41" s="1"/>
  <c r="A341" i="41" s="1"/>
  <c r="A342" i="41" s="1"/>
  <c r="A343" i="41" s="1"/>
  <c r="A344" i="41" s="1"/>
  <c r="A345" i="41" s="1"/>
  <c r="A346" i="41" s="1"/>
  <c r="A347" i="41" s="1"/>
  <c r="A348" i="41" s="1"/>
  <c r="A349" i="41" s="1"/>
  <c r="A350" i="41" s="1"/>
  <c r="A351" i="41" s="1"/>
  <c r="A352" i="41" s="1"/>
  <c r="A353" i="41" s="1"/>
  <c r="A354" i="41" s="1"/>
  <c r="A355" i="41" s="1"/>
  <c r="A356" i="41" s="1"/>
  <c r="A357" i="41" s="1"/>
  <c r="A358" i="41" s="1"/>
  <c r="A359" i="41" s="1"/>
  <c r="A360" i="41" s="1"/>
  <c r="A361" i="41" s="1"/>
  <c r="A362" i="41" s="1"/>
  <c r="A363" i="41" s="1"/>
  <c r="A364" i="41" s="1"/>
  <c r="A365" i="41" s="1"/>
  <c r="A366" i="41" s="1"/>
  <c r="A367" i="41" s="1"/>
  <c r="A368" i="41" s="1"/>
  <c r="A369" i="41" s="1"/>
  <c r="A370" i="41" s="1"/>
  <c r="A371" i="41" s="1"/>
  <c r="A372" i="41" s="1"/>
  <c r="A373" i="41" s="1"/>
  <c r="A374" i="41" s="1"/>
  <c r="A375" i="41" s="1"/>
  <c r="A376" i="41" s="1"/>
  <c r="A377" i="41" s="1"/>
  <c r="A378" i="41" s="1"/>
  <c r="A379" i="41" s="1"/>
  <c r="A380" i="41" s="1"/>
  <c r="A381" i="41" s="1"/>
  <c r="A382" i="41" s="1"/>
  <c r="A383" i="41" s="1"/>
  <c r="A384" i="41" s="1"/>
  <c r="A385" i="41" s="1"/>
  <c r="A386" i="41" s="1"/>
  <c r="A387" i="41" s="1"/>
  <c r="A388" i="41" s="1"/>
  <c r="A389" i="41" s="1"/>
  <c r="A390" i="41" s="1"/>
  <c r="A391" i="41" s="1"/>
  <c r="A392" i="41" s="1"/>
  <c r="A393" i="41" s="1"/>
  <c r="A394" i="41" s="1"/>
  <c r="A395" i="41" s="1"/>
  <c r="A396" i="41" s="1"/>
  <c r="A397" i="41" s="1"/>
  <c r="A398" i="41" s="1"/>
  <c r="A399" i="41" s="1"/>
  <c r="A400" i="41" s="1"/>
  <c r="A401" i="41" s="1"/>
  <c r="A402" i="41" s="1"/>
  <c r="A403" i="41" s="1"/>
  <c r="A404" i="41" s="1"/>
  <c r="A405" i="41" s="1"/>
  <c r="A406" i="41" s="1"/>
  <c r="A407" i="41" s="1"/>
  <c r="A408" i="41" s="1"/>
  <c r="A409" i="41" s="1"/>
  <c r="A410" i="41" s="1"/>
  <c r="A411" i="41" s="1"/>
  <c r="A412" i="41" s="1"/>
  <c r="A413" i="41" s="1"/>
  <c r="A414" i="41" s="1"/>
  <c r="A415" i="41" s="1"/>
  <c r="A416" i="41" s="1"/>
  <c r="A417" i="41" s="1"/>
  <c r="A418" i="41" s="1"/>
  <c r="A419" i="41" s="1"/>
  <c r="A420" i="41" s="1"/>
  <c r="A421" i="41" s="1"/>
  <c r="A422" i="41" s="1"/>
  <c r="A423" i="41" s="1"/>
  <c r="A424" i="41" s="1"/>
  <c r="A425" i="41" s="1"/>
  <c r="A426" i="41" s="1"/>
  <c r="A427" i="41" s="1"/>
  <c r="A428" i="41" s="1"/>
  <c r="A429" i="41" s="1"/>
  <c r="A430" i="41" s="1"/>
  <c r="A431" i="41" s="1"/>
  <c r="A432" i="41" s="1"/>
  <c r="A433" i="41" s="1"/>
  <c r="A434" i="41" s="1"/>
  <c r="A435" i="41" s="1"/>
  <c r="A436" i="41" s="1"/>
  <c r="A437" i="41" s="1"/>
  <c r="A438" i="41" s="1"/>
  <c r="A439" i="41" s="1"/>
  <c r="A1" i="41" s="1"/>
  <c r="A4" i="41"/>
  <c r="E146" i="9" l="1"/>
  <c r="K146" i="9" s="1"/>
  <c r="L146" i="9" s="1"/>
  <c r="O146" i="9" s="1"/>
  <c r="Q146" i="9"/>
  <c r="U146" i="9"/>
  <c r="E147" i="9"/>
  <c r="J147" i="9" s="1"/>
  <c r="Q147" i="9"/>
  <c r="U147" i="9"/>
  <c r="E148" i="9"/>
  <c r="I148" i="9" s="1"/>
  <c r="Q148" i="9"/>
  <c r="U148" i="9"/>
  <c r="E149" i="9"/>
  <c r="J149" i="9" s="1"/>
  <c r="Q149" i="9"/>
  <c r="U149" i="9"/>
  <c r="E150" i="9"/>
  <c r="I150" i="9" s="1"/>
  <c r="Q150" i="9"/>
  <c r="U150" i="9"/>
  <c r="I149" i="9" l="1"/>
  <c r="K148" i="9"/>
  <c r="L148" i="9" s="1"/>
  <c r="O148" i="9" s="1"/>
  <c r="K149" i="9"/>
  <c r="L149" i="9" s="1"/>
  <c r="O149" i="9" s="1"/>
  <c r="J146" i="9"/>
  <c r="K150" i="9"/>
  <c r="L150" i="9" s="1"/>
  <c r="O150" i="9" s="1"/>
  <c r="J148" i="9"/>
  <c r="I146" i="9"/>
  <c r="J150" i="9"/>
  <c r="K147" i="9"/>
  <c r="L147" i="9" s="1"/>
  <c r="O147" i="9" s="1"/>
  <c r="I147" i="9"/>
  <c r="H488" i="4" l="1"/>
  <c r="A10" i="37" l="1"/>
  <c r="A11" i="37" s="1"/>
  <c r="A12" i="37"/>
  <c r="A13" i="37"/>
  <c r="A14" i="37" s="1"/>
  <c r="A15" i="37" s="1"/>
  <c r="A16" i="37"/>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A297" i="37" s="1"/>
  <c r="A298" i="37" s="1"/>
  <c r="A299" i="37" s="1"/>
  <c r="A300" i="37" s="1"/>
  <c r="A301" i="37" s="1"/>
  <c r="A302" i="37" s="1"/>
  <c r="A303" i="37" s="1"/>
  <c r="A304" i="37" s="1"/>
  <c r="A305" i="37" s="1"/>
  <c r="A306" i="37" s="1"/>
  <c r="A307" i="37" s="1"/>
  <c r="A308" i="37" s="1"/>
  <c r="A309" i="37" s="1"/>
  <c r="A310" i="37" s="1"/>
  <c r="A311" i="37" s="1"/>
  <c r="A312" i="37" s="1"/>
  <c r="A313" i="37" s="1"/>
  <c r="A314" i="37" s="1"/>
  <c r="A315" i="37" s="1"/>
  <c r="A316" i="37" s="1"/>
  <c r="A317" i="37" s="1"/>
  <c r="A318" i="37" s="1"/>
  <c r="A319" i="37" s="1"/>
  <c r="A320" i="37" s="1"/>
  <c r="A321" i="37" s="1"/>
  <c r="A322" i="37" s="1"/>
  <c r="A323" i="37" s="1"/>
  <c r="A324" i="37" s="1"/>
  <c r="A325" i="37" s="1"/>
  <c r="A326" i="37" s="1"/>
  <c r="A327" i="37" s="1"/>
  <c r="A328" i="37" s="1"/>
  <c r="A329" i="37" s="1"/>
  <c r="A330" i="37" s="1"/>
  <c r="A331" i="37" s="1"/>
  <c r="A332" i="37" s="1"/>
  <c r="A333" i="37" s="1"/>
  <c r="A334" i="37" s="1"/>
  <c r="A335" i="37" s="1"/>
  <c r="A336" i="37" s="1"/>
  <c r="A337" i="37" s="1"/>
  <c r="A338" i="37" s="1"/>
  <c r="A339" i="37" s="1"/>
  <c r="A340" i="37" s="1"/>
  <c r="A341" i="37" s="1"/>
  <c r="A342" i="37" s="1"/>
  <c r="A343" i="37" s="1"/>
  <c r="A344" i="37" s="1"/>
  <c r="A345" i="37" s="1"/>
  <c r="A346" i="37" s="1"/>
  <c r="A347" i="37" s="1"/>
  <c r="A348" i="37" s="1"/>
  <c r="A349" i="37" s="1"/>
  <c r="A350" i="37" s="1"/>
  <c r="A351" i="37" s="1"/>
  <c r="A352" i="37" s="1"/>
  <c r="A353" i="37" s="1"/>
  <c r="A354" i="37" s="1"/>
  <c r="A355" i="37" s="1"/>
  <c r="A356" i="37" s="1"/>
  <c r="A357" i="37" s="1"/>
  <c r="A358" i="37" s="1"/>
  <c r="A359" i="37" s="1"/>
  <c r="A360" i="37" s="1"/>
  <c r="A361" i="37" s="1"/>
  <c r="A362" i="37" s="1"/>
  <c r="A363" i="37" s="1"/>
  <c r="A364" i="37" s="1"/>
  <c r="A365" i="37" s="1"/>
  <c r="A366" i="37" s="1"/>
  <c r="A367" i="37" s="1"/>
  <c r="A368" i="37" s="1"/>
  <c r="A369" i="37" s="1"/>
  <c r="A370" i="37" s="1"/>
  <c r="A371" i="37" s="1"/>
  <c r="A372" i="37" s="1"/>
  <c r="A373" i="37" s="1"/>
  <c r="A374" i="37" s="1"/>
  <c r="A375" i="37" s="1"/>
  <c r="A376" i="37" s="1"/>
  <c r="A377" i="37" s="1"/>
  <c r="A378" i="37" s="1"/>
  <c r="A379" i="37" s="1"/>
  <c r="A380" i="37" s="1"/>
  <c r="A381" i="37" s="1"/>
  <c r="A382" i="37" s="1"/>
  <c r="A383" i="37" s="1"/>
  <c r="A384" i="37" s="1"/>
  <c r="A385" i="37" s="1"/>
  <c r="A386" i="37" s="1"/>
  <c r="A387" i="37" s="1"/>
  <c r="A388" i="37" s="1"/>
  <c r="A389" i="37" s="1"/>
  <c r="A390" i="37" s="1"/>
  <c r="A391" i="37" s="1"/>
  <c r="A392" i="37" s="1"/>
  <c r="A393" i="37" s="1"/>
  <c r="A394" i="37" s="1"/>
  <c r="A395" i="37" s="1"/>
  <c r="A396" i="37" s="1"/>
  <c r="A397" i="37" s="1"/>
  <c r="A398" i="37" s="1"/>
  <c r="A399" i="37" s="1"/>
  <c r="A400" i="37" s="1"/>
  <c r="A401" i="37" s="1"/>
  <c r="A402" i="37" s="1"/>
  <c r="A403" i="37" s="1"/>
  <c r="A404" i="37" s="1"/>
  <c r="A405" i="37" s="1"/>
  <c r="A406" i="37" s="1"/>
  <c r="A407" i="37" s="1"/>
  <c r="A408" i="37" s="1"/>
  <c r="A409" i="37" s="1"/>
  <c r="A410" i="37" s="1"/>
  <c r="A411" i="37" s="1"/>
  <c r="A412" i="37" s="1"/>
  <c r="A413" i="37" s="1"/>
  <c r="A414" i="37" s="1"/>
  <c r="A415" i="37" s="1"/>
  <c r="A416" i="37" s="1"/>
  <c r="A417" i="37" s="1"/>
  <c r="A418" i="37" s="1"/>
  <c r="A419" i="37" s="1"/>
  <c r="A420" i="37" s="1"/>
  <c r="A421" i="37" s="1"/>
  <c r="A422" i="37" s="1"/>
  <c r="A423" i="37" s="1"/>
  <c r="A424" i="37" s="1"/>
  <c r="A425" i="37" s="1"/>
  <c r="A426" i="37" s="1"/>
  <c r="A427" i="37" s="1"/>
  <c r="A428" i="37" s="1"/>
  <c r="A429" i="37" s="1"/>
  <c r="A430" i="37" s="1"/>
  <c r="A431" i="37" s="1"/>
  <c r="A432" i="37" s="1"/>
  <c r="A433" i="37" s="1"/>
  <c r="A434" i="37" s="1"/>
  <c r="A435" i="37" s="1"/>
  <c r="A436" i="37" s="1"/>
  <c r="A437" i="37" s="1"/>
  <c r="A438" i="37" s="1"/>
  <c r="A439" i="37" s="1"/>
  <c r="H15" i="37"/>
  <c r="H477" i="4"/>
  <c r="H478" i="4"/>
  <c r="H479" i="4"/>
  <c r="H480" i="4"/>
  <c r="H481" i="4"/>
  <c r="H482" i="4"/>
  <c r="H483" i="4"/>
  <c r="H484" i="4"/>
  <c r="H485" i="4"/>
  <c r="H486" i="4"/>
  <c r="H487"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466" i="4" l="1"/>
  <c r="H467" i="4"/>
  <c r="H468" i="4"/>
  <c r="H469" i="4"/>
  <c r="H470" i="4"/>
  <c r="H471" i="4"/>
  <c r="H472" i="4"/>
  <c r="H473" i="4"/>
  <c r="H474" i="4"/>
  <c r="H475" i="4"/>
  <c r="H476" i="4"/>
  <c r="H542" i="4"/>
  <c r="H543" i="4"/>
  <c r="H544" i="4"/>
  <c r="F41" i="12" l="1"/>
  <c r="B6" i="6" l="1"/>
  <c r="F6" i="6"/>
  <c r="E131" i="9" l="1"/>
  <c r="I131" i="9" s="1"/>
  <c r="Q131" i="9"/>
  <c r="U131" i="9"/>
  <c r="E132" i="9"/>
  <c r="K132" i="9" s="1"/>
  <c r="L132" i="9" s="1"/>
  <c r="O132" i="9" s="1"/>
  <c r="Q132" i="9"/>
  <c r="U132" i="9"/>
  <c r="E133" i="9"/>
  <c r="J133" i="9" s="1"/>
  <c r="Q133" i="9"/>
  <c r="U133" i="9"/>
  <c r="E134" i="9"/>
  <c r="J134" i="9" s="1"/>
  <c r="I134" i="9"/>
  <c r="Q134" i="9"/>
  <c r="U134" i="9"/>
  <c r="E135" i="9"/>
  <c r="J135" i="9" s="1"/>
  <c r="I135" i="9"/>
  <c r="Q135" i="9"/>
  <c r="U135" i="9"/>
  <c r="E136" i="9"/>
  <c r="K136" i="9" s="1"/>
  <c r="L136" i="9" s="1"/>
  <c r="O136" i="9" s="1"/>
  <c r="I136" i="9"/>
  <c r="Q136" i="9"/>
  <c r="U136" i="9"/>
  <c r="E137" i="9"/>
  <c r="Q137" i="9"/>
  <c r="U137" i="9"/>
  <c r="E138" i="9"/>
  <c r="K138" i="9" s="1"/>
  <c r="L138" i="9" s="1"/>
  <c r="O138" i="9" s="1"/>
  <c r="Q138" i="9"/>
  <c r="U138" i="9"/>
  <c r="E139" i="9"/>
  <c r="J139" i="9" s="1"/>
  <c r="Q139" i="9"/>
  <c r="U139" i="9"/>
  <c r="E140" i="9"/>
  <c r="I140" i="9" s="1"/>
  <c r="Q140" i="9"/>
  <c r="U140" i="9"/>
  <c r="E141" i="9"/>
  <c r="J141" i="9" s="1"/>
  <c r="Q141" i="9"/>
  <c r="U141" i="9"/>
  <c r="E142" i="9"/>
  <c r="J142" i="9" s="1"/>
  <c r="Q142" i="9"/>
  <c r="U142" i="9"/>
  <c r="E143" i="9"/>
  <c r="J143" i="9" s="1"/>
  <c r="Q143" i="9"/>
  <c r="U143" i="9"/>
  <c r="E144" i="9"/>
  <c r="K144" i="9" s="1"/>
  <c r="L144" i="9" s="1"/>
  <c r="O144" i="9" s="1"/>
  <c r="Q144" i="9"/>
  <c r="U144" i="9"/>
  <c r="E145" i="9"/>
  <c r="I145" i="9" s="1"/>
  <c r="Q145" i="9"/>
  <c r="U145" i="9"/>
  <c r="K133" i="9" l="1"/>
  <c r="L133" i="9" s="1"/>
  <c r="O133" i="9" s="1"/>
  <c r="I139" i="9"/>
  <c r="J138" i="9"/>
  <c r="I143" i="9"/>
  <c r="I142" i="9"/>
  <c r="K141" i="9"/>
  <c r="L141" i="9" s="1"/>
  <c r="O141" i="9" s="1"/>
  <c r="J137" i="9"/>
  <c r="N137" i="9"/>
  <c r="I141" i="9"/>
  <c r="I138" i="9"/>
  <c r="J136" i="9"/>
  <c r="J144" i="9"/>
  <c r="I133" i="9"/>
  <c r="I132" i="9"/>
  <c r="K131" i="9"/>
  <c r="L131" i="9" s="1"/>
  <c r="I144" i="9"/>
  <c r="K143" i="9"/>
  <c r="L143" i="9" s="1"/>
  <c r="O143" i="9" s="1"/>
  <c r="K135" i="9"/>
  <c r="L135" i="9" s="1"/>
  <c r="O135" i="9" s="1"/>
  <c r="K140" i="9"/>
  <c r="L140" i="9" s="1"/>
  <c r="O140" i="9" s="1"/>
  <c r="K142" i="9"/>
  <c r="L142" i="9" s="1"/>
  <c r="O142" i="9" s="1"/>
  <c r="J140" i="9"/>
  <c r="K137" i="9"/>
  <c r="L137" i="9" s="1"/>
  <c r="K134" i="9"/>
  <c r="L134" i="9" s="1"/>
  <c r="O134" i="9" s="1"/>
  <c r="J145" i="9"/>
  <c r="K139" i="9"/>
  <c r="L139" i="9" s="1"/>
  <c r="O139" i="9" s="1"/>
  <c r="I137" i="9"/>
  <c r="J131" i="9"/>
  <c r="N131" i="9"/>
  <c r="J132" i="9"/>
  <c r="K145" i="9"/>
  <c r="L145" i="9" s="1"/>
  <c r="O145" i="9" s="1"/>
  <c r="O137" i="9" l="1"/>
  <c r="O131" i="9"/>
  <c r="P153" i="9" l="1"/>
  <c r="P156" i="9" s="1"/>
  <c r="H436" i="4" l="1"/>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B32" i="12" l="1"/>
  <c r="B69" i="12" s="1"/>
  <c r="H427" i="4" l="1"/>
  <c r="E112" i="9" l="1"/>
  <c r="K112" i="9" s="1"/>
  <c r="L112" i="9" s="1"/>
  <c r="O112" i="9" s="1"/>
  <c r="E113" i="9"/>
  <c r="I113" i="9" s="1"/>
  <c r="Q112" i="9"/>
  <c r="Q113" i="9"/>
  <c r="U112" i="9"/>
  <c r="U113" i="9"/>
  <c r="E114" i="9"/>
  <c r="N114" i="9" s="1"/>
  <c r="E115" i="9"/>
  <c r="I115" i="9" s="1"/>
  <c r="Q114" i="9"/>
  <c r="Q115" i="9"/>
  <c r="U114" i="9"/>
  <c r="U115" i="9"/>
  <c r="E116" i="9"/>
  <c r="I116" i="9" s="1"/>
  <c r="E117" i="9"/>
  <c r="J117" i="9" s="1"/>
  <c r="Q116" i="9"/>
  <c r="Q117" i="9"/>
  <c r="U116" i="9"/>
  <c r="U117" i="9"/>
  <c r="E118" i="9"/>
  <c r="I118" i="9" s="1"/>
  <c r="E119" i="9"/>
  <c r="J119" i="9" s="1"/>
  <c r="Q118" i="9"/>
  <c r="Q119" i="9"/>
  <c r="U118" i="9"/>
  <c r="U119" i="9"/>
  <c r="E120" i="9"/>
  <c r="I120" i="9" s="1"/>
  <c r="E121" i="9"/>
  <c r="Q120" i="9"/>
  <c r="Q121" i="9"/>
  <c r="U120" i="9"/>
  <c r="U121" i="9"/>
  <c r="E122" i="9"/>
  <c r="I122" i="9" s="1"/>
  <c r="E123" i="9"/>
  <c r="J123" i="9" s="1"/>
  <c r="Q122" i="9"/>
  <c r="Q123" i="9"/>
  <c r="U122" i="9"/>
  <c r="U123" i="9"/>
  <c r="E124" i="9"/>
  <c r="I124" i="9" s="1"/>
  <c r="E125" i="9"/>
  <c r="I125" i="9" s="1"/>
  <c r="Q124" i="9"/>
  <c r="Q125" i="9"/>
  <c r="U124" i="9"/>
  <c r="U125" i="9"/>
  <c r="E126" i="9"/>
  <c r="I126" i="9" s="1"/>
  <c r="E127" i="9"/>
  <c r="J127" i="9" s="1"/>
  <c r="Q126" i="9"/>
  <c r="Q127" i="9"/>
  <c r="U126" i="9"/>
  <c r="U127" i="9"/>
  <c r="E128" i="9"/>
  <c r="I128" i="9" s="1"/>
  <c r="E129" i="9"/>
  <c r="I129" i="9" s="1"/>
  <c r="Q128" i="9"/>
  <c r="Q129" i="9"/>
  <c r="U128" i="9"/>
  <c r="U129" i="9"/>
  <c r="J112" i="9" l="1"/>
  <c r="I112" i="9"/>
  <c r="I121" i="9"/>
  <c r="N121" i="9"/>
  <c r="K113" i="9"/>
  <c r="L113" i="9" s="1"/>
  <c r="O113" i="9" s="1"/>
  <c r="I127" i="9"/>
  <c r="J113" i="9"/>
  <c r="K117" i="9"/>
  <c r="L117" i="9" s="1"/>
  <c r="O117" i="9" s="1"/>
  <c r="I123" i="9"/>
  <c r="K115" i="9"/>
  <c r="L115" i="9" s="1"/>
  <c r="O115" i="9" s="1"/>
  <c r="I119" i="9"/>
  <c r="I117" i="9"/>
  <c r="J115" i="9"/>
  <c r="J114" i="9"/>
  <c r="J116" i="9"/>
  <c r="K116" i="9"/>
  <c r="L116" i="9" s="1"/>
  <c r="O116" i="9" s="1"/>
  <c r="K114" i="9"/>
  <c r="L114" i="9" s="1"/>
  <c r="O114" i="9" s="1"/>
  <c r="I114" i="9"/>
  <c r="J118" i="9"/>
  <c r="K119" i="9"/>
  <c r="L119" i="9" s="1"/>
  <c r="O119" i="9" s="1"/>
  <c r="K127" i="9"/>
  <c r="L127" i="9" s="1"/>
  <c r="O127" i="9" s="1"/>
  <c r="K123" i="9"/>
  <c r="L123" i="9" s="1"/>
  <c r="O123" i="9" s="1"/>
  <c r="K129" i="9"/>
  <c r="L129" i="9" s="1"/>
  <c r="O129" i="9" s="1"/>
  <c r="J126" i="9"/>
  <c r="K125" i="9"/>
  <c r="L125" i="9" s="1"/>
  <c r="O125" i="9" s="1"/>
  <c r="J122" i="9"/>
  <c r="K121" i="9"/>
  <c r="L121" i="9" s="1"/>
  <c r="J125" i="9"/>
  <c r="J121" i="9"/>
  <c r="J128" i="9"/>
  <c r="J124" i="9"/>
  <c r="J120" i="9"/>
  <c r="J129" i="9"/>
  <c r="K128" i="9"/>
  <c r="L128" i="9" s="1"/>
  <c r="O128" i="9" s="1"/>
  <c r="K126" i="9"/>
  <c r="L126" i="9" s="1"/>
  <c r="O126" i="9" s="1"/>
  <c r="K124" i="9"/>
  <c r="L124" i="9" s="1"/>
  <c r="O124" i="9" s="1"/>
  <c r="K122" i="9"/>
  <c r="L122" i="9" s="1"/>
  <c r="O122" i="9" s="1"/>
  <c r="K120" i="9"/>
  <c r="L120" i="9" s="1"/>
  <c r="O120" i="9" s="1"/>
  <c r="K118" i="9"/>
  <c r="L118" i="9" s="1"/>
  <c r="O118" i="9" s="1"/>
  <c r="O121" i="9" l="1"/>
  <c r="D151" i="9" l="1"/>
  <c r="H439" i="37" l="1"/>
  <c r="H438" i="37"/>
  <c r="H437" i="37"/>
  <c r="H436" i="37"/>
  <c r="H435" i="37"/>
  <c r="H434" i="37"/>
  <c r="H433" i="37"/>
  <c r="H432" i="37"/>
  <c r="H431" i="37"/>
  <c r="H430" i="37"/>
  <c r="H429" i="37"/>
  <c r="H428" i="37"/>
  <c r="H427" i="37"/>
  <c r="H426" i="37"/>
  <c r="H425" i="37"/>
  <c r="H424" i="37"/>
  <c r="H423" i="37"/>
  <c r="H422" i="37"/>
  <c r="H421" i="37"/>
  <c r="H420" i="37"/>
  <c r="H419" i="37"/>
  <c r="H418" i="37"/>
  <c r="H417" i="37"/>
  <c r="H416" i="37"/>
  <c r="H415" i="37"/>
  <c r="H414" i="37"/>
  <c r="H413" i="37"/>
  <c r="H412" i="37"/>
  <c r="H411" i="37"/>
  <c r="H410" i="37"/>
  <c r="H409" i="37"/>
  <c r="H408" i="37"/>
  <c r="H407" i="37"/>
  <c r="H406" i="37"/>
  <c r="H405" i="37"/>
  <c r="H404" i="37"/>
  <c r="H403" i="37"/>
  <c r="H402" i="37"/>
  <c r="H401" i="37"/>
  <c r="H400" i="37"/>
  <c r="H399" i="37"/>
  <c r="H398" i="37"/>
  <c r="H397" i="37"/>
  <c r="H396" i="37"/>
  <c r="H395" i="37"/>
  <c r="H394" i="37"/>
  <c r="H393" i="37"/>
  <c r="H392" i="37"/>
  <c r="H391" i="37"/>
  <c r="H390" i="37"/>
  <c r="H389" i="37"/>
  <c r="H388" i="37"/>
  <c r="H387" i="37"/>
  <c r="H386" i="37"/>
  <c r="H385" i="37"/>
  <c r="H384" i="37"/>
  <c r="H383" i="37"/>
  <c r="H382" i="37"/>
  <c r="H381" i="37"/>
  <c r="H380" i="37"/>
  <c r="H379" i="37"/>
  <c r="H378" i="37"/>
  <c r="H377" i="37"/>
  <c r="H376" i="37"/>
  <c r="H375" i="37"/>
  <c r="H374" i="37"/>
  <c r="H373" i="37"/>
  <c r="H372" i="37"/>
  <c r="H371" i="37"/>
  <c r="H370" i="37"/>
  <c r="H369" i="37"/>
  <c r="H368" i="37"/>
  <c r="H367" i="37"/>
  <c r="H366" i="37"/>
  <c r="H365" i="37"/>
  <c r="H364" i="37"/>
  <c r="H363" i="37"/>
  <c r="H362" i="37"/>
  <c r="H361" i="37"/>
  <c r="H360" i="37"/>
  <c r="H359" i="37"/>
  <c r="H358" i="37"/>
  <c r="H357" i="37"/>
  <c r="H356" i="37"/>
  <c r="H355" i="37"/>
  <c r="H354" i="37"/>
  <c r="H353" i="37"/>
  <c r="H352" i="37"/>
  <c r="H351" i="37"/>
  <c r="H350" i="37"/>
  <c r="H349" i="37"/>
  <c r="H348" i="37"/>
  <c r="H347" i="37"/>
  <c r="H346" i="37"/>
  <c r="H345" i="37"/>
  <c r="H344" i="37"/>
  <c r="H343" i="37"/>
  <c r="H342" i="37"/>
  <c r="H341" i="37"/>
  <c r="H340" i="37"/>
  <c r="H339" i="37"/>
  <c r="H338" i="37"/>
  <c r="H337" i="37"/>
  <c r="H336" i="37"/>
  <c r="H335" i="37"/>
  <c r="H334" i="37"/>
  <c r="H333" i="37"/>
  <c r="H332" i="37"/>
  <c r="H331" i="37"/>
  <c r="H330" i="37"/>
  <c r="H329" i="37"/>
  <c r="H328" i="37"/>
  <c r="H327" i="37"/>
  <c r="H326" i="37"/>
  <c r="H325" i="37"/>
  <c r="H324" i="37"/>
  <c r="H323" i="37"/>
  <c r="H322" i="37"/>
  <c r="H321" i="37"/>
  <c r="H320" i="37"/>
  <c r="H319" i="37"/>
  <c r="H318" i="37"/>
  <c r="H317" i="37"/>
  <c r="H316" i="37"/>
  <c r="H315" i="37"/>
  <c r="H314" i="37"/>
  <c r="H313" i="37"/>
  <c r="H312" i="37"/>
  <c r="H311" i="37"/>
  <c r="H310" i="37"/>
  <c r="H309" i="37"/>
  <c r="H308" i="37"/>
  <c r="H307" i="37"/>
  <c r="H306" i="37"/>
  <c r="H305" i="37"/>
  <c r="H304" i="37"/>
  <c r="H303" i="37"/>
  <c r="H302" i="37"/>
  <c r="H301" i="37"/>
  <c r="H300" i="37"/>
  <c r="H299" i="37"/>
  <c r="H298" i="37"/>
  <c r="H297" i="37"/>
  <c r="H296" i="37"/>
  <c r="H295" i="37"/>
  <c r="H294" i="37"/>
  <c r="H293" i="37"/>
  <c r="H292" i="37"/>
  <c r="H291" i="37"/>
  <c r="H290" i="37"/>
  <c r="H289" i="37"/>
  <c r="H288" i="37"/>
  <c r="H287" i="37"/>
  <c r="H286" i="37"/>
  <c r="H285" i="37"/>
  <c r="H284" i="37"/>
  <c r="H283" i="37"/>
  <c r="H282" i="37"/>
  <c r="H281" i="37"/>
  <c r="H280" i="37"/>
  <c r="H279" i="37"/>
  <c r="H278" i="37"/>
  <c r="H277" i="37"/>
  <c r="H276" i="37"/>
  <c r="H275" i="37"/>
  <c r="H274" i="37"/>
  <c r="H273" i="37"/>
  <c r="H272" i="37"/>
  <c r="H271" i="37"/>
  <c r="H270" i="37"/>
  <c r="H269" i="37"/>
  <c r="H268" i="37"/>
  <c r="H267" i="37"/>
  <c r="H266" i="37"/>
  <c r="H265" i="37"/>
  <c r="H264" i="37"/>
  <c r="H263" i="37"/>
  <c r="H262" i="37"/>
  <c r="H261" i="37"/>
  <c r="H260" i="37"/>
  <c r="H259" i="37"/>
  <c r="H258" i="37"/>
  <c r="H257" i="37"/>
  <c r="H256" i="37"/>
  <c r="H255" i="37"/>
  <c r="H254" i="37"/>
  <c r="H253" i="37"/>
  <c r="H252" i="37"/>
  <c r="H251" i="37"/>
  <c r="H250" i="37"/>
  <c r="H249" i="37"/>
  <c r="H248" i="37"/>
  <c r="H247" i="37"/>
  <c r="H246" i="37"/>
  <c r="H245" i="37"/>
  <c r="H244" i="37"/>
  <c r="H243" i="37"/>
  <c r="H242" i="37"/>
  <c r="H241" i="37"/>
  <c r="H240" i="37"/>
  <c r="H239" i="37"/>
  <c r="H238" i="37"/>
  <c r="H237" i="37"/>
  <c r="H236" i="37"/>
  <c r="H235" i="37"/>
  <c r="H234" i="37"/>
  <c r="H233" i="37"/>
  <c r="H232" i="37"/>
  <c r="H231" i="37"/>
  <c r="H229" i="37"/>
  <c r="H228" i="37"/>
  <c r="H227" i="37"/>
  <c r="H226" i="37"/>
  <c r="H225" i="37"/>
  <c r="H224" i="37"/>
  <c r="H223" i="37"/>
  <c r="H222" i="37"/>
  <c r="H221" i="37"/>
  <c r="H220" i="37"/>
  <c r="H219" i="37"/>
  <c r="H218" i="37"/>
  <c r="H217" i="37"/>
  <c r="H216" i="37"/>
  <c r="H215" i="37"/>
  <c r="H214" i="37"/>
  <c r="H213" i="37"/>
  <c r="H212" i="37"/>
  <c r="H211" i="37"/>
  <c r="H210" i="37"/>
  <c r="H209" i="37"/>
  <c r="H208" i="37"/>
  <c r="H207" i="37"/>
  <c r="H206" i="37"/>
  <c r="H205" i="37"/>
  <c r="H204" i="37"/>
  <c r="H203" i="37"/>
  <c r="H202" i="37"/>
  <c r="H201" i="37"/>
  <c r="H200" i="37"/>
  <c r="H199" i="37"/>
  <c r="H198" i="37"/>
  <c r="H197" i="37"/>
  <c r="H196" i="37"/>
  <c r="H195" i="37"/>
  <c r="H194" i="37"/>
  <c r="H193" i="37"/>
  <c r="H192" i="37"/>
  <c r="H191" i="37"/>
  <c r="H190" i="37"/>
  <c r="H189" i="37"/>
  <c r="H188" i="37"/>
  <c r="H187" i="37"/>
  <c r="H186" i="37"/>
  <c r="H185" i="37"/>
  <c r="H184" i="37"/>
  <c r="H183" i="37"/>
  <c r="H182" i="37"/>
  <c r="H181" i="37"/>
  <c r="H180" i="37"/>
  <c r="H179" i="37"/>
  <c r="H178" i="37"/>
  <c r="H177" i="37"/>
  <c r="H176" i="37"/>
  <c r="H175" i="37"/>
  <c r="H174" i="37"/>
  <c r="H173" i="37"/>
  <c r="H172" i="37"/>
  <c r="H171" i="37"/>
  <c r="H170" i="37"/>
  <c r="H169" i="37"/>
  <c r="H168" i="37"/>
  <c r="H167" i="37"/>
  <c r="H166" i="37"/>
  <c r="H165" i="37"/>
  <c r="H164" i="37"/>
  <c r="H163" i="37"/>
  <c r="H162" i="37"/>
  <c r="H161" i="37"/>
  <c r="H160" i="37"/>
  <c r="H159" i="37"/>
  <c r="H158" i="37"/>
  <c r="H157" i="37"/>
  <c r="H156" i="37"/>
  <c r="H155" i="37"/>
  <c r="H154" i="37"/>
  <c r="H153" i="37"/>
  <c r="H152" i="37"/>
  <c r="H151" i="37"/>
  <c r="H150" i="37"/>
  <c r="H149" i="37"/>
  <c r="H148" i="37"/>
  <c r="H147" i="37"/>
  <c r="H146" i="37"/>
  <c r="H145" i="37"/>
  <c r="H144" i="37"/>
  <c r="H143" i="37"/>
  <c r="H142" i="37"/>
  <c r="H141" i="37"/>
  <c r="H140" i="37"/>
  <c r="H139" i="37"/>
  <c r="H138" i="37"/>
  <c r="H137" i="37"/>
  <c r="H136" i="37"/>
  <c r="H135" i="37"/>
  <c r="H134" i="37"/>
  <c r="H133" i="37"/>
  <c r="H132" i="37"/>
  <c r="H131" i="37"/>
  <c r="H130" i="37"/>
  <c r="H129" i="37"/>
  <c r="H128" i="37"/>
  <c r="H127" i="37"/>
  <c r="H126" i="37"/>
  <c r="H125" i="37"/>
  <c r="H124" i="37"/>
  <c r="H123" i="37"/>
  <c r="H122" i="37"/>
  <c r="H121" i="37"/>
  <c r="H120" i="37"/>
  <c r="H119" i="37"/>
  <c r="H118" i="37"/>
  <c r="H117" i="37"/>
  <c r="H116" i="37"/>
  <c r="H115" i="37"/>
  <c r="H114" i="37"/>
  <c r="H113" i="37"/>
  <c r="H112" i="37"/>
  <c r="H111" i="37"/>
  <c r="H110" i="37"/>
  <c r="H109" i="37"/>
  <c r="H108" i="37"/>
  <c r="H107" i="37"/>
  <c r="H106" i="37"/>
  <c r="H105" i="37"/>
  <c r="H104" i="37"/>
  <c r="H103" i="37"/>
  <c r="H102" i="37"/>
  <c r="H101" i="37"/>
  <c r="H100" i="37"/>
  <c r="H99" i="37"/>
  <c r="H98" i="37"/>
  <c r="H97" i="37"/>
  <c r="H96" i="37"/>
  <c r="H95" i="37"/>
  <c r="H94" i="37"/>
  <c r="H93" i="37"/>
  <c r="H92" i="37"/>
  <c r="H91" i="37"/>
  <c r="H90" i="37"/>
  <c r="H89" i="37"/>
  <c r="H88" i="37"/>
  <c r="H87" i="37"/>
  <c r="H86" i="37"/>
  <c r="H85" i="37"/>
  <c r="H84" i="37"/>
  <c r="H83" i="37"/>
  <c r="H82" i="37"/>
  <c r="H81" i="37"/>
  <c r="H80" i="37"/>
  <c r="H79" i="37"/>
  <c r="H78" i="37"/>
  <c r="H77" i="37"/>
  <c r="H76" i="37"/>
  <c r="H75" i="37"/>
  <c r="H74" i="37"/>
  <c r="H73" i="37"/>
  <c r="H72" i="37"/>
  <c r="H71" i="37"/>
  <c r="H70" i="37"/>
  <c r="H69" i="37"/>
  <c r="H68" i="37"/>
  <c r="H67" i="37"/>
  <c r="H66" i="37"/>
  <c r="H65" i="37"/>
  <c r="H64" i="37"/>
  <c r="H63" i="37"/>
  <c r="H62" i="37"/>
  <c r="H61" i="37"/>
  <c r="H60" i="37"/>
  <c r="H59" i="37"/>
  <c r="H58" i="37"/>
  <c r="H57" i="37"/>
  <c r="H56" i="37"/>
  <c r="H55" i="37"/>
  <c r="H54" i="37"/>
  <c r="H53" i="37"/>
  <c r="H52" i="37"/>
  <c r="H51" i="37"/>
  <c r="H50" i="37"/>
  <c r="H49" i="37"/>
  <c r="H48" i="37"/>
  <c r="H47" i="37"/>
  <c r="H46" i="37"/>
  <c r="H45" i="37"/>
  <c r="H44" i="37"/>
  <c r="H43" i="37"/>
  <c r="H42" i="37"/>
  <c r="H41" i="37"/>
  <c r="H40" i="37"/>
  <c r="H39" i="37"/>
  <c r="H38" i="37"/>
  <c r="H37" i="37"/>
  <c r="H36" i="37"/>
  <c r="H35" i="37"/>
  <c r="H34" i="37"/>
  <c r="H33" i="37"/>
  <c r="H32" i="37"/>
  <c r="H31" i="37"/>
  <c r="H30" i="37"/>
  <c r="H29" i="37"/>
  <c r="H28" i="37"/>
  <c r="H27" i="37"/>
  <c r="H26" i="37"/>
  <c r="H25" i="37"/>
  <c r="H24" i="37"/>
  <c r="H23" i="37"/>
  <c r="H22" i="37"/>
  <c r="H21" i="37"/>
  <c r="H20" i="37"/>
  <c r="H19" i="37"/>
  <c r="H18" i="37"/>
  <c r="H17" i="37"/>
  <c r="H16" i="37"/>
  <c r="H14" i="37"/>
  <c r="H13" i="37"/>
  <c r="H12" i="37"/>
  <c r="H11" i="37"/>
  <c r="H10" i="37"/>
  <c r="H9" i="37"/>
  <c r="H8" i="37"/>
  <c r="H7" i="37"/>
  <c r="H6" i="37"/>
  <c r="H5" i="37"/>
  <c r="H4" i="37"/>
  <c r="A4" i="37"/>
  <c r="A5" i="37" s="1"/>
  <c r="A6" i="37" s="1"/>
  <c r="A7" i="37" s="1"/>
  <c r="A8" i="37" s="1"/>
  <c r="A9" i="37" s="1"/>
  <c r="A1" i="37" l="1"/>
  <c r="B7" i="12" s="1"/>
  <c r="C414" i="1" l="1"/>
  <c r="Q413" i="1"/>
  <c r="B414" i="1"/>
  <c r="H414" i="1"/>
  <c r="E95" i="9" l="1"/>
  <c r="I95" i="9" s="1"/>
  <c r="E96" i="9"/>
  <c r="J96" i="9" s="1"/>
  <c r="Q95" i="9"/>
  <c r="Q96" i="9"/>
  <c r="U95" i="9"/>
  <c r="U96" i="9"/>
  <c r="E97" i="9"/>
  <c r="I97" i="9" s="1"/>
  <c r="E98" i="9"/>
  <c r="K98" i="9" s="1"/>
  <c r="L98" i="9" s="1"/>
  <c r="O98" i="9" s="1"/>
  <c r="Q97" i="9"/>
  <c r="Q98" i="9"/>
  <c r="U97" i="9"/>
  <c r="U98" i="9"/>
  <c r="E99" i="9"/>
  <c r="J99" i="9" s="1"/>
  <c r="E100" i="9"/>
  <c r="J100" i="9" s="1"/>
  <c r="Q99" i="9"/>
  <c r="Q100" i="9"/>
  <c r="U99" i="9"/>
  <c r="U100" i="9"/>
  <c r="E101" i="9"/>
  <c r="I101" i="9" s="1"/>
  <c r="E102" i="9"/>
  <c r="J102" i="9" s="1"/>
  <c r="Q101" i="9"/>
  <c r="Q102" i="9"/>
  <c r="U101" i="9"/>
  <c r="U102" i="9"/>
  <c r="E103" i="9"/>
  <c r="J103" i="9" s="1"/>
  <c r="E104" i="9"/>
  <c r="K104" i="9" s="1"/>
  <c r="L104" i="9" s="1"/>
  <c r="O104" i="9" s="1"/>
  <c r="Q103" i="9"/>
  <c r="Q104" i="9"/>
  <c r="U103" i="9"/>
  <c r="U104" i="9"/>
  <c r="E105" i="9"/>
  <c r="E106" i="9"/>
  <c r="I106" i="9" s="1"/>
  <c r="Q105" i="9"/>
  <c r="Q106" i="9"/>
  <c r="U105" i="9"/>
  <c r="U106" i="9"/>
  <c r="E107" i="9"/>
  <c r="K107" i="9" s="1"/>
  <c r="L107" i="9" s="1"/>
  <c r="O107" i="9" s="1"/>
  <c r="E108" i="9"/>
  <c r="I108" i="9" s="1"/>
  <c r="Q107" i="9"/>
  <c r="Q108" i="9"/>
  <c r="U107" i="9"/>
  <c r="U108" i="9"/>
  <c r="E109" i="9"/>
  <c r="E110" i="9"/>
  <c r="I110" i="9" s="1"/>
  <c r="Q109" i="9"/>
  <c r="Q110" i="9"/>
  <c r="U109" i="9"/>
  <c r="U110" i="9"/>
  <c r="E111" i="9"/>
  <c r="J111" i="9" s="1"/>
  <c r="E130" i="9"/>
  <c r="I130" i="9" s="1"/>
  <c r="Q111" i="9"/>
  <c r="Q130" i="9"/>
  <c r="U111" i="9"/>
  <c r="U130" i="9"/>
  <c r="K95" i="9" l="1"/>
  <c r="L95" i="9" s="1"/>
  <c r="O95" i="9" s="1"/>
  <c r="I96" i="9"/>
  <c r="I100" i="9"/>
  <c r="I98" i="9"/>
  <c r="I102" i="9"/>
  <c r="K100" i="9"/>
  <c r="L100" i="9" s="1"/>
  <c r="O100" i="9" s="1"/>
  <c r="K96" i="9"/>
  <c r="L96" i="9" s="1"/>
  <c r="O96" i="9" s="1"/>
  <c r="I111" i="9"/>
  <c r="K99" i="9"/>
  <c r="L99" i="9" s="1"/>
  <c r="O99" i="9" s="1"/>
  <c r="I107" i="9"/>
  <c r="K111" i="9"/>
  <c r="L111" i="9" s="1"/>
  <c r="O111" i="9" s="1"/>
  <c r="K105" i="9"/>
  <c r="L105" i="9" s="1"/>
  <c r="N105" i="9"/>
  <c r="J110" i="9"/>
  <c r="J107" i="9"/>
  <c r="J106" i="9"/>
  <c r="K109" i="9"/>
  <c r="J109" i="9"/>
  <c r="J105" i="9"/>
  <c r="K103" i="9"/>
  <c r="L103" i="9" s="1"/>
  <c r="O103" i="9" s="1"/>
  <c r="J130" i="9"/>
  <c r="I109" i="9"/>
  <c r="J108" i="9"/>
  <c r="I105" i="9"/>
  <c r="J104" i="9"/>
  <c r="J97" i="9"/>
  <c r="I104" i="9"/>
  <c r="K102" i="9"/>
  <c r="L102" i="9" s="1"/>
  <c r="O102" i="9" s="1"/>
  <c r="I99" i="9"/>
  <c r="K130" i="9"/>
  <c r="L130" i="9" s="1"/>
  <c r="O130" i="9" s="1"/>
  <c r="K110" i="9"/>
  <c r="L110" i="9" s="1"/>
  <c r="O110" i="9" s="1"/>
  <c r="K108" i="9"/>
  <c r="L108" i="9" s="1"/>
  <c r="O108" i="9" s="1"/>
  <c r="K106" i="9"/>
  <c r="L106" i="9" s="1"/>
  <c r="O106" i="9" s="1"/>
  <c r="I103" i="9"/>
  <c r="J95" i="9"/>
  <c r="J101" i="9"/>
  <c r="K101" i="9"/>
  <c r="L101" i="9" s="1"/>
  <c r="O101" i="9" s="1"/>
  <c r="J98" i="9"/>
  <c r="K97" i="9"/>
  <c r="L97" i="9" s="1"/>
  <c r="O97" i="9" s="1"/>
  <c r="O105" i="9" l="1"/>
  <c r="L109" i="9"/>
  <c r="O109" i="9" l="1"/>
  <c r="A546" i="1" l="1"/>
  <c r="E5" i="12" s="1"/>
  <c r="R3" i="1" l="1"/>
  <c r="E77" i="9" l="1"/>
  <c r="J77" i="9" s="1"/>
  <c r="E78" i="9"/>
  <c r="K78" i="9" s="1"/>
  <c r="L78" i="9" s="1"/>
  <c r="O78" i="9" s="1"/>
  <c r="E79" i="9"/>
  <c r="K79" i="9" s="1"/>
  <c r="L79" i="9" s="1"/>
  <c r="O79" i="9" s="1"/>
  <c r="E80" i="9"/>
  <c r="I80" i="9" s="1"/>
  <c r="I77" i="9"/>
  <c r="Q77" i="9"/>
  <c r="Q78" i="9"/>
  <c r="Q79" i="9"/>
  <c r="Q80" i="9"/>
  <c r="U77" i="9"/>
  <c r="U78" i="9"/>
  <c r="U79" i="9"/>
  <c r="E81" i="9"/>
  <c r="K81" i="9" s="1"/>
  <c r="L81" i="9" s="1"/>
  <c r="O81" i="9" s="1"/>
  <c r="E82" i="9"/>
  <c r="I82" i="9" s="1"/>
  <c r="E83" i="9"/>
  <c r="I83" i="9" s="1"/>
  <c r="E84" i="9"/>
  <c r="I84" i="9" s="1"/>
  <c r="Q81" i="9"/>
  <c r="Q82" i="9"/>
  <c r="Q83" i="9"/>
  <c r="Q84" i="9"/>
  <c r="U81" i="9"/>
  <c r="U82" i="9"/>
  <c r="U83" i="9"/>
  <c r="U84" i="9"/>
  <c r="E85" i="9"/>
  <c r="K85" i="9" s="1"/>
  <c r="L85" i="9" s="1"/>
  <c r="O85" i="9" s="1"/>
  <c r="E86" i="9"/>
  <c r="I86" i="9" s="1"/>
  <c r="E87" i="9"/>
  <c r="I87" i="9" s="1"/>
  <c r="E88" i="9"/>
  <c r="I88" i="9" s="1"/>
  <c r="I85" i="9"/>
  <c r="Q85" i="9"/>
  <c r="Q86" i="9"/>
  <c r="Q87" i="9"/>
  <c r="Q88" i="9"/>
  <c r="U85" i="9"/>
  <c r="U86" i="9"/>
  <c r="U87" i="9"/>
  <c r="U88" i="9"/>
  <c r="E89" i="9"/>
  <c r="J89" i="9" s="1"/>
  <c r="E90" i="9"/>
  <c r="I90" i="9" s="1"/>
  <c r="E91" i="9"/>
  <c r="E92" i="9"/>
  <c r="I92" i="9" s="1"/>
  <c r="Q89" i="9"/>
  <c r="Q90" i="9"/>
  <c r="Q91" i="9"/>
  <c r="Q92" i="9"/>
  <c r="U89" i="9"/>
  <c r="U90" i="9"/>
  <c r="U92" i="9"/>
  <c r="I89" i="9" l="1"/>
  <c r="I81" i="9"/>
  <c r="J88" i="9"/>
  <c r="J85" i="9"/>
  <c r="K86" i="9"/>
  <c r="L86" i="9" s="1"/>
  <c r="O86" i="9" s="1"/>
  <c r="K88" i="9"/>
  <c r="L88" i="9" s="1"/>
  <c r="O88" i="9" s="1"/>
  <c r="J86" i="9"/>
  <c r="K87" i="9"/>
  <c r="L87" i="9" s="1"/>
  <c r="O87" i="9" s="1"/>
  <c r="J87" i="9"/>
  <c r="J81" i="9"/>
  <c r="K89" i="9"/>
  <c r="L89" i="9" s="1"/>
  <c r="O89" i="9" s="1"/>
  <c r="I78" i="9"/>
  <c r="K91" i="9"/>
  <c r="L91" i="9" s="1"/>
  <c r="N91" i="9"/>
  <c r="J92" i="9"/>
  <c r="K92" i="9"/>
  <c r="L92" i="9" s="1"/>
  <c r="O92" i="9" s="1"/>
  <c r="I91" i="9"/>
  <c r="J91" i="9"/>
  <c r="K90" i="9"/>
  <c r="L90" i="9" s="1"/>
  <c r="O90" i="9" s="1"/>
  <c r="J90" i="9"/>
  <c r="J82" i="9"/>
  <c r="K82" i="9"/>
  <c r="L82" i="9" s="1"/>
  <c r="O82" i="9" s="1"/>
  <c r="I79" i="9"/>
  <c r="J84" i="9"/>
  <c r="K84" i="9"/>
  <c r="L84" i="9" s="1"/>
  <c r="O84" i="9" s="1"/>
  <c r="J83" i="9"/>
  <c r="K83" i="9"/>
  <c r="L83" i="9" s="1"/>
  <c r="O83" i="9" s="1"/>
  <c r="J80" i="9"/>
  <c r="N80" i="9"/>
  <c r="K80" i="9"/>
  <c r="L80" i="9" s="1"/>
  <c r="J79" i="9"/>
  <c r="J78" i="9"/>
  <c r="K77" i="9"/>
  <c r="L77" i="9" s="1"/>
  <c r="O77" i="9" s="1"/>
  <c r="H18" i="1"/>
  <c r="E73" i="9" l="1"/>
  <c r="I73" i="9" s="1"/>
  <c r="Q73" i="9"/>
  <c r="U73" i="9"/>
  <c r="E74" i="9"/>
  <c r="I74" i="9" s="1"/>
  <c r="Q74" i="9"/>
  <c r="U74" i="9"/>
  <c r="E75" i="9"/>
  <c r="J75" i="9" s="1"/>
  <c r="I75" i="9"/>
  <c r="Q75" i="9"/>
  <c r="U75" i="9"/>
  <c r="E76" i="9"/>
  <c r="Q76" i="9"/>
  <c r="U76" i="9"/>
  <c r="E93" i="9"/>
  <c r="J93" i="9" s="1"/>
  <c r="Q93" i="9"/>
  <c r="U93" i="9"/>
  <c r="E94" i="9"/>
  <c r="Q94" i="9"/>
  <c r="U94" i="9"/>
  <c r="J94" i="9" l="1"/>
  <c r="N94" i="9"/>
  <c r="K94" i="9"/>
  <c r="L94" i="9" s="1"/>
  <c r="I94" i="9"/>
  <c r="K76" i="9"/>
  <c r="L76" i="9" s="1"/>
  <c r="N76" i="9"/>
  <c r="J76" i="9"/>
  <c r="K74" i="9"/>
  <c r="L74" i="9" s="1"/>
  <c r="O74" i="9" s="1"/>
  <c r="J74" i="9"/>
  <c r="K73" i="9"/>
  <c r="L73" i="9" s="1"/>
  <c r="O73" i="9" s="1"/>
  <c r="I76" i="9"/>
  <c r="K75" i="9"/>
  <c r="L75" i="9" s="1"/>
  <c r="O75" i="9" s="1"/>
  <c r="J73" i="9"/>
  <c r="K93" i="9"/>
  <c r="L93" i="9" s="1"/>
  <c r="O93" i="9" s="1"/>
  <c r="I93" i="9"/>
  <c r="O94" i="9" l="1"/>
  <c r="O76" i="9"/>
  <c r="E70" i="9" l="1"/>
  <c r="E71" i="9"/>
  <c r="H187" i="4" l="1"/>
  <c r="H181" i="4" l="1"/>
  <c r="F42" i="12" l="1"/>
  <c r="E54" i="9" l="1"/>
  <c r="I54" i="9" s="1"/>
  <c r="Q54" i="9"/>
  <c r="U54" i="9"/>
  <c r="E55" i="9"/>
  <c r="K55" i="9" s="1"/>
  <c r="L55" i="9" s="1"/>
  <c r="O55" i="9" s="1"/>
  <c r="Q55" i="9"/>
  <c r="U55" i="9"/>
  <c r="E56" i="9"/>
  <c r="K56" i="9" s="1"/>
  <c r="L56" i="9" s="1"/>
  <c r="O56" i="9" s="1"/>
  <c r="Q56" i="9"/>
  <c r="U56" i="9"/>
  <c r="E57" i="9"/>
  <c r="I57" i="9" s="1"/>
  <c r="Q57" i="9"/>
  <c r="U57" i="9"/>
  <c r="E58" i="9"/>
  <c r="K58" i="9" s="1"/>
  <c r="L58" i="9" s="1"/>
  <c r="O58" i="9" s="1"/>
  <c r="Q58" i="9"/>
  <c r="U58" i="9"/>
  <c r="E59" i="9"/>
  <c r="I59" i="9" s="1"/>
  <c r="Q59" i="9"/>
  <c r="U59" i="9"/>
  <c r="E60" i="9"/>
  <c r="I60" i="9" s="1"/>
  <c r="Q60" i="9"/>
  <c r="U60" i="9"/>
  <c r="E61" i="9"/>
  <c r="I61" i="9" s="1"/>
  <c r="Q61" i="9"/>
  <c r="U61" i="9"/>
  <c r="E62" i="9"/>
  <c r="I62" i="9" s="1"/>
  <c r="Q62" i="9"/>
  <c r="U62" i="9"/>
  <c r="E63" i="9"/>
  <c r="Q63" i="9"/>
  <c r="U63" i="9"/>
  <c r="E64" i="9"/>
  <c r="Q64" i="9"/>
  <c r="E65" i="9"/>
  <c r="I65" i="9" s="1"/>
  <c r="Q65" i="9"/>
  <c r="U65" i="9"/>
  <c r="E66" i="9"/>
  <c r="I66" i="9" s="1"/>
  <c r="Q66" i="9"/>
  <c r="U66" i="9"/>
  <c r="E67" i="9"/>
  <c r="I67" i="9" s="1"/>
  <c r="Q67" i="9"/>
  <c r="U67" i="9"/>
  <c r="E68" i="9"/>
  <c r="I68" i="9" s="1"/>
  <c r="Q68" i="9"/>
  <c r="U68" i="9"/>
  <c r="E69" i="9"/>
  <c r="I69" i="9" s="1"/>
  <c r="Q69" i="9"/>
  <c r="U69" i="9"/>
  <c r="I70" i="9"/>
  <c r="Q70" i="9"/>
  <c r="U70" i="9"/>
  <c r="J71" i="9"/>
  <c r="Q71" i="9"/>
  <c r="U71" i="9"/>
  <c r="E72" i="9"/>
  <c r="I72" i="9" s="1"/>
  <c r="Q72" i="9"/>
  <c r="U72" i="9"/>
  <c r="I55" i="9" l="1"/>
  <c r="I63" i="9"/>
  <c r="N63" i="9"/>
  <c r="I64" i="9"/>
  <c r="N64" i="9"/>
  <c r="K72" i="9"/>
  <c r="L72" i="9" s="1"/>
  <c r="O72" i="9" s="1"/>
  <c r="I71" i="9"/>
  <c r="K59" i="9"/>
  <c r="L59" i="9" s="1"/>
  <c r="O59" i="9" s="1"/>
  <c r="J59" i="9"/>
  <c r="J56" i="9"/>
  <c r="J58" i="9"/>
  <c r="I56" i="9"/>
  <c r="J55" i="9"/>
  <c r="K70" i="9"/>
  <c r="L70" i="9" s="1"/>
  <c r="O70" i="9" s="1"/>
  <c r="K67" i="9"/>
  <c r="L67" i="9" s="1"/>
  <c r="O67" i="9" s="1"/>
  <c r="K64" i="9"/>
  <c r="L64" i="9" s="1"/>
  <c r="K63" i="9"/>
  <c r="L63" i="9" s="1"/>
  <c r="K62" i="9"/>
  <c r="L62" i="9" s="1"/>
  <c r="O62" i="9" s="1"/>
  <c r="K71" i="9"/>
  <c r="L71" i="9" s="1"/>
  <c r="O71" i="9" s="1"/>
  <c r="J70" i="9"/>
  <c r="J69" i="9"/>
  <c r="J68" i="9"/>
  <c r="J67" i="9"/>
  <c r="J66" i="9"/>
  <c r="J65" i="9"/>
  <c r="J64" i="9"/>
  <c r="J63" i="9"/>
  <c r="J62" i="9"/>
  <c r="J61" i="9"/>
  <c r="J60" i="9"/>
  <c r="K54" i="9"/>
  <c r="L54" i="9" s="1"/>
  <c r="O54" i="9" s="1"/>
  <c r="K69" i="9"/>
  <c r="L69" i="9" s="1"/>
  <c r="O69" i="9" s="1"/>
  <c r="K68" i="9"/>
  <c r="L68" i="9" s="1"/>
  <c r="O68" i="9" s="1"/>
  <c r="K66" i="9"/>
  <c r="L66" i="9" s="1"/>
  <c r="O66" i="9" s="1"/>
  <c r="K65" i="9"/>
  <c r="L65" i="9" s="1"/>
  <c r="O65" i="9" s="1"/>
  <c r="K61" i="9"/>
  <c r="L61" i="9" s="1"/>
  <c r="O61" i="9" s="1"/>
  <c r="K60" i="9"/>
  <c r="L60" i="9" s="1"/>
  <c r="J54" i="9"/>
  <c r="I58" i="9"/>
  <c r="K57" i="9"/>
  <c r="L57" i="9" s="1"/>
  <c r="O57" i="9" s="1"/>
  <c r="J57" i="9"/>
  <c r="J72" i="9"/>
  <c r="M64" i="9" l="1"/>
  <c r="U64" i="9" s="1"/>
  <c r="O63" i="9"/>
  <c r="O60" i="9"/>
  <c r="O64" i="9" l="1"/>
  <c r="H159" i="4" l="1"/>
  <c r="B4" i="6" l="1"/>
  <c r="B5" i="6"/>
  <c r="E51" i="9" l="1"/>
  <c r="N51" i="9" s="1"/>
  <c r="E52" i="9"/>
  <c r="N52" i="9" s="1"/>
  <c r="E53" i="9"/>
  <c r="F4" i="6" l="1"/>
  <c r="F5" i="6"/>
  <c r="E43" i="9" l="1"/>
  <c r="I43" i="9" s="1"/>
  <c r="Q43" i="9"/>
  <c r="U43" i="9"/>
  <c r="E44" i="9"/>
  <c r="N44" i="9" s="1"/>
  <c r="Q44" i="9"/>
  <c r="U44" i="9"/>
  <c r="E45" i="9"/>
  <c r="J45" i="9" s="1"/>
  <c r="Q45" i="9"/>
  <c r="U45" i="9"/>
  <c r="E46" i="9"/>
  <c r="J46" i="9" s="1"/>
  <c r="Q46" i="9"/>
  <c r="U46" i="9"/>
  <c r="E47" i="9"/>
  <c r="J47" i="9" s="1"/>
  <c r="Q47" i="9"/>
  <c r="U47" i="9"/>
  <c r="E48" i="9"/>
  <c r="J48" i="9" s="1"/>
  <c r="Q48" i="9"/>
  <c r="U48" i="9"/>
  <c r="E49" i="9"/>
  <c r="J49" i="9" s="1"/>
  <c r="Q49" i="9"/>
  <c r="U49" i="9"/>
  <c r="E50" i="9"/>
  <c r="J50" i="9" s="1"/>
  <c r="Q50" i="9"/>
  <c r="U50" i="9"/>
  <c r="J44" i="9" l="1"/>
  <c r="I49" i="9"/>
  <c r="I48" i="9"/>
  <c r="I47" i="9"/>
  <c r="I46" i="9"/>
  <c r="I45" i="9"/>
  <c r="K44" i="9"/>
  <c r="L44" i="9" s="1"/>
  <c r="O44" i="9" s="1"/>
  <c r="I44" i="9"/>
  <c r="I50" i="9"/>
  <c r="K49" i="9"/>
  <c r="L49" i="9" s="1"/>
  <c r="O49" i="9" s="1"/>
  <c r="K48" i="9"/>
  <c r="L48" i="9" s="1"/>
  <c r="O48" i="9" s="1"/>
  <c r="K47" i="9"/>
  <c r="L47" i="9" s="1"/>
  <c r="O47" i="9" s="1"/>
  <c r="K46" i="9"/>
  <c r="L46" i="9" s="1"/>
  <c r="O46" i="9" s="1"/>
  <c r="K45" i="9"/>
  <c r="L45" i="9" s="1"/>
  <c r="O45" i="9" s="1"/>
  <c r="K43" i="9"/>
  <c r="L43" i="9" s="1"/>
  <c r="O43" i="9" s="1"/>
  <c r="J43" i="9"/>
  <c r="K50" i="9"/>
  <c r="L50" i="9" s="1"/>
  <c r="O50" i="9" s="1"/>
  <c r="Q517" i="1" l="1"/>
  <c r="H532" i="1" l="1"/>
  <c r="H531" i="1"/>
  <c r="C507" i="1"/>
  <c r="C518" i="1"/>
  <c r="B518" i="1"/>
  <c r="H518" i="1"/>
  <c r="B521" i="1"/>
  <c r="C521" i="1"/>
  <c r="B522" i="1"/>
  <c r="C522" i="1"/>
  <c r="Q520" i="1"/>
  <c r="H521" i="1"/>
  <c r="H522" i="1"/>
  <c r="Q513" i="1"/>
  <c r="Q514" i="1"/>
  <c r="B513" i="1"/>
  <c r="C513" i="1"/>
  <c r="B514" i="1"/>
  <c r="C514" i="1"/>
  <c r="H513" i="1"/>
  <c r="H514" i="1"/>
  <c r="C526" i="1" l="1"/>
  <c r="Q526" i="1"/>
  <c r="B526" i="1"/>
  <c r="H526" i="1"/>
  <c r="H524" i="1"/>
  <c r="H523" i="1"/>
  <c r="H519" i="1"/>
  <c r="H509" i="1" l="1"/>
  <c r="H507" i="1"/>
  <c r="B507" i="1"/>
  <c r="H508" i="1" l="1"/>
  <c r="Q508" i="1"/>
  <c r="C505" i="1" l="1"/>
  <c r="C506" i="1"/>
  <c r="C508" i="1"/>
  <c r="C509" i="1"/>
  <c r="C510" i="1"/>
  <c r="C511" i="1"/>
  <c r="C512" i="1"/>
  <c r="C515" i="1"/>
  <c r="C516" i="1"/>
  <c r="C517" i="1"/>
  <c r="C519" i="1"/>
  <c r="C520" i="1"/>
  <c r="C523" i="1"/>
  <c r="C524" i="1"/>
  <c r="C525" i="1"/>
  <c r="C527" i="1"/>
  <c r="C528" i="1"/>
  <c r="C529" i="1"/>
  <c r="C530" i="1"/>
  <c r="C531" i="1"/>
  <c r="C532" i="1"/>
  <c r="C533" i="1"/>
  <c r="B509" i="1"/>
  <c r="B510" i="1"/>
  <c r="B511" i="1"/>
  <c r="B512" i="1"/>
  <c r="B515" i="1"/>
  <c r="B516" i="1"/>
  <c r="B517" i="1"/>
  <c r="B519" i="1"/>
  <c r="B520" i="1"/>
  <c r="B523" i="1"/>
  <c r="B524" i="1"/>
  <c r="B525" i="1"/>
  <c r="B527" i="1"/>
  <c r="B528" i="1"/>
  <c r="H510" i="1"/>
  <c r="H511" i="1"/>
  <c r="H512" i="1"/>
  <c r="H515" i="1"/>
  <c r="H516" i="1"/>
  <c r="H517" i="1"/>
  <c r="H520" i="1"/>
  <c r="H525" i="1"/>
  <c r="H527" i="1"/>
  <c r="H528" i="1"/>
  <c r="B529" i="1"/>
  <c r="B530" i="1"/>
  <c r="B531" i="1"/>
  <c r="B532" i="1"/>
  <c r="B533" i="1"/>
  <c r="H529" i="1"/>
  <c r="H530" i="1"/>
  <c r="H533" i="1"/>
  <c r="B508" i="1" l="1"/>
  <c r="Q502" i="1"/>
  <c r="Q499" i="1"/>
  <c r="Q498" i="1"/>
  <c r="Q496" i="1"/>
  <c r="H494" i="1"/>
  <c r="H489" i="1" l="1"/>
  <c r="H488" i="1"/>
  <c r="H487" i="1"/>
  <c r="H486" i="1"/>
  <c r="H485" i="1"/>
  <c r="Q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B478" i="1"/>
  <c r="B479" i="1"/>
  <c r="B480" i="1"/>
  <c r="H478" i="1"/>
  <c r="H479" i="1"/>
  <c r="H480" i="1"/>
  <c r="B481" i="1"/>
  <c r="B482" i="1"/>
  <c r="B483" i="1"/>
  <c r="H481" i="1"/>
  <c r="H482" i="1"/>
  <c r="H483" i="1"/>
  <c r="B484" i="1"/>
  <c r="B485" i="1"/>
  <c r="H484" i="1"/>
  <c r="B486" i="1"/>
  <c r="B487" i="1"/>
  <c r="B488" i="1"/>
  <c r="B489" i="1"/>
  <c r="B490" i="1"/>
  <c r="B491" i="1"/>
  <c r="H490" i="1"/>
  <c r="H491" i="1"/>
  <c r="B492" i="1"/>
  <c r="B493" i="1"/>
  <c r="B494" i="1"/>
  <c r="H492" i="1"/>
  <c r="H493" i="1"/>
  <c r="B495" i="1"/>
  <c r="B496" i="1"/>
  <c r="B497" i="1"/>
  <c r="H495" i="1"/>
  <c r="H496" i="1"/>
  <c r="H497" i="1"/>
  <c r="B498" i="1"/>
  <c r="B499" i="1"/>
  <c r="B500" i="1"/>
  <c r="H498" i="1"/>
  <c r="H499" i="1"/>
  <c r="H500" i="1"/>
  <c r="B501" i="1"/>
  <c r="B502" i="1"/>
  <c r="B503" i="1"/>
  <c r="H501" i="1"/>
  <c r="H502" i="1"/>
  <c r="H503" i="1"/>
  <c r="B504" i="1"/>
  <c r="B505" i="1"/>
  <c r="B506" i="1"/>
  <c r="H504" i="1"/>
  <c r="H505" i="1"/>
  <c r="H506" i="1"/>
  <c r="Q469" i="1"/>
  <c r="Q471" i="1"/>
  <c r="Q462" i="1"/>
  <c r="Q464" i="1"/>
  <c r="Q463" i="1"/>
  <c r="Q459" i="1"/>
  <c r="Q460" i="1"/>
  <c r="Q456" i="1"/>
  <c r="Q454" i="1" l="1"/>
  <c r="Q455" i="1"/>
  <c r="C433" i="1" l="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Q452" i="1"/>
  <c r="Q449" i="1"/>
  <c r="Q447" i="1"/>
  <c r="Q440" i="1"/>
  <c r="Q438" i="1"/>
  <c r="Q442" i="1"/>
  <c r="Q439" i="1"/>
  <c r="B441" i="1"/>
  <c r="H441" i="1"/>
  <c r="B439" i="1"/>
  <c r="B440" i="1"/>
  <c r="B442" i="1"/>
  <c r="B443" i="1"/>
  <c r="B444" i="1"/>
  <c r="B445" i="1"/>
  <c r="B446" i="1"/>
  <c r="B447" i="1"/>
  <c r="B448" i="1"/>
  <c r="B449" i="1"/>
  <c r="B450" i="1"/>
  <c r="H439" i="1"/>
  <c r="H440" i="1"/>
  <c r="H442" i="1"/>
  <c r="H443" i="1"/>
  <c r="H444" i="1"/>
  <c r="H445" i="1"/>
  <c r="H446" i="1"/>
  <c r="H447" i="1"/>
  <c r="H448" i="1"/>
  <c r="H449" i="1"/>
  <c r="H450" i="1"/>
  <c r="B436" i="1"/>
  <c r="B437" i="1"/>
  <c r="B438" i="1"/>
  <c r="H436" i="1"/>
  <c r="H437" i="1"/>
  <c r="H438" i="1"/>
  <c r="B451" i="1"/>
  <c r="B452" i="1"/>
  <c r="B453" i="1"/>
  <c r="H451" i="1"/>
  <c r="H452" i="1"/>
  <c r="H453" i="1"/>
  <c r="B454" i="1"/>
  <c r="B455" i="1"/>
  <c r="B456" i="1"/>
  <c r="H454" i="1"/>
  <c r="H455" i="1"/>
  <c r="H456" i="1"/>
  <c r="B457" i="1"/>
  <c r="B458" i="1"/>
  <c r="B459" i="1"/>
  <c r="H457" i="1"/>
  <c r="H458" i="1"/>
  <c r="H459" i="1"/>
  <c r="B460" i="1"/>
  <c r="B461" i="1"/>
  <c r="B462" i="1"/>
  <c r="H460" i="1"/>
  <c r="H461" i="1"/>
  <c r="H462" i="1"/>
  <c r="B463" i="1"/>
  <c r="B464" i="1"/>
  <c r="B465" i="1"/>
  <c r="H463" i="1"/>
  <c r="H464" i="1"/>
  <c r="H465" i="1"/>
  <c r="B466" i="1"/>
  <c r="B467" i="1"/>
  <c r="B468" i="1"/>
  <c r="H466" i="1"/>
  <c r="H467" i="1"/>
  <c r="H468" i="1"/>
  <c r="B469" i="1"/>
  <c r="B470" i="1"/>
  <c r="B471" i="1"/>
  <c r="H469" i="1"/>
  <c r="H470" i="1"/>
  <c r="H471" i="1"/>
  <c r="B472" i="1"/>
  <c r="B473" i="1"/>
  <c r="B474" i="1"/>
  <c r="H472" i="1"/>
  <c r="H473" i="1"/>
  <c r="H474" i="1"/>
  <c r="B475" i="1"/>
  <c r="B476" i="1"/>
  <c r="B477" i="1"/>
  <c r="H475" i="1"/>
  <c r="H476" i="1"/>
  <c r="H477" i="1"/>
  <c r="Q433" i="1" l="1"/>
  <c r="Q432" i="1"/>
  <c r="H430" i="1"/>
  <c r="H429" i="1"/>
  <c r="C429" i="1"/>
  <c r="C430" i="1"/>
  <c r="C431" i="1"/>
  <c r="C432" i="1"/>
  <c r="B433" i="1"/>
  <c r="H433" i="1"/>
  <c r="B434" i="1"/>
  <c r="H434" i="1"/>
  <c r="B435" i="1"/>
  <c r="H435" i="1"/>
  <c r="B431" i="1"/>
  <c r="B432" i="1"/>
  <c r="H431" i="1"/>
  <c r="H432" i="1"/>
  <c r="H14" i="33" l="1"/>
  <c r="C303" i="1" l="1"/>
  <c r="C304" i="1"/>
  <c r="C305" i="1"/>
  <c r="H300" i="1"/>
  <c r="B303" i="1"/>
  <c r="H303" i="1"/>
  <c r="B304" i="1"/>
  <c r="H304" i="1"/>
  <c r="B236" i="1" l="1"/>
  <c r="C236" i="1"/>
  <c r="H236" i="1"/>
  <c r="Q112" i="1" l="1"/>
  <c r="B113" i="1"/>
  <c r="C113" i="1"/>
  <c r="H113" i="1"/>
  <c r="B101" i="1"/>
  <c r="C101" i="1"/>
  <c r="H101" i="1"/>
  <c r="B305" i="1"/>
  <c r="B306" i="1"/>
  <c r="C306" i="1"/>
  <c r="B307" i="1"/>
  <c r="C307" i="1"/>
  <c r="B308" i="1"/>
  <c r="C308" i="1"/>
  <c r="B309" i="1"/>
  <c r="C309" i="1"/>
  <c r="B310" i="1"/>
  <c r="C310" i="1"/>
  <c r="B311" i="1"/>
  <c r="C311" i="1"/>
  <c r="B312" i="1"/>
  <c r="C312" i="1"/>
  <c r="B313" i="1"/>
  <c r="C313" i="1"/>
  <c r="B314" i="1"/>
  <c r="C314" i="1"/>
  <c r="B315" i="1"/>
  <c r="C315" i="1"/>
  <c r="B316" i="1"/>
  <c r="C316" i="1"/>
  <c r="B317" i="1"/>
  <c r="C317" i="1"/>
  <c r="B318" i="1"/>
  <c r="C318" i="1"/>
  <c r="B319" i="1"/>
  <c r="C319" i="1"/>
  <c r="B320" i="1"/>
  <c r="C320" i="1"/>
  <c r="B321" i="1"/>
  <c r="C321" i="1"/>
  <c r="B322" i="1"/>
  <c r="C322" i="1"/>
  <c r="B323" i="1"/>
  <c r="C323" i="1"/>
  <c r="B324" i="1"/>
  <c r="C324" i="1"/>
  <c r="B325" i="1"/>
  <c r="C325" i="1"/>
  <c r="B326" i="1"/>
  <c r="C326" i="1"/>
  <c r="B327" i="1"/>
  <c r="C327" i="1"/>
  <c r="B328" i="1"/>
  <c r="C328" i="1"/>
  <c r="B329" i="1"/>
  <c r="C329" i="1"/>
  <c r="B330" i="1"/>
  <c r="C330" i="1"/>
  <c r="B331" i="1"/>
  <c r="C331" i="1"/>
  <c r="B332" i="1"/>
  <c r="C332" i="1"/>
  <c r="B333" i="1"/>
  <c r="C333" i="1"/>
  <c r="B334" i="1"/>
  <c r="C334" i="1"/>
  <c r="B335" i="1"/>
  <c r="C335" i="1"/>
  <c r="B336" i="1"/>
  <c r="C336" i="1"/>
  <c r="B337" i="1"/>
  <c r="C337" i="1"/>
  <c r="B338" i="1"/>
  <c r="C338" i="1"/>
  <c r="B339" i="1"/>
  <c r="C339" i="1"/>
  <c r="B340" i="1"/>
  <c r="C340" i="1"/>
  <c r="B341" i="1"/>
  <c r="C341" i="1"/>
  <c r="B342" i="1"/>
  <c r="C342" i="1"/>
  <c r="B343" i="1"/>
  <c r="C343" i="1"/>
  <c r="B344" i="1"/>
  <c r="C344" i="1"/>
  <c r="B345" i="1"/>
  <c r="C345" i="1"/>
  <c r="B346" i="1"/>
  <c r="C346" i="1"/>
  <c r="B347" i="1"/>
  <c r="C347" i="1"/>
  <c r="B348" i="1"/>
  <c r="C348" i="1"/>
  <c r="B349" i="1"/>
  <c r="C349" i="1"/>
  <c r="B350" i="1"/>
  <c r="C350" i="1"/>
  <c r="B351" i="1"/>
  <c r="C351" i="1"/>
  <c r="B352" i="1"/>
  <c r="C352" i="1"/>
  <c r="B353" i="1"/>
  <c r="C353" i="1"/>
  <c r="B354" i="1"/>
  <c r="C354" i="1"/>
  <c r="B355" i="1"/>
  <c r="C355" i="1"/>
  <c r="B356" i="1"/>
  <c r="C356" i="1"/>
  <c r="B357" i="1"/>
  <c r="C357" i="1"/>
  <c r="B358" i="1"/>
  <c r="C358" i="1"/>
  <c r="B359" i="1"/>
  <c r="C359" i="1"/>
  <c r="B360" i="1"/>
  <c r="C360" i="1"/>
  <c r="B361" i="1"/>
  <c r="C361" i="1"/>
  <c r="B362" i="1"/>
  <c r="C362" i="1"/>
  <c r="B363" i="1"/>
  <c r="C363" i="1"/>
  <c r="B364" i="1"/>
  <c r="C364" i="1"/>
  <c r="B365" i="1"/>
  <c r="C365" i="1"/>
  <c r="B366" i="1"/>
  <c r="C366" i="1"/>
  <c r="B367" i="1"/>
  <c r="C367" i="1"/>
  <c r="B368" i="1"/>
  <c r="C368" i="1"/>
  <c r="B369" i="1"/>
  <c r="C369" i="1"/>
  <c r="B370" i="1"/>
  <c r="C370" i="1"/>
  <c r="B371" i="1"/>
  <c r="C371" i="1"/>
  <c r="B372" i="1"/>
  <c r="C372" i="1"/>
  <c r="B373" i="1"/>
  <c r="C373" i="1"/>
  <c r="B374" i="1"/>
  <c r="C374" i="1"/>
  <c r="B375" i="1"/>
  <c r="C375" i="1"/>
  <c r="B376" i="1"/>
  <c r="C376" i="1"/>
  <c r="B377" i="1"/>
  <c r="C377" i="1"/>
  <c r="B378" i="1"/>
  <c r="C378" i="1"/>
  <c r="B379" i="1"/>
  <c r="C379" i="1"/>
  <c r="B380" i="1"/>
  <c r="C380" i="1"/>
  <c r="B381" i="1"/>
  <c r="C381" i="1"/>
  <c r="B382" i="1"/>
  <c r="C382" i="1"/>
  <c r="B383" i="1"/>
  <c r="C383" i="1"/>
  <c r="B384" i="1"/>
  <c r="C384" i="1"/>
  <c r="B385" i="1"/>
  <c r="C385" i="1"/>
  <c r="B386" i="1"/>
  <c r="C386" i="1"/>
  <c r="B387" i="1"/>
  <c r="C387" i="1"/>
  <c r="B388" i="1"/>
  <c r="C388" i="1"/>
  <c r="B389" i="1"/>
  <c r="C389" i="1"/>
  <c r="B390" i="1"/>
  <c r="C390" i="1"/>
  <c r="B391" i="1"/>
  <c r="C391" i="1"/>
  <c r="B392" i="1"/>
  <c r="C392" i="1"/>
  <c r="B393" i="1"/>
  <c r="C393" i="1"/>
  <c r="B394" i="1"/>
  <c r="C394" i="1"/>
  <c r="B395" i="1"/>
  <c r="C395" i="1"/>
  <c r="B396" i="1"/>
  <c r="C396" i="1"/>
  <c r="B397" i="1"/>
  <c r="C397" i="1"/>
  <c r="B398" i="1"/>
  <c r="C398" i="1"/>
  <c r="B399" i="1"/>
  <c r="C399" i="1"/>
  <c r="B400" i="1"/>
  <c r="C400" i="1"/>
  <c r="B401" i="1"/>
  <c r="C401" i="1"/>
  <c r="B402" i="1"/>
  <c r="C402" i="1"/>
  <c r="B403" i="1"/>
  <c r="C403" i="1"/>
  <c r="B404" i="1"/>
  <c r="C404" i="1"/>
  <c r="B405" i="1"/>
  <c r="C405" i="1"/>
  <c r="B406" i="1"/>
  <c r="C406" i="1"/>
  <c r="B407" i="1"/>
  <c r="C407" i="1"/>
  <c r="B408" i="1"/>
  <c r="C408" i="1"/>
  <c r="B409" i="1"/>
  <c r="C409" i="1"/>
  <c r="B410" i="1"/>
  <c r="C410" i="1"/>
  <c r="B411" i="1"/>
  <c r="C411" i="1"/>
  <c r="B412" i="1"/>
  <c r="C412" i="1"/>
  <c r="B417" i="1"/>
  <c r="C417" i="1"/>
  <c r="B418" i="1"/>
  <c r="C418" i="1"/>
  <c r="C415" i="1"/>
  <c r="H415" i="1"/>
  <c r="B415" i="1"/>
  <c r="H412" i="1"/>
  <c r="H411" i="1"/>
  <c r="H410" i="1"/>
  <c r="H416" i="1"/>
  <c r="H409" i="1"/>
  <c r="H408" i="1"/>
  <c r="H407" i="1"/>
  <c r="H406" i="1"/>
  <c r="H405" i="1"/>
  <c r="H404" i="1"/>
  <c r="H403" i="1"/>
  <c r="H402" i="1"/>
  <c r="H401" i="1"/>
  <c r="H400" i="1"/>
  <c r="Q399" i="1"/>
  <c r="H399" i="1"/>
  <c r="H398" i="1"/>
  <c r="H397" i="1"/>
  <c r="H396" i="1"/>
  <c r="H395" i="1"/>
  <c r="H394" i="1"/>
  <c r="H393" i="1"/>
  <c r="H392" i="1"/>
  <c r="H391" i="1"/>
  <c r="H390" i="1"/>
  <c r="H389" i="1"/>
  <c r="H388" i="1"/>
  <c r="H387" i="1"/>
  <c r="H386" i="1"/>
  <c r="H385" i="1"/>
  <c r="H384" i="1"/>
  <c r="H383" i="1"/>
  <c r="H382" i="1"/>
  <c r="H381" i="1"/>
  <c r="H380" i="1"/>
  <c r="H379" i="1"/>
  <c r="H378" i="1"/>
  <c r="H377" i="1"/>
  <c r="Q376" i="1"/>
  <c r="Q375" i="1" s="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Q313" i="1"/>
  <c r="Q235" i="1" s="1"/>
  <c r="H313" i="1"/>
  <c r="H312" i="1"/>
  <c r="H311" i="1"/>
  <c r="H310" i="1"/>
  <c r="H309" i="1"/>
  <c r="H308" i="1"/>
  <c r="H307" i="1"/>
  <c r="H306" i="1"/>
  <c r="H305" i="1"/>
  <c r="H417" i="1"/>
  <c r="H418" i="1"/>
  <c r="B419" i="1"/>
  <c r="C419" i="1"/>
  <c r="H419" i="1"/>
  <c r="B420" i="1"/>
  <c r="C420" i="1"/>
  <c r="H420" i="1"/>
  <c r="B421" i="1"/>
  <c r="C421" i="1"/>
  <c r="H421" i="1"/>
  <c r="B422" i="1"/>
  <c r="C422" i="1"/>
  <c r="H422" i="1"/>
  <c r="B423" i="1"/>
  <c r="C423" i="1"/>
  <c r="H423" i="1"/>
  <c r="B424" i="1"/>
  <c r="C424" i="1"/>
  <c r="H424" i="1"/>
  <c r="B425" i="1"/>
  <c r="C425" i="1"/>
  <c r="H425" i="1"/>
  <c r="B426" i="1"/>
  <c r="C426" i="1"/>
  <c r="H426" i="1"/>
  <c r="B427" i="1"/>
  <c r="C427" i="1"/>
  <c r="H427" i="1"/>
  <c r="B428" i="1"/>
  <c r="C428" i="1"/>
  <c r="H428" i="1"/>
  <c r="B429" i="1"/>
  <c r="B430" i="1"/>
  <c r="H302" i="1" l="1"/>
  <c r="H301" i="1" l="1"/>
  <c r="Q300" i="1"/>
  <c r="B301" i="1"/>
  <c r="C301" i="1"/>
  <c r="C300" i="1"/>
  <c r="C302" i="1"/>
  <c r="B302" i="1" l="1"/>
  <c r="H291" i="1" l="1"/>
  <c r="H292" i="1"/>
  <c r="C288" i="1"/>
  <c r="C289" i="1"/>
  <c r="C290" i="1"/>
  <c r="C291" i="1"/>
  <c r="C292" i="1"/>
  <c r="C293" i="1"/>
  <c r="C294" i="1"/>
  <c r="C295" i="1"/>
  <c r="C413" i="1"/>
  <c r="C296" i="1"/>
  <c r="C297" i="1"/>
  <c r="C298" i="1"/>
  <c r="C299" i="1"/>
  <c r="B292" i="1" l="1"/>
  <c r="Q290" i="1" l="1"/>
  <c r="H290" i="1"/>
  <c r="B291" i="1" l="1"/>
  <c r="B293" i="1"/>
  <c r="H293" i="1"/>
  <c r="B294" i="1"/>
  <c r="H294" i="1"/>
  <c r="B295" i="1"/>
  <c r="H295" i="1"/>
  <c r="B413" i="1"/>
  <c r="H413" i="1"/>
  <c r="B296" i="1"/>
  <c r="H296" i="1"/>
  <c r="B297" i="1"/>
  <c r="H297" i="1"/>
  <c r="B298" i="1"/>
  <c r="H298" i="1"/>
  <c r="B299" i="1"/>
  <c r="H299" i="1"/>
  <c r="B300" i="1"/>
  <c r="H284" i="1"/>
  <c r="H280" i="1"/>
  <c r="H279" i="1" l="1"/>
  <c r="P238" i="1"/>
  <c r="C238" i="1"/>
  <c r="C239" i="1"/>
  <c r="B238" i="1"/>
  <c r="H238" i="1"/>
  <c r="B239" i="1"/>
  <c r="H239" i="1"/>
  <c r="Q273" i="1"/>
  <c r="Q269" i="1"/>
  <c r="Q268" i="1"/>
  <c r="Q271" i="1"/>
  <c r="Q270" i="1"/>
  <c r="Q265" i="1"/>
  <c r="Q264" i="1"/>
  <c r="Q263" i="1"/>
  <c r="Q266" i="1"/>
  <c r="Q262" i="1"/>
  <c r="Q259" i="1"/>
  <c r="Q260" i="1"/>
  <c r="Q261" i="1"/>
  <c r="Q249" i="1"/>
  <c r="Q256" i="1"/>
  <c r="Q257" i="1"/>
  <c r="Q253" i="1"/>
  <c r="Q250" i="1"/>
  <c r="H248" i="1"/>
  <c r="H243" i="1"/>
  <c r="H237" i="1" l="1"/>
  <c r="H234" i="1" l="1"/>
  <c r="H233" i="1" l="1"/>
  <c r="H231" i="1" l="1"/>
  <c r="C231" i="1" l="1"/>
  <c r="C232" i="1"/>
  <c r="C233" i="1"/>
  <c r="C234" i="1"/>
  <c r="C235" i="1"/>
  <c r="C237"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B232" i="1"/>
  <c r="B233" i="1"/>
  <c r="B234" i="1"/>
  <c r="H232" i="1"/>
  <c r="B235" i="1"/>
  <c r="B237" i="1"/>
  <c r="B240" i="1"/>
  <c r="H235" i="1"/>
  <c r="H240" i="1"/>
  <c r="B241" i="1"/>
  <c r="B242" i="1"/>
  <c r="B243" i="1"/>
  <c r="H241" i="1"/>
  <c r="H242" i="1"/>
  <c r="B244" i="1"/>
  <c r="B245" i="1"/>
  <c r="B246" i="1"/>
  <c r="H244" i="1"/>
  <c r="H245" i="1"/>
  <c r="H246" i="1"/>
  <c r="B247" i="1"/>
  <c r="B248" i="1"/>
  <c r="B249" i="1"/>
  <c r="H247" i="1"/>
  <c r="H249" i="1"/>
  <c r="B250" i="1"/>
  <c r="B251" i="1"/>
  <c r="B252" i="1"/>
  <c r="H250" i="1"/>
  <c r="H251" i="1"/>
  <c r="H252" i="1"/>
  <c r="B253" i="1"/>
  <c r="B254" i="1"/>
  <c r="B255" i="1"/>
  <c r="H253" i="1"/>
  <c r="H254" i="1"/>
  <c r="H255" i="1"/>
  <c r="B256" i="1"/>
  <c r="B257" i="1"/>
  <c r="B258" i="1"/>
  <c r="H256" i="1"/>
  <c r="H257" i="1"/>
  <c r="H258" i="1"/>
  <c r="B259" i="1"/>
  <c r="B260" i="1"/>
  <c r="B261" i="1"/>
  <c r="H259" i="1"/>
  <c r="H260" i="1"/>
  <c r="H261" i="1"/>
  <c r="B262" i="1"/>
  <c r="B263" i="1"/>
  <c r="B264" i="1"/>
  <c r="H262" i="1"/>
  <c r="H263" i="1"/>
  <c r="H264" i="1"/>
  <c r="B265" i="1"/>
  <c r="B266" i="1"/>
  <c r="B267" i="1"/>
  <c r="H265" i="1"/>
  <c r="H266" i="1"/>
  <c r="H267" i="1"/>
  <c r="B268" i="1"/>
  <c r="B269" i="1"/>
  <c r="B270" i="1"/>
  <c r="H268" i="1"/>
  <c r="H269" i="1"/>
  <c r="H270" i="1"/>
  <c r="B271" i="1"/>
  <c r="B272" i="1"/>
  <c r="B273" i="1"/>
  <c r="H271" i="1"/>
  <c r="H272" i="1"/>
  <c r="H273" i="1"/>
  <c r="B274" i="1"/>
  <c r="B275" i="1"/>
  <c r="B276" i="1"/>
  <c r="H274" i="1"/>
  <c r="H275" i="1"/>
  <c r="H276" i="1"/>
  <c r="B277" i="1"/>
  <c r="B278" i="1"/>
  <c r="B279" i="1"/>
  <c r="H277" i="1"/>
  <c r="H278" i="1"/>
  <c r="B280" i="1"/>
  <c r="B281" i="1"/>
  <c r="B282" i="1"/>
  <c r="H281" i="1"/>
  <c r="H282" i="1"/>
  <c r="B283" i="1"/>
  <c r="B284" i="1"/>
  <c r="B285" i="1"/>
  <c r="H283" i="1"/>
  <c r="H285" i="1"/>
  <c r="B286" i="1"/>
  <c r="B287" i="1"/>
  <c r="B288" i="1"/>
  <c r="H286" i="1"/>
  <c r="H287" i="1"/>
  <c r="H288" i="1"/>
  <c r="Q228" i="1"/>
  <c r="Q224" i="1"/>
  <c r="Q225" i="1"/>
  <c r="H216" i="1" l="1"/>
  <c r="H215" i="1"/>
  <c r="H214" i="1"/>
  <c r="Q209" i="1"/>
  <c r="Q206" i="1"/>
  <c r="H196" i="1"/>
  <c r="H195" i="1"/>
  <c r="C197" i="1" l="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B198" i="1"/>
  <c r="B199" i="1"/>
  <c r="B200" i="1"/>
  <c r="B201" i="1"/>
  <c r="H198" i="1"/>
  <c r="H199" i="1"/>
  <c r="H200" i="1"/>
  <c r="H201" i="1"/>
  <c r="B202" i="1"/>
  <c r="B203" i="1"/>
  <c r="B204" i="1"/>
  <c r="B205" i="1"/>
  <c r="H202" i="1"/>
  <c r="H203" i="1"/>
  <c r="H204" i="1"/>
  <c r="H205" i="1"/>
  <c r="B206" i="1"/>
  <c r="B207" i="1"/>
  <c r="B208" i="1"/>
  <c r="B209" i="1"/>
  <c r="H206" i="1"/>
  <c r="H207" i="1"/>
  <c r="H208" i="1"/>
  <c r="H209" i="1"/>
  <c r="B210" i="1"/>
  <c r="B211" i="1"/>
  <c r="B212" i="1"/>
  <c r="B213" i="1"/>
  <c r="H210" i="1"/>
  <c r="H211" i="1"/>
  <c r="H212" i="1"/>
  <c r="H213" i="1"/>
  <c r="B214" i="1"/>
  <c r="B215" i="1"/>
  <c r="B216" i="1"/>
  <c r="B217" i="1"/>
  <c r="H217" i="1"/>
  <c r="B218" i="1"/>
  <c r="B219" i="1"/>
  <c r="B220" i="1"/>
  <c r="B221" i="1"/>
  <c r="H218" i="1"/>
  <c r="H219" i="1"/>
  <c r="H220" i="1"/>
  <c r="H221" i="1"/>
  <c r="B222" i="1"/>
  <c r="B223" i="1"/>
  <c r="B224" i="1"/>
  <c r="B225" i="1"/>
  <c r="H222" i="1"/>
  <c r="H223" i="1"/>
  <c r="H224" i="1"/>
  <c r="H225" i="1"/>
  <c r="B226" i="1"/>
  <c r="B227" i="1"/>
  <c r="B228" i="1"/>
  <c r="B229" i="1"/>
  <c r="H226" i="1"/>
  <c r="H227" i="1"/>
  <c r="H228" i="1"/>
  <c r="H229" i="1"/>
  <c r="Q191" i="1"/>
  <c r="Q192" i="1"/>
  <c r="Q189" i="1" l="1"/>
  <c r="Q188" i="1"/>
  <c r="Q187" i="1"/>
  <c r="Q186" i="1"/>
  <c r="Q182" i="1" l="1"/>
  <c r="Q179" i="1"/>
  <c r="Q166" i="1" l="1"/>
  <c r="Q165" i="1"/>
  <c r="Q157" i="1"/>
  <c r="Q14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B156" i="1"/>
  <c r="B157" i="1"/>
  <c r="B158" i="1"/>
  <c r="B159" i="1"/>
  <c r="H156" i="1"/>
  <c r="H157" i="1"/>
  <c r="H158" i="1"/>
  <c r="H159" i="1"/>
  <c r="B160" i="1"/>
  <c r="B161" i="1"/>
  <c r="B162" i="1"/>
  <c r="B163" i="1"/>
  <c r="H160" i="1"/>
  <c r="H161" i="1"/>
  <c r="H162" i="1"/>
  <c r="H163" i="1"/>
  <c r="B164" i="1"/>
  <c r="B165" i="1"/>
  <c r="B166" i="1"/>
  <c r="B167" i="1"/>
  <c r="H164" i="1"/>
  <c r="H165" i="1"/>
  <c r="H166" i="1"/>
  <c r="H167" i="1"/>
  <c r="B168" i="1"/>
  <c r="B169" i="1"/>
  <c r="B170" i="1"/>
  <c r="B171" i="1"/>
  <c r="H168" i="1"/>
  <c r="H169" i="1"/>
  <c r="H170" i="1"/>
  <c r="H171" i="1"/>
  <c r="B172" i="1"/>
  <c r="B173" i="1"/>
  <c r="B174" i="1"/>
  <c r="B175" i="1"/>
  <c r="H172" i="1"/>
  <c r="H173" i="1"/>
  <c r="H174" i="1"/>
  <c r="H175" i="1"/>
  <c r="B176" i="1"/>
  <c r="B177" i="1"/>
  <c r="B178" i="1"/>
  <c r="H176" i="1"/>
  <c r="H177" i="1"/>
  <c r="H178" i="1"/>
  <c r="B179" i="1"/>
  <c r="B180" i="1"/>
  <c r="B181" i="1"/>
  <c r="B182" i="1"/>
  <c r="H179" i="1"/>
  <c r="H180" i="1"/>
  <c r="H181" i="1"/>
  <c r="H182" i="1"/>
  <c r="B183" i="1"/>
  <c r="B184" i="1"/>
  <c r="B185" i="1"/>
  <c r="B186" i="1"/>
  <c r="H183" i="1"/>
  <c r="H184" i="1"/>
  <c r="H185" i="1"/>
  <c r="H186" i="1"/>
  <c r="B187" i="1"/>
  <c r="B188" i="1"/>
  <c r="B189" i="1"/>
  <c r="B190" i="1"/>
  <c r="H187" i="1"/>
  <c r="H188" i="1"/>
  <c r="H189" i="1"/>
  <c r="H190" i="1"/>
  <c r="B191" i="1"/>
  <c r="B192" i="1"/>
  <c r="B193" i="1"/>
  <c r="B194" i="1"/>
  <c r="H191" i="1"/>
  <c r="H192" i="1"/>
  <c r="H193" i="1"/>
  <c r="H194" i="1"/>
  <c r="B195" i="1"/>
  <c r="B196" i="1"/>
  <c r="B197" i="1"/>
  <c r="B230" i="1"/>
  <c r="H197" i="1"/>
  <c r="H230" i="1"/>
  <c r="H144" i="1"/>
  <c r="H139" i="1" l="1"/>
  <c r="H138" i="1" l="1"/>
  <c r="H135" i="1"/>
  <c r="E21" i="9"/>
  <c r="I21" i="9" s="1"/>
  <c r="Q21" i="9"/>
  <c r="U21" i="9"/>
  <c r="E22" i="9"/>
  <c r="K22" i="9" s="1"/>
  <c r="L22" i="9" s="1"/>
  <c r="O22" i="9" s="1"/>
  <c r="Q22" i="9"/>
  <c r="U22" i="9"/>
  <c r="E23" i="9"/>
  <c r="J23" i="9" s="1"/>
  <c r="Q23" i="9"/>
  <c r="U23" i="9"/>
  <c r="E24" i="9"/>
  <c r="J24" i="9" s="1"/>
  <c r="Q24" i="9"/>
  <c r="U24" i="9"/>
  <c r="E25" i="9"/>
  <c r="J25" i="9" s="1"/>
  <c r="Q25" i="9"/>
  <c r="U25" i="9"/>
  <c r="E26" i="9"/>
  <c r="J26" i="9" s="1"/>
  <c r="Q26" i="9"/>
  <c r="U26" i="9"/>
  <c r="E27" i="9"/>
  <c r="I27" i="9" s="1"/>
  <c r="Q27" i="9"/>
  <c r="U27" i="9"/>
  <c r="E28" i="9"/>
  <c r="I28" i="9" s="1"/>
  <c r="Q28" i="9"/>
  <c r="U28" i="9"/>
  <c r="E29" i="9"/>
  <c r="J29" i="9" s="1"/>
  <c r="Q29" i="9"/>
  <c r="U29" i="9"/>
  <c r="E30" i="9"/>
  <c r="K30" i="9" s="1"/>
  <c r="L30" i="9" s="1"/>
  <c r="O30" i="9" s="1"/>
  <c r="Q30" i="9"/>
  <c r="U30" i="9"/>
  <c r="E31" i="9"/>
  <c r="K31" i="9" s="1"/>
  <c r="L31" i="9" s="1"/>
  <c r="O31" i="9" s="1"/>
  <c r="Q31" i="9"/>
  <c r="U31" i="9"/>
  <c r="E32" i="9"/>
  <c r="I32" i="9" s="1"/>
  <c r="Q32" i="9"/>
  <c r="U32" i="9"/>
  <c r="E33" i="9"/>
  <c r="J33" i="9" s="1"/>
  <c r="Q33" i="9"/>
  <c r="U33" i="9"/>
  <c r="E34" i="9"/>
  <c r="I34" i="9" s="1"/>
  <c r="Q34" i="9"/>
  <c r="U34" i="9"/>
  <c r="E35" i="9"/>
  <c r="I35" i="9" s="1"/>
  <c r="Q35" i="9"/>
  <c r="U35" i="9"/>
  <c r="E36" i="9"/>
  <c r="J36" i="9" s="1"/>
  <c r="Q36" i="9"/>
  <c r="U36" i="9"/>
  <c r="E37" i="9"/>
  <c r="K37" i="9" s="1"/>
  <c r="L37" i="9" s="1"/>
  <c r="O37" i="9" s="1"/>
  <c r="Q37" i="9"/>
  <c r="U37" i="9"/>
  <c r="E38" i="9"/>
  <c r="K38" i="9" s="1"/>
  <c r="L38" i="9" s="1"/>
  <c r="O38" i="9" s="1"/>
  <c r="Q38" i="9"/>
  <c r="U38" i="9"/>
  <c r="E39" i="9"/>
  <c r="K39" i="9" s="1"/>
  <c r="L39" i="9" s="1"/>
  <c r="O39" i="9" s="1"/>
  <c r="Q39" i="9"/>
  <c r="U39" i="9"/>
  <c r="E40" i="9"/>
  <c r="I40" i="9" s="1"/>
  <c r="Q40" i="9"/>
  <c r="U40" i="9"/>
  <c r="E41" i="9"/>
  <c r="Q41" i="9"/>
  <c r="U41" i="9"/>
  <c r="E42" i="9"/>
  <c r="I42" i="9" s="1"/>
  <c r="Q42" i="9"/>
  <c r="U42" i="9"/>
  <c r="I51" i="9"/>
  <c r="Q51" i="9"/>
  <c r="U51" i="9"/>
  <c r="I52" i="9"/>
  <c r="Q52" i="9"/>
  <c r="U52" i="9"/>
  <c r="C118" i="1"/>
  <c r="C119" i="1"/>
  <c r="C120" i="1"/>
  <c r="B118" i="1"/>
  <c r="H118" i="1"/>
  <c r="I29" i="9" l="1"/>
  <c r="I26" i="9"/>
  <c r="I25" i="9"/>
  <c r="I24" i="9"/>
  <c r="I23" i="9"/>
  <c r="K41" i="9"/>
  <c r="L41" i="9" s="1"/>
  <c r="N41" i="9"/>
  <c r="J27" i="9"/>
  <c r="N27" i="9"/>
  <c r="I33" i="9"/>
  <c r="J32" i="9"/>
  <c r="J22" i="9"/>
  <c r="K33" i="9"/>
  <c r="L33" i="9" s="1"/>
  <c r="O33" i="9" s="1"/>
  <c r="I22" i="9"/>
  <c r="J31" i="9"/>
  <c r="I41" i="9"/>
  <c r="J37" i="9"/>
  <c r="K52" i="9"/>
  <c r="L52" i="9" s="1"/>
  <c r="O52" i="9" s="1"/>
  <c r="I37" i="9"/>
  <c r="K36" i="9"/>
  <c r="L36" i="9" s="1"/>
  <c r="O36" i="9" s="1"/>
  <c r="K32" i="9"/>
  <c r="L32" i="9" s="1"/>
  <c r="J41" i="9"/>
  <c r="I36" i="9"/>
  <c r="K29" i="9"/>
  <c r="L29" i="9" s="1"/>
  <c r="O29" i="9" s="1"/>
  <c r="K40" i="9"/>
  <c r="L40" i="9" s="1"/>
  <c r="O40" i="9" s="1"/>
  <c r="J40" i="9"/>
  <c r="J39" i="9"/>
  <c r="J38" i="9"/>
  <c r="J30" i="9"/>
  <c r="K51" i="9"/>
  <c r="L51" i="9" s="1"/>
  <c r="O51" i="9" s="1"/>
  <c r="K42" i="9"/>
  <c r="L42" i="9" s="1"/>
  <c r="O42" i="9" s="1"/>
  <c r="I39" i="9"/>
  <c r="I38" i="9"/>
  <c r="K35" i="9"/>
  <c r="L35" i="9" s="1"/>
  <c r="O35" i="9" s="1"/>
  <c r="K34" i="9"/>
  <c r="L34" i="9" s="1"/>
  <c r="O34" i="9" s="1"/>
  <c r="I31" i="9"/>
  <c r="I30" i="9"/>
  <c r="J28" i="9"/>
  <c r="N28" i="9"/>
  <c r="J35" i="9"/>
  <c r="J34" i="9"/>
  <c r="J51" i="9"/>
  <c r="J42" i="9"/>
  <c r="K28" i="9"/>
  <c r="L28" i="9" s="1"/>
  <c r="K27" i="9"/>
  <c r="L27" i="9" s="1"/>
  <c r="O27" i="9" s="1"/>
  <c r="K26" i="9"/>
  <c r="L26" i="9" s="1"/>
  <c r="O26" i="9" s="1"/>
  <c r="K25" i="9"/>
  <c r="L25" i="9" s="1"/>
  <c r="O25" i="9" s="1"/>
  <c r="K24" i="9"/>
  <c r="L24" i="9" s="1"/>
  <c r="O24" i="9" s="1"/>
  <c r="K23" i="9"/>
  <c r="L23" i="9" s="1"/>
  <c r="O23" i="9" s="1"/>
  <c r="K21" i="9"/>
  <c r="L21" i="9" s="1"/>
  <c r="O21" i="9" s="1"/>
  <c r="J21" i="9"/>
  <c r="J52" i="9"/>
  <c r="Q136" i="1"/>
  <c r="Q135" i="1"/>
  <c r="Q137" i="1"/>
  <c r="Q133" i="1"/>
  <c r="Q128" i="1"/>
  <c r="O41" i="9" l="1"/>
  <c r="O32" i="9"/>
  <c r="O28" i="9"/>
  <c r="Q106" i="1" l="1"/>
  <c r="Q107" i="1"/>
  <c r="Q104" i="1"/>
  <c r="Q103" i="1"/>
  <c r="C105" i="1"/>
  <c r="C106" i="1"/>
  <c r="C107" i="1"/>
  <c r="C108" i="1"/>
  <c r="C109" i="1"/>
  <c r="C116" i="1"/>
  <c r="C117" i="1"/>
  <c r="C110" i="1"/>
  <c r="C111" i="1"/>
  <c r="C112" i="1"/>
  <c r="C114" i="1"/>
  <c r="C115"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B106" i="1"/>
  <c r="B107" i="1"/>
  <c r="B108" i="1"/>
  <c r="B109" i="1"/>
  <c r="B116" i="1"/>
  <c r="B117" i="1"/>
  <c r="B110" i="1"/>
  <c r="B111" i="1"/>
  <c r="H106" i="1"/>
  <c r="H107" i="1"/>
  <c r="H108" i="1"/>
  <c r="H109" i="1"/>
  <c r="H116" i="1"/>
  <c r="H117" i="1"/>
  <c r="H110" i="1"/>
  <c r="H111" i="1"/>
  <c r="B112" i="1"/>
  <c r="B114" i="1"/>
  <c r="B115" i="1"/>
  <c r="B119" i="1"/>
  <c r="B120" i="1"/>
  <c r="B121" i="1"/>
  <c r="B122" i="1"/>
  <c r="B123" i="1"/>
  <c r="H112" i="1"/>
  <c r="H114" i="1"/>
  <c r="H115" i="1"/>
  <c r="H119" i="1"/>
  <c r="H120" i="1"/>
  <c r="H121" i="1"/>
  <c r="H122" i="1"/>
  <c r="H123" i="1"/>
  <c r="B124" i="1"/>
  <c r="B125" i="1"/>
  <c r="B126" i="1"/>
  <c r="B127" i="1"/>
  <c r="B128" i="1"/>
  <c r="B129" i="1"/>
  <c r="B130" i="1"/>
  <c r="B131" i="1"/>
  <c r="B132" i="1"/>
  <c r="H124" i="1"/>
  <c r="H125" i="1"/>
  <c r="H126" i="1"/>
  <c r="H127" i="1"/>
  <c r="H128" i="1"/>
  <c r="H129" i="1"/>
  <c r="H130" i="1"/>
  <c r="H131" i="1"/>
  <c r="H132" i="1"/>
  <c r="B133" i="1"/>
  <c r="B134" i="1"/>
  <c r="B135" i="1"/>
  <c r="B136" i="1"/>
  <c r="B137" i="1"/>
  <c r="B138" i="1"/>
  <c r="B139" i="1"/>
  <c r="B140" i="1"/>
  <c r="B141" i="1"/>
  <c r="H133" i="1"/>
  <c r="H134" i="1"/>
  <c r="H136" i="1"/>
  <c r="H137" i="1"/>
  <c r="H140" i="1"/>
  <c r="H141" i="1"/>
  <c r="B142" i="1"/>
  <c r="B143" i="1"/>
  <c r="B144" i="1"/>
  <c r="B145" i="1"/>
  <c r="B146" i="1"/>
  <c r="B147" i="1"/>
  <c r="B148" i="1"/>
  <c r="B149" i="1"/>
  <c r="B150" i="1"/>
  <c r="H142" i="1"/>
  <c r="H143" i="1"/>
  <c r="H145" i="1"/>
  <c r="H146" i="1"/>
  <c r="H147" i="1"/>
  <c r="H148" i="1"/>
  <c r="H149" i="1"/>
  <c r="H150" i="1"/>
  <c r="Q96" i="1"/>
  <c r="Q86" i="1" l="1"/>
  <c r="Q87" i="1"/>
  <c r="Q84" i="1" l="1"/>
  <c r="Q82" i="1"/>
  <c r="Q69" i="1" l="1"/>
  <c r="B70" i="1"/>
  <c r="C70" i="1"/>
  <c r="H70" i="1"/>
  <c r="H72" i="1"/>
  <c r="Q71" i="1"/>
  <c r="H66" i="1" l="1"/>
  <c r="H58" i="1" l="1"/>
  <c r="H57" i="1"/>
  <c r="Q56" i="1" l="1"/>
  <c r="Q54" i="1"/>
  <c r="H49" i="1" l="1"/>
  <c r="B45" i="1" l="1"/>
  <c r="B46" i="1"/>
  <c r="B47" i="1"/>
  <c r="B48" i="1"/>
  <c r="B49" i="1"/>
  <c r="B50" i="1"/>
  <c r="C45" i="1"/>
  <c r="C46" i="1"/>
  <c r="H9" i="4" l="1"/>
  <c r="H45" i="1" l="1"/>
  <c r="H46" i="1"/>
  <c r="H44" i="1"/>
  <c r="H41" i="1" l="1"/>
  <c r="H40" i="1"/>
  <c r="H39" i="1"/>
  <c r="H38" i="1"/>
  <c r="H37" i="1"/>
  <c r="H35" i="1"/>
  <c r="Q29" i="1" l="1"/>
  <c r="Q31" i="1"/>
  <c r="Q26" i="1"/>
  <c r="Q25" i="1"/>
  <c r="Q28" i="1"/>
  <c r="Q19" i="1"/>
  <c r="Q22" i="1"/>
  <c r="Q16" i="1"/>
  <c r="Q11" i="1"/>
  <c r="Q14" i="1"/>
  <c r="Q13"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7" i="1"/>
  <c r="C48" i="1"/>
  <c r="C49" i="1"/>
  <c r="C50" i="1"/>
  <c r="C51" i="1"/>
  <c r="C52" i="1"/>
  <c r="C53" i="1"/>
  <c r="C54" i="1"/>
  <c r="C55" i="1"/>
  <c r="C56" i="1"/>
  <c r="C57" i="1"/>
  <c r="C58" i="1"/>
  <c r="C59" i="1"/>
  <c r="C60" i="1"/>
  <c r="C61" i="1"/>
  <c r="C62" i="1"/>
  <c r="C63" i="1"/>
  <c r="C64" i="1"/>
  <c r="C65" i="1"/>
  <c r="C66" i="1"/>
  <c r="C67" i="1"/>
  <c r="C68" i="1"/>
  <c r="C69"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2" i="1"/>
  <c r="C103" i="1"/>
  <c r="C104" i="1"/>
  <c r="C152" i="1"/>
  <c r="C153" i="1"/>
  <c r="C154" i="1"/>
  <c r="C155" i="1"/>
  <c r="B15" i="1"/>
  <c r="B16" i="1"/>
  <c r="B17" i="1"/>
  <c r="B18" i="1"/>
  <c r="B19" i="1"/>
  <c r="B20" i="1"/>
  <c r="B21" i="1"/>
  <c r="B22" i="1"/>
  <c r="B23" i="1"/>
  <c r="B24" i="1"/>
  <c r="H15" i="1"/>
  <c r="H16" i="1"/>
  <c r="H17" i="1"/>
  <c r="H19" i="1"/>
  <c r="H20" i="1"/>
  <c r="H21" i="1"/>
  <c r="H22" i="1"/>
  <c r="H23" i="1"/>
  <c r="H24" i="1"/>
  <c r="B25" i="1"/>
  <c r="B26" i="1"/>
  <c r="B27" i="1"/>
  <c r="B28" i="1"/>
  <c r="B29" i="1"/>
  <c r="B30" i="1"/>
  <c r="B31" i="1"/>
  <c r="B32" i="1"/>
  <c r="B33" i="1"/>
  <c r="B34" i="1"/>
  <c r="H25" i="1"/>
  <c r="H26" i="1"/>
  <c r="H27" i="1"/>
  <c r="H28" i="1"/>
  <c r="H29" i="1"/>
  <c r="H30" i="1"/>
  <c r="H31" i="1"/>
  <c r="H32" i="1"/>
  <c r="H33" i="1"/>
  <c r="H34" i="1"/>
  <c r="B35" i="1"/>
  <c r="B36" i="1"/>
  <c r="B37" i="1"/>
  <c r="B38" i="1"/>
  <c r="B39" i="1"/>
  <c r="B40" i="1"/>
  <c r="B41" i="1"/>
  <c r="B42" i="1"/>
  <c r="B43" i="1"/>
  <c r="B44" i="1"/>
  <c r="H36" i="1"/>
  <c r="H42" i="1"/>
  <c r="H43" i="1"/>
  <c r="B51" i="1"/>
  <c r="B52" i="1"/>
  <c r="B53" i="1"/>
  <c r="B54" i="1"/>
  <c r="B55" i="1"/>
  <c r="H47" i="1"/>
  <c r="H48" i="1"/>
  <c r="H50" i="1"/>
  <c r="H52" i="1"/>
  <c r="H53" i="1"/>
  <c r="H54" i="1"/>
  <c r="H55" i="1"/>
  <c r="B56" i="1"/>
  <c r="B57" i="1"/>
  <c r="B58" i="1"/>
  <c r="B59" i="1"/>
  <c r="B60" i="1"/>
  <c r="B61" i="1"/>
  <c r="B62" i="1"/>
  <c r="B63" i="1"/>
  <c r="H56" i="1"/>
  <c r="H59" i="1"/>
  <c r="H60" i="1"/>
  <c r="H61" i="1"/>
  <c r="H62" i="1"/>
  <c r="H63" i="1"/>
  <c r="B64" i="1"/>
  <c r="B65" i="1"/>
  <c r="B66" i="1"/>
  <c r="B67" i="1"/>
  <c r="B68" i="1"/>
  <c r="B69" i="1"/>
  <c r="B71" i="1"/>
  <c r="B72" i="1"/>
  <c r="B73" i="1"/>
  <c r="B74" i="1"/>
  <c r="H64" i="1"/>
  <c r="H65" i="1"/>
  <c r="H67" i="1"/>
  <c r="H68" i="1"/>
  <c r="H69" i="1"/>
  <c r="H71" i="1"/>
  <c r="H73" i="1"/>
  <c r="H74" i="1"/>
  <c r="B75" i="1"/>
  <c r="B76" i="1"/>
  <c r="B77" i="1"/>
  <c r="B78" i="1"/>
  <c r="B79" i="1"/>
  <c r="B80" i="1"/>
  <c r="B81" i="1"/>
  <c r="B82" i="1"/>
  <c r="B83" i="1"/>
  <c r="B84" i="1"/>
  <c r="H75" i="1"/>
  <c r="H76" i="1"/>
  <c r="H77" i="1"/>
  <c r="H78" i="1"/>
  <c r="H79" i="1"/>
  <c r="H80" i="1"/>
  <c r="H81" i="1"/>
  <c r="H82" i="1"/>
  <c r="H83" i="1"/>
  <c r="H84" i="1"/>
  <c r="B85" i="1"/>
  <c r="B86" i="1"/>
  <c r="B87" i="1"/>
  <c r="B88" i="1"/>
  <c r="B89" i="1"/>
  <c r="B90" i="1"/>
  <c r="B91" i="1"/>
  <c r="B92" i="1"/>
  <c r="B93" i="1"/>
  <c r="B94" i="1"/>
  <c r="H85" i="1"/>
  <c r="H86" i="1"/>
  <c r="H87" i="1"/>
  <c r="H88" i="1"/>
  <c r="H89" i="1"/>
  <c r="H90" i="1"/>
  <c r="H91" i="1"/>
  <c r="H92" i="1"/>
  <c r="H93" i="1"/>
  <c r="H94" i="1"/>
  <c r="B95" i="1"/>
  <c r="B96" i="1"/>
  <c r="B97" i="1"/>
  <c r="B98" i="1"/>
  <c r="B99" i="1"/>
  <c r="B100" i="1"/>
  <c r="B102" i="1"/>
  <c r="B103" i="1"/>
  <c r="B104" i="1"/>
  <c r="B105" i="1"/>
  <c r="H95" i="1"/>
  <c r="H96" i="1"/>
  <c r="H97" i="1"/>
  <c r="H98" i="1"/>
  <c r="H99" i="1"/>
  <c r="H100" i="1"/>
  <c r="H102" i="1"/>
  <c r="H103" i="1"/>
  <c r="H104" i="1"/>
  <c r="H105" i="1"/>
  <c r="C10" i="1" l="1"/>
  <c r="C11" i="1"/>
  <c r="B11" i="1"/>
  <c r="B12" i="1"/>
  <c r="B13" i="1"/>
  <c r="H11" i="1"/>
  <c r="H12" i="1"/>
  <c r="H13" i="1"/>
  <c r="B14" i="1"/>
  <c r="B151" i="1"/>
  <c r="B152" i="1"/>
  <c r="H14" i="1"/>
  <c r="H151" i="1"/>
  <c r="H152" i="1"/>
  <c r="B153" i="1"/>
  <c r="B154" i="1"/>
  <c r="B155" i="1"/>
  <c r="H153" i="1"/>
  <c r="H154" i="1"/>
  <c r="H155" i="1"/>
  <c r="H4" i="1" l="1"/>
  <c r="C4" i="1" l="1"/>
  <c r="C5" i="1"/>
  <c r="C6" i="1"/>
  <c r="C7" i="1" l="1"/>
  <c r="C8" i="1"/>
  <c r="C9" i="1"/>
  <c r="B4" i="1"/>
  <c r="B5" i="1"/>
  <c r="B6" i="1"/>
  <c r="H5" i="1"/>
  <c r="H6" i="1"/>
  <c r="B7" i="1"/>
  <c r="B8" i="1"/>
  <c r="B9" i="1"/>
  <c r="B10" i="1"/>
  <c r="H7" i="1"/>
  <c r="H8" i="1"/>
  <c r="H9" i="1"/>
  <c r="H10" i="1"/>
  <c r="E13" i="9" l="1"/>
  <c r="I13" i="9" s="1"/>
  <c r="Q13" i="9"/>
  <c r="U13" i="9"/>
  <c r="E14" i="9"/>
  <c r="J14" i="9" s="1"/>
  <c r="Q14" i="9"/>
  <c r="U14" i="9"/>
  <c r="E15" i="9"/>
  <c r="Q15" i="9"/>
  <c r="E16" i="9"/>
  <c r="J16" i="9" s="1"/>
  <c r="Q16" i="9"/>
  <c r="U16" i="9"/>
  <c r="E17" i="9"/>
  <c r="Q17" i="9"/>
  <c r="U17" i="9"/>
  <c r="E18" i="9"/>
  <c r="J18" i="9" s="1"/>
  <c r="Q18" i="9"/>
  <c r="U18" i="9"/>
  <c r="E19" i="9"/>
  <c r="I19" i="9" s="1"/>
  <c r="Q19" i="9"/>
  <c r="U19" i="9"/>
  <c r="E20" i="9"/>
  <c r="J20" i="9" s="1"/>
  <c r="Q20" i="9"/>
  <c r="U20" i="9"/>
  <c r="I53" i="9"/>
  <c r="Q53" i="9"/>
  <c r="U53" i="9"/>
  <c r="B231" i="1"/>
  <c r="I17" i="9" l="1"/>
  <c r="N17" i="9"/>
  <c r="J17" i="9"/>
  <c r="I16" i="9"/>
  <c r="I15" i="9"/>
  <c r="N15" i="9"/>
  <c r="N151" i="9" s="1"/>
  <c r="K15" i="9"/>
  <c r="L15" i="9" s="1"/>
  <c r="J15" i="9"/>
  <c r="I14" i="9"/>
  <c r="K13" i="9"/>
  <c r="L13" i="9" s="1"/>
  <c r="O13" i="9" s="1"/>
  <c r="K53" i="9"/>
  <c r="L53" i="9" s="1"/>
  <c r="O53" i="9" s="1"/>
  <c r="I20" i="9"/>
  <c r="K19" i="9"/>
  <c r="L19" i="9" s="1"/>
  <c r="O19" i="9" s="1"/>
  <c r="J13" i="9"/>
  <c r="J19" i="9"/>
  <c r="I18" i="9"/>
  <c r="K17" i="9"/>
  <c r="L17" i="9" s="1"/>
  <c r="J53" i="9"/>
  <c r="K20" i="9"/>
  <c r="L20" i="9" s="1"/>
  <c r="O20" i="9" s="1"/>
  <c r="K18" i="9"/>
  <c r="L18" i="9" s="1"/>
  <c r="O18" i="9" s="1"/>
  <c r="K16" i="9"/>
  <c r="L16" i="9" s="1"/>
  <c r="O16" i="9" s="1"/>
  <c r="K14" i="9"/>
  <c r="L14" i="9" s="1"/>
  <c r="O14" i="9" s="1"/>
  <c r="M15" i="9" l="1"/>
  <c r="O17" i="9"/>
  <c r="U15" i="9" l="1"/>
  <c r="M151" i="9"/>
  <c r="O15" i="9"/>
  <c r="B289" i="1" l="1"/>
  <c r="H289" i="1"/>
  <c r="B290" i="1"/>
  <c r="E4" i="9" l="1"/>
  <c r="Q4" i="9"/>
  <c r="U4" i="9"/>
  <c r="E5" i="9"/>
  <c r="I5" i="9" s="1"/>
  <c r="Q5" i="9"/>
  <c r="U5" i="9"/>
  <c r="E6" i="9"/>
  <c r="Q6" i="9"/>
  <c r="U6" i="9"/>
  <c r="E7" i="9"/>
  <c r="K7" i="9" s="1"/>
  <c r="L7" i="9" s="1"/>
  <c r="O7" i="9" s="1"/>
  <c r="Q7" i="9"/>
  <c r="U7" i="9"/>
  <c r="E8" i="9"/>
  <c r="K8" i="9" s="1"/>
  <c r="L8" i="9" s="1"/>
  <c r="O8" i="9" s="1"/>
  <c r="Q8" i="9"/>
  <c r="U8" i="9"/>
  <c r="E9" i="9"/>
  <c r="K9" i="9" s="1"/>
  <c r="L9" i="9" s="1"/>
  <c r="O9" i="9" s="1"/>
  <c r="Q9" i="9"/>
  <c r="U9" i="9"/>
  <c r="E10" i="9"/>
  <c r="J10" i="9" s="1"/>
  <c r="Q10" i="9"/>
  <c r="U10" i="9"/>
  <c r="E11" i="9"/>
  <c r="J11" i="9" s="1"/>
  <c r="Q11" i="9"/>
  <c r="U11" i="9"/>
  <c r="I4" i="9" l="1"/>
  <c r="I6" i="9"/>
  <c r="I11" i="9"/>
  <c r="K10" i="9"/>
  <c r="L10" i="9" s="1"/>
  <c r="O10" i="9" s="1"/>
  <c r="K11" i="9"/>
  <c r="L11" i="9" s="1"/>
  <c r="O11" i="9" s="1"/>
  <c r="J6" i="9"/>
  <c r="K6" i="9"/>
  <c r="J7" i="9"/>
  <c r="I7" i="9"/>
  <c r="I10" i="9"/>
  <c r="J9" i="9"/>
  <c r="J8" i="9"/>
  <c r="I9" i="9"/>
  <c r="I8" i="9"/>
  <c r="K5" i="9"/>
  <c r="L5" i="9" s="1"/>
  <c r="O5" i="9" s="1"/>
  <c r="K4" i="9"/>
  <c r="J5" i="9"/>
  <c r="J4" i="9"/>
  <c r="L4" i="9" l="1"/>
  <c r="L6" i="9"/>
  <c r="H51" i="33"/>
  <c r="H52" i="33"/>
  <c r="H53" i="33"/>
  <c r="O4" i="9" l="1"/>
  <c r="O6" i="9"/>
  <c r="Q12" i="9"/>
  <c r="C3" i="1" l="1"/>
  <c r="B3" i="1"/>
  <c r="E65" i="35" l="1"/>
  <c r="F4" i="35" s="1"/>
  <c r="D65" i="35"/>
  <c r="F3" i="35" s="1"/>
  <c r="C65" i="35"/>
  <c r="F2" i="35" s="1"/>
  <c r="B65" i="35"/>
  <c r="F1" i="35" s="1"/>
  <c r="I25" i="35"/>
  <c r="K25" i="35" s="1"/>
  <c r="I24" i="35"/>
  <c r="K24" i="35" s="1"/>
  <c r="J23" i="35"/>
  <c r="I23" i="35"/>
  <c r="J22" i="35"/>
  <c r="I22" i="35"/>
  <c r="J21" i="35"/>
  <c r="I21" i="35"/>
  <c r="J20" i="35"/>
  <c r="I20" i="35"/>
  <c r="J19" i="35"/>
  <c r="I19" i="35"/>
  <c r="J18" i="35"/>
  <c r="I18" i="35"/>
  <c r="J17" i="35"/>
  <c r="I17" i="35"/>
  <c r="J16" i="35"/>
  <c r="I16" i="35"/>
  <c r="K16" i="35" l="1"/>
  <c r="K20" i="35"/>
  <c r="K18" i="35"/>
  <c r="K22" i="35"/>
  <c r="K17" i="35"/>
  <c r="K19" i="35"/>
  <c r="K21" i="35"/>
  <c r="K23" i="35"/>
  <c r="F5" i="35"/>
  <c r="G3" i="35" s="1"/>
  <c r="G4" i="35" l="1"/>
  <c r="G1" i="35"/>
  <c r="G2" i="35"/>
  <c r="F43" i="12" l="1"/>
  <c r="D14" i="12"/>
  <c r="H856" i="33" l="1"/>
  <c r="H855" i="33"/>
  <c r="H854" i="33"/>
  <c r="H853" i="33"/>
  <c r="H852" i="33"/>
  <c r="H851" i="33"/>
  <c r="H850" i="33"/>
  <c r="H849" i="33"/>
  <c r="H848" i="33"/>
  <c r="H847" i="33"/>
  <c r="H846" i="33"/>
  <c r="H845" i="33"/>
  <c r="H844" i="33"/>
  <c r="H843" i="33"/>
  <c r="H842" i="33"/>
  <c r="H841" i="33"/>
  <c r="H840" i="33"/>
  <c r="H839" i="33"/>
  <c r="H838" i="33"/>
  <c r="H837" i="33"/>
  <c r="H836" i="33"/>
  <c r="H835" i="33"/>
  <c r="H834" i="33"/>
  <c r="H833" i="33"/>
  <c r="H832" i="33"/>
  <c r="H831" i="33"/>
  <c r="H830" i="33"/>
  <c r="H829" i="33"/>
  <c r="H828" i="33"/>
  <c r="H827" i="33"/>
  <c r="H826" i="33"/>
  <c r="H825" i="33"/>
  <c r="H824" i="33"/>
  <c r="H823" i="33"/>
  <c r="H822" i="33"/>
  <c r="H821" i="33"/>
  <c r="H820" i="33"/>
  <c r="H819" i="33"/>
  <c r="H818" i="33"/>
  <c r="H817" i="33"/>
  <c r="H816" i="33"/>
  <c r="H815" i="33"/>
  <c r="H814" i="33"/>
  <c r="H813" i="33"/>
  <c r="H812" i="33"/>
  <c r="H811" i="33"/>
  <c r="H810" i="33"/>
  <c r="H809" i="33"/>
  <c r="H808" i="33"/>
  <c r="H807" i="33"/>
  <c r="H806" i="33"/>
  <c r="H805" i="33"/>
  <c r="H804" i="33"/>
  <c r="H803" i="33"/>
  <c r="H802" i="33"/>
  <c r="H801" i="33"/>
  <c r="H800" i="33"/>
  <c r="H799" i="33"/>
  <c r="H798" i="33"/>
  <c r="H797" i="33"/>
  <c r="H796" i="33"/>
  <c r="H795" i="33"/>
  <c r="H794" i="33"/>
  <c r="H793" i="33"/>
  <c r="H792" i="33"/>
  <c r="H791" i="33"/>
  <c r="H790" i="33"/>
  <c r="H789" i="33"/>
  <c r="H788" i="33"/>
  <c r="H787" i="33"/>
  <c r="H786" i="33"/>
  <c r="H785" i="33"/>
  <c r="H784" i="33"/>
  <c r="H783" i="33"/>
  <c r="H782" i="33"/>
  <c r="H781" i="33"/>
  <c r="H780" i="33"/>
  <c r="H779" i="33"/>
  <c r="H778" i="33"/>
  <c r="H777" i="33"/>
  <c r="H776" i="33"/>
  <c r="H775" i="33"/>
  <c r="H774" i="33"/>
  <c r="H773" i="33"/>
  <c r="H772" i="33"/>
  <c r="H771" i="33"/>
  <c r="H770" i="33"/>
  <c r="H769" i="33"/>
  <c r="H768" i="33"/>
  <c r="H767" i="33"/>
  <c r="H766" i="33"/>
  <c r="H765" i="33"/>
  <c r="H764" i="33"/>
  <c r="H763" i="33"/>
  <c r="H762" i="33"/>
  <c r="H761" i="33"/>
  <c r="H760" i="33"/>
  <c r="H759" i="33"/>
  <c r="H758" i="33"/>
  <c r="H757" i="33"/>
  <c r="H756" i="33"/>
  <c r="H755" i="33"/>
  <c r="H754" i="33"/>
  <c r="H753" i="33"/>
  <c r="H752" i="33"/>
  <c r="H751" i="33"/>
  <c r="H750" i="33"/>
  <c r="H749" i="33"/>
  <c r="H748" i="33"/>
  <c r="H747" i="33"/>
  <c r="H746" i="33"/>
  <c r="H745" i="33"/>
  <c r="H744" i="33"/>
  <c r="H743" i="33"/>
  <c r="H742" i="33"/>
  <c r="H741" i="33"/>
  <c r="H740" i="33"/>
  <c r="H739" i="33"/>
  <c r="H738" i="33"/>
  <c r="H737" i="33"/>
  <c r="H736" i="33"/>
  <c r="H735" i="33"/>
  <c r="H734" i="33"/>
  <c r="H733" i="33"/>
  <c r="H732" i="33"/>
  <c r="H731" i="33"/>
  <c r="H730" i="33"/>
  <c r="H729" i="33"/>
  <c r="H728" i="33"/>
  <c r="H727" i="33"/>
  <c r="H726" i="33"/>
  <c r="H725" i="33"/>
  <c r="H724" i="33"/>
  <c r="H723" i="33"/>
  <c r="H722" i="33"/>
  <c r="H721" i="33"/>
  <c r="H720" i="33"/>
  <c r="H719" i="33"/>
  <c r="H718" i="33"/>
  <c r="H717" i="33"/>
  <c r="H716" i="33"/>
  <c r="H715" i="33"/>
  <c r="H714" i="33"/>
  <c r="H713" i="33"/>
  <c r="H712" i="33"/>
  <c r="H711" i="33"/>
  <c r="H710" i="33"/>
  <c r="H709" i="33"/>
  <c r="H708" i="33"/>
  <c r="H707" i="33"/>
  <c r="H706" i="33"/>
  <c r="H705" i="33"/>
  <c r="H704" i="33"/>
  <c r="H703" i="33"/>
  <c r="H702" i="33"/>
  <c r="H701" i="33"/>
  <c r="H700" i="33"/>
  <c r="H699" i="33"/>
  <c r="H698" i="33"/>
  <c r="H697" i="33"/>
  <c r="H696" i="33"/>
  <c r="H695" i="33"/>
  <c r="H694" i="33"/>
  <c r="H693" i="33"/>
  <c r="H692" i="33"/>
  <c r="H691" i="33"/>
  <c r="H690" i="33"/>
  <c r="H689" i="33"/>
  <c r="H688" i="33"/>
  <c r="H687" i="33"/>
  <c r="H686" i="33"/>
  <c r="H685" i="33"/>
  <c r="H684" i="33"/>
  <c r="H683" i="33"/>
  <c r="H682" i="33"/>
  <c r="H681" i="33"/>
  <c r="H680" i="33"/>
  <c r="H679" i="33"/>
  <c r="H678" i="33"/>
  <c r="H677" i="33"/>
  <c r="H676" i="33"/>
  <c r="H675" i="33"/>
  <c r="H674" i="33"/>
  <c r="H673" i="33"/>
  <c r="H672" i="33"/>
  <c r="H671" i="33"/>
  <c r="H670" i="33"/>
  <c r="H669" i="33"/>
  <c r="H668" i="33"/>
  <c r="H667" i="33"/>
  <c r="H666" i="33"/>
  <c r="H665" i="33"/>
  <c r="H664" i="33"/>
  <c r="H663" i="33"/>
  <c r="H662" i="33"/>
  <c r="H661" i="33"/>
  <c r="H660" i="33"/>
  <c r="H659" i="33"/>
  <c r="H658" i="33"/>
  <c r="H657" i="33"/>
  <c r="H656" i="33"/>
  <c r="H655" i="33"/>
  <c r="H654" i="33"/>
  <c r="H653" i="33"/>
  <c r="H652" i="33"/>
  <c r="H651" i="33"/>
  <c r="H650" i="33"/>
  <c r="H649" i="33"/>
  <c r="H648" i="33"/>
  <c r="H647" i="33"/>
  <c r="H646" i="33"/>
  <c r="H645" i="33"/>
  <c r="H644" i="33"/>
  <c r="H643" i="33"/>
  <c r="H642" i="33"/>
  <c r="H641" i="33"/>
  <c r="H640" i="33"/>
  <c r="H639" i="33"/>
  <c r="H638" i="33"/>
  <c r="H637" i="33"/>
  <c r="H636" i="33"/>
  <c r="H635" i="33"/>
  <c r="H634" i="33"/>
  <c r="H633" i="33"/>
  <c r="H632" i="33"/>
  <c r="H631" i="33"/>
  <c r="H630" i="33"/>
  <c r="H629" i="33"/>
  <c r="H628" i="33"/>
  <c r="H627" i="33"/>
  <c r="H626" i="33"/>
  <c r="H625" i="33"/>
  <c r="H624" i="33"/>
  <c r="H623" i="33"/>
  <c r="H622" i="33"/>
  <c r="H621" i="33"/>
  <c r="H620" i="33"/>
  <c r="H619" i="33"/>
  <c r="H618" i="33"/>
  <c r="H617" i="33"/>
  <c r="H616" i="33"/>
  <c r="H615" i="33"/>
  <c r="H614" i="33"/>
  <c r="H613" i="33"/>
  <c r="H612" i="33"/>
  <c r="H611" i="33"/>
  <c r="H610" i="33"/>
  <c r="H609" i="33"/>
  <c r="H608" i="33"/>
  <c r="H607" i="33"/>
  <c r="H606" i="33"/>
  <c r="H605" i="33"/>
  <c r="H604" i="33"/>
  <c r="H603" i="33"/>
  <c r="H602" i="33"/>
  <c r="H601" i="33"/>
  <c r="H600" i="33"/>
  <c r="H599" i="33"/>
  <c r="H598" i="33"/>
  <c r="H597" i="33"/>
  <c r="H596" i="33"/>
  <c r="H595" i="33"/>
  <c r="H594" i="33"/>
  <c r="H593" i="33"/>
  <c r="H592" i="33"/>
  <c r="H591" i="33"/>
  <c r="H590" i="33"/>
  <c r="H589" i="33"/>
  <c r="H588" i="33"/>
  <c r="H587" i="33"/>
  <c r="H586" i="33"/>
  <c r="H585" i="33"/>
  <c r="H584" i="33"/>
  <c r="H583" i="33"/>
  <c r="H582" i="33"/>
  <c r="H581" i="33"/>
  <c r="H580" i="33"/>
  <c r="H579" i="33"/>
  <c r="H578" i="33"/>
  <c r="H577" i="33"/>
  <c r="H576" i="33"/>
  <c r="H575" i="33"/>
  <c r="H574" i="33"/>
  <c r="H573" i="33"/>
  <c r="H572" i="33"/>
  <c r="H571" i="33"/>
  <c r="H570" i="33"/>
  <c r="H569" i="33"/>
  <c r="H568" i="33"/>
  <c r="H567" i="33"/>
  <c r="H566" i="33"/>
  <c r="H565" i="33"/>
  <c r="H564" i="33"/>
  <c r="H563" i="33"/>
  <c r="H562" i="33"/>
  <c r="H561" i="33"/>
  <c r="H560" i="33"/>
  <c r="H559" i="33"/>
  <c r="H558" i="33"/>
  <c r="H557" i="33"/>
  <c r="H556" i="33"/>
  <c r="H555" i="33"/>
  <c r="H554" i="33"/>
  <c r="H553" i="33"/>
  <c r="H552" i="33"/>
  <c r="H551" i="33"/>
  <c r="H550" i="33"/>
  <c r="H549" i="33"/>
  <c r="H548" i="33"/>
  <c r="H547" i="33"/>
  <c r="H546" i="33"/>
  <c r="H545" i="33"/>
  <c r="H544" i="33"/>
  <c r="H543" i="33"/>
  <c r="H542" i="33"/>
  <c r="H541" i="33"/>
  <c r="H540" i="33"/>
  <c r="H539" i="33"/>
  <c r="H538" i="33"/>
  <c r="H537" i="33"/>
  <c r="H536" i="33"/>
  <c r="H535" i="33"/>
  <c r="H534" i="33"/>
  <c r="H533" i="33"/>
  <c r="H532" i="33"/>
  <c r="H531" i="33"/>
  <c r="H530" i="33"/>
  <c r="H529" i="33"/>
  <c r="H528" i="33"/>
  <c r="H527" i="33"/>
  <c r="H526" i="33"/>
  <c r="H525" i="33"/>
  <c r="H524" i="33"/>
  <c r="H523" i="33"/>
  <c r="H522" i="33"/>
  <c r="H521" i="33"/>
  <c r="H520" i="33"/>
  <c r="H519" i="33"/>
  <c r="H518" i="33"/>
  <c r="H517" i="33"/>
  <c r="H516" i="33"/>
  <c r="H515" i="33"/>
  <c r="H514" i="33"/>
  <c r="H513" i="33"/>
  <c r="H512" i="33"/>
  <c r="H511" i="33"/>
  <c r="H510" i="33"/>
  <c r="H509" i="33"/>
  <c r="H508" i="33"/>
  <c r="H507" i="33"/>
  <c r="H506" i="33"/>
  <c r="H505" i="33"/>
  <c r="H504" i="33"/>
  <c r="H503" i="33"/>
  <c r="H502" i="33"/>
  <c r="H501" i="33"/>
  <c r="H500" i="33"/>
  <c r="H499" i="33"/>
  <c r="H498" i="33"/>
  <c r="H497" i="33"/>
  <c r="H496" i="33"/>
  <c r="H495" i="33"/>
  <c r="H494" i="33"/>
  <c r="H493" i="33"/>
  <c r="H492" i="33"/>
  <c r="H491" i="33"/>
  <c r="H490" i="33"/>
  <c r="H489" i="33"/>
  <c r="H488" i="33"/>
  <c r="H487" i="33"/>
  <c r="H486" i="33"/>
  <c r="H485" i="33"/>
  <c r="H484" i="33"/>
  <c r="H483" i="33"/>
  <c r="H482" i="33"/>
  <c r="H481" i="33"/>
  <c r="H480" i="33"/>
  <c r="H479" i="33"/>
  <c r="H478" i="33"/>
  <c r="H477" i="33"/>
  <c r="H476" i="33"/>
  <c r="H475" i="33"/>
  <c r="H474" i="33"/>
  <c r="H473" i="33"/>
  <c r="H472" i="33"/>
  <c r="H471" i="33"/>
  <c r="H470" i="33"/>
  <c r="H469" i="33"/>
  <c r="H468" i="33"/>
  <c r="H467" i="33"/>
  <c r="H466" i="33"/>
  <c r="H465" i="33"/>
  <c r="H464" i="33"/>
  <c r="H463" i="33"/>
  <c r="H462" i="33"/>
  <c r="H461" i="33"/>
  <c r="H460" i="33"/>
  <c r="H459" i="33"/>
  <c r="H458" i="33"/>
  <c r="H457" i="33"/>
  <c r="H456" i="33"/>
  <c r="H455" i="33"/>
  <c r="H454" i="33"/>
  <c r="H453" i="33"/>
  <c r="H452" i="33"/>
  <c r="H451" i="33"/>
  <c r="H450" i="33"/>
  <c r="H449" i="33"/>
  <c r="H448" i="33"/>
  <c r="H447" i="33"/>
  <c r="H446" i="33"/>
  <c r="H445" i="33"/>
  <c r="H444" i="33"/>
  <c r="H443" i="33"/>
  <c r="H442" i="33"/>
  <c r="H441" i="33"/>
  <c r="H440" i="33"/>
  <c r="H439" i="33"/>
  <c r="H438" i="33"/>
  <c r="H437" i="33"/>
  <c r="H436" i="33"/>
  <c r="H435" i="33"/>
  <c r="H434" i="33"/>
  <c r="H433" i="33"/>
  <c r="H432" i="33"/>
  <c r="H431" i="33"/>
  <c r="H430" i="33"/>
  <c r="H429" i="33"/>
  <c r="H428" i="33"/>
  <c r="H427" i="33"/>
  <c r="H426" i="33"/>
  <c r="H425" i="33"/>
  <c r="H424" i="33"/>
  <c r="H423" i="33"/>
  <c r="H422" i="33"/>
  <c r="H421" i="33"/>
  <c r="H420" i="33"/>
  <c r="H419" i="33"/>
  <c r="H418" i="33"/>
  <c r="H417" i="33"/>
  <c r="H416" i="33"/>
  <c r="H415" i="33"/>
  <c r="H414" i="33"/>
  <c r="H413" i="33"/>
  <c r="H412" i="33"/>
  <c r="H411" i="33"/>
  <c r="H410" i="33"/>
  <c r="H409" i="33"/>
  <c r="H408" i="33"/>
  <c r="H407" i="33"/>
  <c r="H406" i="33"/>
  <c r="H405" i="33"/>
  <c r="H404" i="33"/>
  <c r="H403" i="33"/>
  <c r="H402" i="33"/>
  <c r="H401" i="33"/>
  <c r="H400" i="33"/>
  <c r="H399" i="33"/>
  <c r="H398" i="33"/>
  <c r="H397" i="33"/>
  <c r="H396" i="33"/>
  <c r="H395" i="33"/>
  <c r="H394" i="33"/>
  <c r="H393" i="33"/>
  <c r="H392" i="33"/>
  <c r="H391" i="33"/>
  <c r="H390" i="33"/>
  <c r="H389" i="33"/>
  <c r="H388" i="33"/>
  <c r="H387" i="33"/>
  <c r="H386" i="33"/>
  <c r="H385" i="33"/>
  <c r="H384" i="33"/>
  <c r="H383" i="33"/>
  <c r="H382" i="33"/>
  <c r="H381" i="33"/>
  <c r="H380" i="33"/>
  <c r="H379" i="33"/>
  <c r="H378" i="33"/>
  <c r="H377" i="33"/>
  <c r="H376" i="33"/>
  <c r="H375" i="33"/>
  <c r="H374" i="33"/>
  <c r="H373" i="33"/>
  <c r="H372" i="33"/>
  <c r="H371" i="33"/>
  <c r="H370" i="33"/>
  <c r="H369" i="33"/>
  <c r="H368" i="33"/>
  <c r="H367" i="33"/>
  <c r="H366" i="33"/>
  <c r="H365" i="33"/>
  <c r="H364" i="33"/>
  <c r="H363" i="33"/>
  <c r="H362" i="33"/>
  <c r="H361" i="33"/>
  <c r="H360" i="33"/>
  <c r="H359" i="33"/>
  <c r="H358" i="33"/>
  <c r="H357" i="33"/>
  <c r="H356" i="33"/>
  <c r="H355" i="33"/>
  <c r="H354" i="33"/>
  <c r="H353" i="33"/>
  <c r="H352" i="33"/>
  <c r="H351" i="33"/>
  <c r="H350" i="33"/>
  <c r="H349" i="33"/>
  <c r="H348" i="33"/>
  <c r="H347" i="33"/>
  <c r="H346" i="33"/>
  <c r="H345" i="33"/>
  <c r="H344" i="33"/>
  <c r="H343" i="33"/>
  <c r="H342" i="33"/>
  <c r="H341" i="33"/>
  <c r="H340" i="33"/>
  <c r="H339" i="33"/>
  <c r="H338" i="33"/>
  <c r="H337" i="33"/>
  <c r="H336" i="33"/>
  <c r="H335" i="33"/>
  <c r="H334" i="33"/>
  <c r="H333" i="33"/>
  <c r="H332" i="33"/>
  <c r="H331" i="33"/>
  <c r="H330" i="33"/>
  <c r="H329" i="33"/>
  <c r="H328" i="33"/>
  <c r="H327" i="33"/>
  <c r="H326" i="33"/>
  <c r="H325" i="33"/>
  <c r="H324" i="33"/>
  <c r="H323" i="33"/>
  <c r="H322" i="33"/>
  <c r="H321" i="33"/>
  <c r="H320" i="33"/>
  <c r="H319" i="33"/>
  <c r="H318" i="33"/>
  <c r="H317" i="33"/>
  <c r="H316" i="33"/>
  <c r="H315" i="33"/>
  <c r="H314" i="33"/>
  <c r="H313" i="33"/>
  <c r="H312" i="33"/>
  <c r="H311" i="33"/>
  <c r="H310" i="33"/>
  <c r="H309" i="33"/>
  <c r="H308" i="33"/>
  <c r="H307" i="33"/>
  <c r="H306" i="33"/>
  <c r="H305" i="33"/>
  <c r="H304" i="33"/>
  <c r="H303" i="33"/>
  <c r="H302" i="33"/>
  <c r="H301" i="33"/>
  <c r="H300" i="33"/>
  <c r="H299" i="33"/>
  <c r="H298" i="33"/>
  <c r="H297" i="33"/>
  <c r="H296" i="33"/>
  <c r="H295" i="33"/>
  <c r="H294" i="33"/>
  <c r="H293" i="33"/>
  <c r="H292" i="33"/>
  <c r="H291" i="33"/>
  <c r="H290" i="33"/>
  <c r="H289" i="33"/>
  <c r="H288" i="33"/>
  <c r="H287" i="33"/>
  <c r="H286" i="33"/>
  <c r="H285" i="33"/>
  <c r="H284" i="33"/>
  <c r="H283" i="33"/>
  <c r="H282" i="33"/>
  <c r="H281" i="33"/>
  <c r="H280" i="33"/>
  <c r="H279" i="33"/>
  <c r="H278" i="33"/>
  <c r="H277" i="33"/>
  <c r="H276" i="33"/>
  <c r="H275" i="33"/>
  <c r="H274" i="33"/>
  <c r="H273" i="33"/>
  <c r="H272" i="33"/>
  <c r="H271" i="33"/>
  <c r="H270" i="33"/>
  <c r="H269" i="33"/>
  <c r="H268" i="33"/>
  <c r="H267" i="33"/>
  <c r="H266" i="33"/>
  <c r="H265" i="33"/>
  <c r="H264" i="33"/>
  <c r="H263" i="33"/>
  <c r="H262" i="33"/>
  <c r="H261" i="33"/>
  <c r="H260" i="33"/>
  <c r="H259" i="33"/>
  <c r="H258" i="33"/>
  <c r="H257" i="33"/>
  <c r="H256" i="33"/>
  <c r="H255" i="33"/>
  <c r="H254" i="33"/>
  <c r="H253" i="33"/>
  <c r="H252" i="33"/>
  <c r="H251" i="33"/>
  <c r="H250" i="33"/>
  <c r="H249" i="33"/>
  <c r="H248" i="33"/>
  <c r="H247" i="33"/>
  <c r="H246" i="33"/>
  <c r="H245" i="33"/>
  <c r="H244" i="33"/>
  <c r="H243" i="33"/>
  <c r="H242" i="33"/>
  <c r="H241" i="33"/>
  <c r="H240" i="33"/>
  <c r="H239" i="33"/>
  <c r="H238" i="33"/>
  <c r="H237" i="33"/>
  <c r="H236" i="33"/>
  <c r="H235" i="33"/>
  <c r="H234" i="33"/>
  <c r="H233" i="33"/>
  <c r="H232" i="33"/>
  <c r="H231" i="33"/>
  <c r="H230" i="33"/>
  <c r="H229" i="33"/>
  <c r="H228" i="33"/>
  <c r="H227" i="33"/>
  <c r="H226" i="33"/>
  <c r="H225" i="33"/>
  <c r="H224" i="33"/>
  <c r="H223" i="33"/>
  <c r="H222" i="33"/>
  <c r="H221" i="33"/>
  <c r="H220" i="33"/>
  <c r="H219" i="33"/>
  <c r="H218" i="33"/>
  <c r="H217" i="33"/>
  <c r="H216" i="33"/>
  <c r="H215" i="33"/>
  <c r="H214" i="33"/>
  <c r="H213" i="33"/>
  <c r="H212" i="33"/>
  <c r="H211" i="33"/>
  <c r="H210" i="33"/>
  <c r="H209" i="33"/>
  <c r="H208" i="33"/>
  <c r="H207" i="33"/>
  <c r="H206" i="33"/>
  <c r="H205" i="33"/>
  <c r="H204" i="33"/>
  <c r="H203" i="33"/>
  <c r="H202" i="33"/>
  <c r="H201" i="33"/>
  <c r="H200" i="33"/>
  <c r="H199" i="33"/>
  <c r="H198" i="33"/>
  <c r="H197" i="33"/>
  <c r="H196" i="33"/>
  <c r="H195" i="33"/>
  <c r="H194" i="33"/>
  <c r="H193" i="33"/>
  <c r="H192" i="33"/>
  <c r="H191" i="33"/>
  <c r="H190" i="33"/>
  <c r="H189" i="33"/>
  <c r="H188" i="33"/>
  <c r="H187" i="33"/>
  <c r="H186" i="33"/>
  <c r="H185" i="33"/>
  <c r="H184" i="33"/>
  <c r="H183" i="33"/>
  <c r="H182" i="33"/>
  <c r="H181" i="33"/>
  <c r="H180" i="33"/>
  <c r="H179" i="33"/>
  <c r="H178" i="33"/>
  <c r="H177" i="33"/>
  <c r="H176" i="33"/>
  <c r="H175" i="33"/>
  <c r="H174" i="33"/>
  <c r="H173" i="33"/>
  <c r="H172" i="33"/>
  <c r="H171" i="33"/>
  <c r="H170" i="33"/>
  <c r="H169" i="33"/>
  <c r="H168" i="33"/>
  <c r="H167" i="33"/>
  <c r="H166" i="33"/>
  <c r="H165" i="33"/>
  <c r="H164" i="33"/>
  <c r="H163" i="33"/>
  <c r="H162" i="33"/>
  <c r="H161" i="33"/>
  <c r="H160" i="33"/>
  <c r="H159" i="33"/>
  <c r="H158" i="33"/>
  <c r="H157" i="33"/>
  <c r="H156" i="33"/>
  <c r="H155" i="33"/>
  <c r="H154" i="33"/>
  <c r="H153" i="33"/>
  <c r="H152" i="33"/>
  <c r="H151" i="33"/>
  <c r="H150" i="33"/>
  <c r="H149" i="33"/>
  <c r="H148" i="33"/>
  <c r="H147" i="33"/>
  <c r="H146" i="33"/>
  <c r="H145" i="33"/>
  <c r="H144" i="33"/>
  <c r="H143" i="33"/>
  <c r="H142" i="33"/>
  <c r="H141" i="33"/>
  <c r="H140" i="33"/>
  <c r="H139" i="33"/>
  <c r="H138" i="33"/>
  <c r="H137" i="33"/>
  <c r="H136" i="33"/>
  <c r="H135" i="33"/>
  <c r="H134" i="33"/>
  <c r="H133" i="33"/>
  <c r="H132" i="33"/>
  <c r="H131" i="33"/>
  <c r="H130" i="33"/>
  <c r="H129" i="33"/>
  <c r="H128" i="33"/>
  <c r="H127" i="33"/>
  <c r="H126" i="33"/>
  <c r="H125" i="33"/>
  <c r="H124" i="33"/>
  <c r="H123" i="33"/>
  <c r="H122" i="33"/>
  <c r="H121" i="33"/>
  <c r="H120" i="33"/>
  <c r="H119" i="33"/>
  <c r="H118" i="33"/>
  <c r="H117" i="33"/>
  <c r="H116" i="33"/>
  <c r="H115" i="33"/>
  <c r="H114" i="33"/>
  <c r="H113" i="33"/>
  <c r="H112" i="33"/>
  <c r="H111" i="33"/>
  <c r="H110" i="33"/>
  <c r="H109" i="33"/>
  <c r="H108" i="33"/>
  <c r="H107" i="33"/>
  <c r="H106" i="33"/>
  <c r="H105" i="33"/>
  <c r="H104" i="33"/>
  <c r="H103" i="33"/>
  <c r="H102" i="33"/>
  <c r="H101" i="33"/>
  <c r="H100" i="33"/>
  <c r="H99" i="33"/>
  <c r="H98" i="33"/>
  <c r="H97" i="33"/>
  <c r="H96" i="33"/>
  <c r="H95" i="33"/>
  <c r="H94" i="33"/>
  <c r="H93" i="33"/>
  <c r="H92" i="33"/>
  <c r="H91" i="33"/>
  <c r="H90" i="33"/>
  <c r="H89" i="33"/>
  <c r="H88" i="33"/>
  <c r="H87" i="33"/>
  <c r="H86" i="33"/>
  <c r="H85" i="33"/>
  <c r="H84" i="33"/>
  <c r="H83" i="33"/>
  <c r="H82" i="33"/>
  <c r="H81" i="33"/>
  <c r="H80" i="33"/>
  <c r="H79" i="33"/>
  <c r="H78" i="33"/>
  <c r="H77" i="33"/>
  <c r="H76" i="33"/>
  <c r="H75" i="33"/>
  <c r="H74" i="33"/>
  <c r="H73" i="33"/>
  <c r="H72" i="33"/>
  <c r="H71" i="33"/>
  <c r="H70" i="33"/>
  <c r="H69" i="33"/>
  <c r="H68" i="33"/>
  <c r="H67" i="33"/>
  <c r="H66" i="33"/>
  <c r="H65" i="33"/>
  <c r="H64" i="33"/>
  <c r="H63" i="33"/>
  <c r="H62" i="33"/>
  <c r="H61" i="33"/>
  <c r="H60" i="33"/>
  <c r="H59" i="33"/>
  <c r="H58" i="33"/>
  <c r="H57" i="33"/>
  <c r="H56" i="33"/>
  <c r="H55" i="33"/>
  <c r="H54" i="33"/>
  <c r="H50" i="33"/>
  <c r="H49" i="33"/>
  <c r="H48" i="33"/>
  <c r="H47" i="33"/>
  <c r="H46" i="33"/>
  <c r="H45" i="33"/>
  <c r="H44" i="33"/>
  <c r="H43" i="33"/>
  <c r="H42" i="33"/>
  <c r="H41" i="33"/>
  <c r="H40" i="33"/>
  <c r="H39" i="33"/>
  <c r="H38" i="33"/>
  <c r="H37" i="33"/>
  <c r="H36" i="33"/>
  <c r="H35" i="33"/>
  <c r="H34" i="33"/>
  <c r="H33" i="33"/>
  <c r="H32" i="33"/>
  <c r="H31" i="33"/>
  <c r="H30" i="33"/>
  <c r="H29" i="33"/>
  <c r="H28" i="33"/>
  <c r="H27" i="33"/>
  <c r="H26" i="33"/>
  <c r="H25" i="33"/>
  <c r="H24" i="33"/>
  <c r="H23" i="33"/>
  <c r="H22" i="33"/>
  <c r="H21" i="33"/>
  <c r="H20" i="33"/>
  <c r="H19" i="33"/>
  <c r="H18" i="33"/>
  <c r="H17" i="33"/>
  <c r="H16" i="33"/>
  <c r="H15" i="33"/>
  <c r="H13" i="33"/>
  <c r="H12" i="33"/>
  <c r="H11" i="33"/>
  <c r="H10" i="33"/>
  <c r="H9" i="33"/>
  <c r="H8" i="33"/>
  <c r="H7" i="33"/>
  <c r="H6" i="33"/>
  <c r="H5" i="33"/>
  <c r="H4" i="33"/>
  <c r="A4" i="33"/>
  <c r="A5" i="33" s="1"/>
  <c r="A6" i="33" s="1"/>
  <c r="A7" i="33" s="1"/>
  <c r="A8" i="33" s="1"/>
  <c r="A9" i="33" s="1"/>
  <c r="A10" i="33" s="1"/>
  <c r="A11" i="33" s="1"/>
  <c r="A12" i="33" s="1"/>
  <c r="A13" i="33" s="1"/>
  <c r="A14" i="33" s="1"/>
  <c r="A15" i="33" s="1"/>
  <c r="A16" i="33" s="1"/>
  <c r="A17" i="33" s="1"/>
  <c r="A18" i="33" s="1"/>
  <c r="A19" i="33" s="1"/>
  <c r="A20" i="33" s="1"/>
  <c r="A21" i="33" s="1"/>
  <c r="A22" i="33" s="1"/>
  <c r="A23" i="33" s="1"/>
  <c r="A24" i="33" s="1"/>
  <c r="A25" i="33" s="1"/>
  <c r="A26" i="33" s="1"/>
  <c r="A27" i="33" s="1"/>
  <c r="A28" i="33" s="1"/>
  <c r="A29" i="33" s="1"/>
  <c r="A30" i="33" s="1"/>
  <c r="A31" i="33" s="1"/>
  <c r="A32" i="33" s="1"/>
  <c r="A33" i="33" s="1"/>
  <c r="A34" i="33" s="1"/>
  <c r="A35" i="33" s="1"/>
  <c r="A36" i="33" s="1"/>
  <c r="A37" i="33" s="1"/>
  <c r="A38" i="33" s="1"/>
  <c r="A39" i="33" s="1"/>
  <c r="A40" i="33" s="1"/>
  <c r="A41" i="33" s="1"/>
  <c r="A42" i="33" s="1"/>
  <c r="A43" i="33" s="1"/>
  <c r="A44" i="33" s="1"/>
  <c r="A45" i="33" s="1"/>
  <c r="A46" i="33" s="1"/>
  <c r="A47" i="33" s="1"/>
  <c r="A48" i="33" s="1"/>
  <c r="A49" i="33" s="1"/>
  <c r="A50" i="33" s="1"/>
  <c r="A51" i="33" s="1"/>
  <c r="A52" i="33" s="1"/>
  <c r="A53" i="33" s="1"/>
  <c r="A54" i="33" s="1"/>
  <c r="A55" i="33" s="1"/>
  <c r="A56" i="33" s="1"/>
  <c r="A57" i="33" s="1"/>
  <c r="A58" i="33" s="1"/>
  <c r="A59" i="33" s="1"/>
  <c r="A60" i="33" s="1"/>
  <c r="A61" i="33" s="1"/>
  <c r="A62" i="33" s="1"/>
  <c r="A63" i="33" s="1"/>
  <c r="A64" i="33" s="1"/>
  <c r="A65" i="33" s="1"/>
  <c r="A66" i="33" s="1"/>
  <c r="A67" i="33" s="1"/>
  <c r="A68" i="33" s="1"/>
  <c r="A69" i="33" s="1"/>
  <c r="A70" i="33" s="1"/>
  <c r="A71" i="33" s="1"/>
  <c r="A72" i="33" s="1"/>
  <c r="A73" i="33" s="1"/>
  <c r="A74" i="33" s="1"/>
  <c r="A75" i="33" s="1"/>
  <c r="A76" i="33" s="1"/>
  <c r="A77" i="33" s="1"/>
  <c r="A78" i="33" s="1"/>
  <c r="A79" i="33" s="1"/>
  <c r="A80" i="33" s="1"/>
  <c r="A81" i="33" s="1"/>
  <c r="A82" i="33" s="1"/>
  <c r="A83" i="33" s="1"/>
  <c r="A84" i="33" s="1"/>
  <c r="A85" i="33" s="1"/>
  <c r="A86" i="33" s="1"/>
  <c r="A87" i="33" s="1"/>
  <c r="A88" i="33" s="1"/>
  <c r="A89" i="33" s="1"/>
  <c r="A90" i="33" s="1"/>
  <c r="A91" i="33" s="1"/>
  <c r="A92" i="33" s="1"/>
  <c r="A93" i="33" s="1"/>
  <c r="A94" i="33" s="1"/>
  <c r="A95" i="33" s="1"/>
  <c r="A96" i="33" s="1"/>
  <c r="A97" i="33" s="1"/>
  <c r="A98" i="33" s="1"/>
  <c r="A99" i="33" s="1"/>
  <c r="A100" i="33" s="1"/>
  <c r="A101" i="33" s="1"/>
  <c r="A102" i="33" s="1"/>
  <c r="A103" i="33" s="1"/>
  <c r="A104" i="33" s="1"/>
  <c r="A105" i="33" s="1"/>
  <c r="A106" i="33" s="1"/>
  <c r="A107" i="33" s="1"/>
  <c r="A108" i="33" s="1"/>
  <c r="A109" i="33" s="1"/>
  <c r="A110" i="33" s="1"/>
  <c r="A111" i="33" s="1"/>
  <c r="A112" i="33" s="1"/>
  <c r="A113" i="33" s="1"/>
  <c r="A114" i="33" s="1"/>
  <c r="A115" i="33" s="1"/>
  <c r="A116" i="33" s="1"/>
  <c r="A117" i="33" s="1"/>
  <c r="A118" i="33" s="1"/>
  <c r="A119" i="33" s="1"/>
  <c r="A120" i="33" s="1"/>
  <c r="A121" i="33" s="1"/>
  <c r="A122" i="33" s="1"/>
  <c r="A123" i="33" s="1"/>
  <c r="A124" i="33" s="1"/>
  <c r="A125" i="33" s="1"/>
  <c r="A126" i="33" s="1"/>
  <c r="A127" i="33" s="1"/>
  <c r="A128" i="33" s="1"/>
  <c r="A129" i="33" s="1"/>
  <c r="A130" i="33" s="1"/>
  <c r="A131" i="33" s="1"/>
  <c r="A132" i="33" s="1"/>
  <c r="A133" i="33" s="1"/>
  <c r="A134" i="33" s="1"/>
  <c r="A135" i="33" s="1"/>
  <c r="A136" i="33" s="1"/>
  <c r="A137" i="33" s="1"/>
  <c r="A138" i="33" s="1"/>
  <c r="A139" i="33" s="1"/>
  <c r="A140" i="33" s="1"/>
  <c r="A141" i="33" s="1"/>
  <c r="A142" i="33" s="1"/>
  <c r="A143" i="33" s="1"/>
  <c r="A144" i="33" s="1"/>
  <c r="A145" i="33" s="1"/>
  <c r="A146" i="33" s="1"/>
  <c r="A147" i="33" s="1"/>
  <c r="A148" i="33" s="1"/>
  <c r="A149" i="33" s="1"/>
  <c r="A150" i="33" s="1"/>
  <c r="A151" i="33" s="1"/>
  <c r="A152" i="33" s="1"/>
  <c r="A153" i="33" s="1"/>
  <c r="A154" i="33" s="1"/>
  <c r="A155" i="33" s="1"/>
  <c r="A156" i="33" s="1"/>
  <c r="A157" i="33" s="1"/>
  <c r="A158" i="33" s="1"/>
  <c r="A159" i="33" s="1"/>
  <c r="A160" i="33" s="1"/>
  <c r="A161" i="33" s="1"/>
  <c r="A162" i="33" s="1"/>
  <c r="A163" i="33" s="1"/>
  <c r="A164" i="33" s="1"/>
  <c r="A165" i="33" s="1"/>
  <c r="A166" i="33" s="1"/>
  <c r="A167" i="33" s="1"/>
  <c r="A168" i="33" s="1"/>
  <c r="A169" i="33" s="1"/>
  <c r="A170" i="33" s="1"/>
  <c r="A171" i="33" s="1"/>
  <c r="A172" i="33" s="1"/>
  <c r="A173" i="33" s="1"/>
  <c r="A174" i="33" s="1"/>
  <c r="A175" i="33" s="1"/>
  <c r="A176" i="33" s="1"/>
  <c r="A177" i="33" s="1"/>
  <c r="A178" i="33" s="1"/>
  <c r="A179" i="33" s="1"/>
  <c r="A180" i="33" s="1"/>
  <c r="A181" i="33" s="1"/>
  <c r="A182" i="33" s="1"/>
  <c r="A183" i="33" s="1"/>
  <c r="A184" i="33" s="1"/>
  <c r="A185" i="33" s="1"/>
  <c r="A186" i="33" s="1"/>
  <c r="A187" i="33" s="1"/>
  <c r="A188" i="33" s="1"/>
  <c r="A189" i="33" s="1"/>
  <c r="A190" i="33" s="1"/>
  <c r="A191" i="33" s="1"/>
  <c r="A192" i="33" s="1"/>
  <c r="A193" i="33" s="1"/>
  <c r="A194" i="33" s="1"/>
  <c r="A195" i="33" s="1"/>
  <c r="A196" i="33" s="1"/>
  <c r="A197" i="33" s="1"/>
  <c r="A198" i="33" s="1"/>
  <c r="A199" i="33" s="1"/>
  <c r="A200" i="33" s="1"/>
  <c r="A201" i="33" s="1"/>
  <c r="A202" i="33" s="1"/>
  <c r="A203" i="33" s="1"/>
  <c r="A204" i="33" s="1"/>
  <c r="A205" i="33" s="1"/>
  <c r="A206" i="33" s="1"/>
  <c r="A207" i="33" s="1"/>
  <c r="A208" i="33" s="1"/>
  <c r="A209" i="33" s="1"/>
  <c r="A210" i="33" s="1"/>
  <c r="A211" i="33" s="1"/>
  <c r="A212" i="33" s="1"/>
  <c r="A213" i="33" s="1"/>
  <c r="A214" i="33" s="1"/>
  <c r="A215" i="33" s="1"/>
  <c r="A216" i="33" s="1"/>
  <c r="A217" i="33" s="1"/>
  <c r="A218" i="33" s="1"/>
  <c r="A219" i="33" s="1"/>
  <c r="A220" i="33" s="1"/>
  <c r="A221" i="33" s="1"/>
  <c r="A222" i="33" s="1"/>
  <c r="A223" i="33" s="1"/>
  <c r="A224" i="33" s="1"/>
  <c r="A225" i="33" s="1"/>
  <c r="A226" i="33" s="1"/>
  <c r="A227" i="33" s="1"/>
  <c r="A228" i="33" s="1"/>
  <c r="A229" i="33" s="1"/>
  <c r="A230" i="33" s="1"/>
  <c r="A231" i="33" s="1"/>
  <c r="A232" i="33" s="1"/>
  <c r="A233" i="33" s="1"/>
  <c r="A234" i="33" s="1"/>
  <c r="A235" i="33" s="1"/>
  <c r="A236" i="33" s="1"/>
  <c r="A237" i="33" s="1"/>
  <c r="A238" i="33" s="1"/>
  <c r="A239" i="33" s="1"/>
  <c r="A240" i="33" s="1"/>
  <c r="A241" i="33" s="1"/>
  <c r="A242" i="33" s="1"/>
  <c r="A243" i="33" s="1"/>
  <c r="A244" i="33" s="1"/>
  <c r="A245" i="33" s="1"/>
  <c r="A246" i="33" s="1"/>
  <c r="A247" i="33" s="1"/>
  <c r="A248" i="33" s="1"/>
  <c r="A249" i="33" s="1"/>
  <c r="A250" i="33" s="1"/>
  <c r="A251" i="33" s="1"/>
  <c r="A252" i="33" s="1"/>
  <c r="A253" i="33" s="1"/>
  <c r="A254" i="33" s="1"/>
  <c r="A255" i="33" s="1"/>
  <c r="A256" i="33" s="1"/>
  <c r="A257" i="33" s="1"/>
  <c r="A258" i="33" s="1"/>
  <c r="A259" i="33" s="1"/>
  <c r="A260" i="33" s="1"/>
  <c r="A261" i="33" s="1"/>
  <c r="A262" i="33" s="1"/>
  <c r="A263" i="33" s="1"/>
  <c r="A264" i="33" s="1"/>
  <c r="A265" i="33" s="1"/>
  <c r="A266" i="33" s="1"/>
  <c r="A267" i="33" s="1"/>
  <c r="A268" i="33" s="1"/>
  <c r="A269" i="33" s="1"/>
  <c r="A270" i="33" s="1"/>
  <c r="A271" i="33" s="1"/>
  <c r="A272" i="33" s="1"/>
  <c r="A273" i="33" s="1"/>
  <c r="A274" i="33" s="1"/>
  <c r="A275" i="33" s="1"/>
  <c r="A276" i="33" s="1"/>
  <c r="A277" i="33" s="1"/>
  <c r="A278" i="33" s="1"/>
  <c r="A279" i="33" s="1"/>
  <c r="A280" i="33" s="1"/>
  <c r="A281" i="33" s="1"/>
  <c r="A282" i="33" s="1"/>
  <c r="A283" i="33" s="1"/>
  <c r="A284" i="33" s="1"/>
  <c r="A285" i="33" s="1"/>
  <c r="A286" i="33" s="1"/>
  <c r="A287" i="33" s="1"/>
  <c r="A288" i="33" s="1"/>
  <c r="A289" i="33" s="1"/>
  <c r="A290" i="33" s="1"/>
  <c r="A291" i="33" s="1"/>
  <c r="A292" i="33" s="1"/>
  <c r="A293" i="33" s="1"/>
  <c r="A294" i="33" s="1"/>
  <c r="A295" i="33" s="1"/>
  <c r="A296" i="33" s="1"/>
  <c r="A297" i="33" s="1"/>
  <c r="A298" i="33" s="1"/>
  <c r="A299" i="33" s="1"/>
  <c r="A300" i="33" s="1"/>
  <c r="A301" i="33" s="1"/>
  <c r="A302" i="33" s="1"/>
  <c r="A303" i="33" s="1"/>
  <c r="A304" i="33" s="1"/>
  <c r="A305" i="33" s="1"/>
  <c r="A306" i="33" s="1"/>
  <c r="A307" i="33" s="1"/>
  <c r="A308" i="33" s="1"/>
  <c r="A309" i="33" s="1"/>
  <c r="A310" i="33" s="1"/>
  <c r="A311" i="33" s="1"/>
  <c r="A312" i="33" s="1"/>
  <c r="A313" i="33" s="1"/>
  <c r="A314" i="33" s="1"/>
  <c r="A315" i="33" s="1"/>
  <c r="A316" i="33" s="1"/>
  <c r="A317" i="33" s="1"/>
  <c r="A318" i="33" s="1"/>
  <c r="A319" i="33" s="1"/>
  <c r="A320" i="33" s="1"/>
  <c r="A321" i="33" s="1"/>
  <c r="A322" i="33" s="1"/>
  <c r="A323" i="33" s="1"/>
  <c r="A324" i="33" s="1"/>
  <c r="A325" i="33" s="1"/>
  <c r="A326" i="33" s="1"/>
  <c r="A327" i="33" s="1"/>
  <c r="A328" i="33" s="1"/>
  <c r="A329" i="33" s="1"/>
  <c r="A330" i="33" s="1"/>
  <c r="A331" i="33" s="1"/>
  <c r="A332" i="33" s="1"/>
  <c r="A333" i="33" s="1"/>
  <c r="A334" i="33" s="1"/>
  <c r="A335" i="33" s="1"/>
  <c r="A336" i="33" s="1"/>
  <c r="A337" i="33" s="1"/>
  <c r="A338" i="33" s="1"/>
  <c r="A339" i="33" s="1"/>
  <c r="A340" i="33" s="1"/>
  <c r="A341" i="33" s="1"/>
  <c r="A342" i="33" s="1"/>
  <c r="A343" i="33" s="1"/>
  <c r="A344" i="33" s="1"/>
  <c r="A345" i="33" s="1"/>
  <c r="A346" i="33" s="1"/>
  <c r="A347" i="33" s="1"/>
  <c r="A348" i="33" s="1"/>
  <c r="A349" i="33" s="1"/>
  <c r="A350" i="33" s="1"/>
  <c r="A351" i="33" s="1"/>
  <c r="A352" i="33" s="1"/>
  <c r="A353" i="33" s="1"/>
  <c r="A354" i="33" s="1"/>
  <c r="A355" i="33" s="1"/>
  <c r="A356" i="33" s="1"/>
  <c r="A357" i="33" s="1"/>
  <c r="A358" i="33" s="1"/>
  <c r="A359" i="33" s="1"/>
  <c r="A360" i="33" s="1"/>
  <c r="A361" i="33" s="1"/>
  <c r="A362" i="33" s="1"/>
  <c r="A363" i="33" s="1"/>
  <c r="A364" i="33" s="1"/>
  <c r="A365" i="33" s="1"/>
  <c r="A366" i="33" s="1"/>
  <c r="A367" i="33" s="1"/>
  <c r="A368" i="33" s="1"/>
  <c r="A369" i="33" s="1"/>
  <c r="A370" i="33" s="1"/>
  <c r="A371" i="33" s="1"/>
  <c r="A372" i="33" s="1"/>
  <c r="A373" i="33" s="1"/>
  <c r="A374" i="33" s="1"/>
  <c r="A375" i="33" s="1"/>
  <c r="A376" i="33" s="1"/>
  <c r="A377" i="33" s="1"/>
  <c r="A378" i="33" s="1"/>
  <c r="A379" i="33" s="1"/>
  <c r="A380" i="33" s="1"/>
  <c r="A381" i="33" s="1"/>
  <c r="A382" i="33" s="1"/>
  <c r="A383" i="33" s="1"/>
  <c r="A384" i="33" s="1"/>
  <c r="A385" i="33" s="1"/>
  <c r="A386" i="33" s="1"/>
  <c r="A387" i="33" s="1"/>
  <c r="A388" i="33" s="1"/>
  <c r="A389" i="33" s="1"/>
  <c r="A390" i="33" s="1"/>
  <c r="A391" i="33" s="1"/>
  <c r="A392" i="33" s="1"/>
  <c r="A393" i="33" s="1"/>
  <c r="A394" i="33" s="1"/>
  <c r="A395" i="33" s="1"/>
  <c r="A396" i="33" s="1"/>
  <c r="A397" i="33" s="1"/>
  <c r="A398" i="33" s="1"/>
  <c r="A399" i="33" s="1"/>
  <c r="A400" i="33" s="1"/>
  <c r="A401" i="33" s="1"/>
  <c r="A402" i="33" s="1"/>
  <c r="A403" i="33" s="1"/>
  <c r="A404" i="33" s="1"/>
  <c r="A405" i="33" s="1"/>
  <c r="A406" i="33" s="1"/>
  <c r="A407" i="33" s="1"/>
  <c r="A408" i="33" s="1"/>
  <c r="A409" i="33" s="1"/>
  <c r="A410" i="33" s="1"/>
  <c r="A411" i="33" s="1"/>
  <c r="A412" i="33" s="1"/>
  <c r="A413" i="33" s="1"/>
  <c r="A414" i="33" s="1"/>
  <c r="A415" i="33" s="1"/>
  <c r="A416" i="33" s="1"/>
  <c r="A417" i="33" s="1"/>
  <c r="A418" i="33" s="1"/>
  <c r="A419" i="33" s="1"/>
  <c r="A420" i="33" s="1"/>
  <c r="A421" i="33" s="1"/>
  <c r="A422" i="33" s="1"/>
  <c r="A423" i="33" s="1"/>
  <c r="A424" i="33" s="1"/>
  <c r="A425" i="33" s="1"/>
  <c r="A426" i="33" s="1"/>
  <c r="A427" i="33" s="1"/>
  <c r="A428" i="33" s="1"/>
  <c r="A429" i="33" s="1"/>
  <c r="A430" i="33" s="1"/>
  <c r="A431" i="33" s="1"/>
  <c r="A432" i="33" s="1"/>
  <c r="A433" i="33" s="1"/>
  <c r="A434" i="33" s="1"/>
  <c r="A435" i="33" s="1"/>
  <c r="A436" i="33" s="1"/>
  <c r="A437" i="33" s="1"/>
  <c r="A438" i="33" s="1"/>
  <c r="A439" i="33" s="1"/>
  <c r="A440" i="33" s="1"/>
  <c r="A441" i="33" s="1"/>
  <c r="A442" i="33" s="1"/>
  <c r="A443" i="33" s="1"/>
  <c r="A444" i="33" s="1"/>
  <c r="A445" i="33" s="1"/>
  <c r="A446" i="33" s="1"/>
  <c r="A447" i="33" s="1"/>
  <c r="A448" i="33" s="1"/>
  <c r="A449" i="33" s="1"/>
  <c r="A450" i="33" s="1"/>
  <c r="A451" i="33" s="1"/>
  <c r="A452" i="33" s="1"/>
  <c r="A453" i="33" s="1"/>
  <c r="A454" i="33" s="1"/>
  <c r="A455" i="33" s="1"/>
  <c r="A456" i="33" s="1"/>
  <c r="A457" i="33" s="1"/>
  <c r="A458" i="33" s="1"/>
  <c r="A459" i="33" s="1"/>
  <c r="A460" i="33" s="1"/>
  <c r="A461" i="33" s="1"/>
  <c r="A462" i="33" s="1"/>
  <c r="A463" i="33" s="1"/>
  <c r="A464" i="33" s="1"/>
  <c r="A465" i="33" s="1"/>
  <c r="A466" i="33" s="1"/>
  <c r="A467" i="33" s="1"/>
  <c r="A468" i="33" s="1"/>
  <c r="A469" i="33" s="1"/>
  <c r="A470" i="33" s="1"/>
  <c r="A471" i="33" s="1"/>
  <c r="A472" i="33" s="1"/>
  <c r="A473" i="33" s="1"/>
  <c r="A474" i="33" s="1"/>
  <c r="A475" i="33" s="1"/>
  <c r="A476" i="33" s="1"/>
  <c r="A477" i="33" s="1"/>
  <c r="A478" i="33" s="1"/>
  <c r="A479" i="33" s="1"/>
  <c r="A480" i="33" s="1"/>
  <c r="A481" i="33" s="1"/>
  <c r="A482" i="33" s="1"/>
  <c r="A483" i="33" s="1"/>
  <c r="A484" i="33" s="1"/>
  <c r="A485" i="33" s="1"/>
  <c r="A486" i="33" s="1"/>
  <c r="A487" i="33" s="1"/>
  <c r="A488" i="33" s="1"/>
  <c r="A489" i="33" s="1"/>
  <c r="A490" i="33" s="1"/>
  <c r="A491" i="33" s="1"/>
  <c r="A492" i="33" s="1"/>
  <c r="A493" i="33" s="1"/>
  <c r="A494" i="33" s="1"/>
  <c r="A495" i="33" s="1"/>
  <c r="A496" i="33" s="1"/>
  <c r="A497" i="33" s="1"/>
  <c r="A498" i="33" s="1"/>
  <c r="A499" i="33" s="1"/>
  <c r="A500" i="33" s="1"/>
  <c r="A501" i="33" s="1"/>
  <c r="A502" i="33" s="1"/>
  <c r="A503" i="33" s="1"/>
  <c r="A504" i="33" s="1"/>
  <c r="A505" i="33" s="1"/>
  <c r="A506" i="33" s="1"/>
  <c r="A507" i="33" s="1"/>
  <c r="A508" i="33" s="1"/>
  <c r="A509" i="33" s="1"/>
  <c r="A510" i="33" s="1"/>
  <c r="A511" i="33" s="1"/>
  <c r="A512" i="33" s="1"/>
  <c r="A513" i="33" s="1"/>
  <c r="A514" i="33" s="1"/>
  <c r="A515" i="33" s="1"/>
  <c r="A516" i="33" s="1"/>
  <c r="A517" i="33" s="1"/>
  <c r="A518" i="33" s="1"/>
  <c r="A519" i="33" s="1"/>
  <c r="A520" i="33" s="1"/>
  <c r="A521" i="33" s="1"/>
  <c r="A522" i="33" s="1"/>
  <c r="A523" i="33" s="1"/>
  <c r="A524" i="33" s="1"/>
  <c r="A525" i="33" s="1"/>
  <c r="A526" i="33" s="1"/>
  <c r="A527" i="33" s="1"/>
  <c r="A528" i="33" s="1"/>
  <c r="A529" i="33" s="1"/>
  <c r="A530" i="33" s="1"/>
  <c r="A531" i="33" s="1"/>
  <c r="A532" i="33" s="1"/>
  <c r="A533" i="33" s="1"/>
  <c r="A534" i="33" s="1"/>
  <c r="A535" i="33" s="1"/>
  <c r="A536" i="33" s="1"/>
  <c r="A537" i="33" s="1"/>
  <c r="A538" i="33" s="1"/>
  <c r="A539" i="33" s="1"/>
  <c r="A540" i="33" s="1"/>
  <c r="A541" i="33" s="1"/>
  <c r="A542" i="33" s="1"/>
  <c r="A543" i="33" s="1"/>
  <c r="A544" i="33" s="1"/>
  <c r="A545" i="33" s="1"/>
  <c r="A546" i="33" s="1"/>
  <c r="A547" i="33" s="1"/>
  <c r="A548" i="33" s="1"/>
  <c r="A549" i="33" s="1"/>
  <c r="A550" i="33" s="1"/>
  <c r="A551" i="33" s="1"/>
  <c r="A552" i="33" s="1"/>
  <c r="A553" i="33" s="1"/>
  <c r="A554" i="33" s="1"/>
  <c r="A555" i="33" s="1"/>
  <c r="A556" i="33" s="1"/>
  <c r="A557" i="33" s="1"/>
  <c r="A558" i="33" s="1"/>
  <c r="A559" i="33" s="1"/>
  <c r="A560" i="33" s="1"/>
  <c r="A561" i="33" s="1"/>
  <c r="A562" i="33" s="1"/>
  <c r="A563" i="33" s="1"/>
  <c r="A564" i="33" s="1"/>
  <c r="A565" i="33" s="1"/>
  <c r="A566" i="33" s="1"/>
  <c r="A567" i="33" s="1"/>
  <c r="A568" i="33" s="1"/>
  <c r="A569" i="33" s="1"/>
  <c r="A570" i="33" s="1"/>
  <c r="A571" i="33" s="1"/>
  <c r="A572" i="33" s="1"/>
  <c r="A573" i="33" s="1"/>
  <c r="A574" i="33" s="1"/>
  <c r="A575" i="33" s="1"/>
  <c r="A576" i="33" s="1"/>
  <c r="A577" i="33" s="1"/>
  <c r="A578" i="33" s="1"/>
  <c r="A579" i="33" s="1"/>
  <c r="A580" i="33" s="1"/>
  <c r="A581" i="33" s="1"/>
  <c r="A582" i="33" s="1"/>
  <c r="A583" i="33" s="1"/>
  <c r="A584" i="33" s="1"/>
  <c r="A585" i="33" s="1"/>
  <c r="A586" i="33" s="1"/>
  <c r="A587" i="33" s="1"/>
  <c r="A588" i="33" s="1"/>
  <c r="A589" i="33" s="1"/>
  <c r="A590" i="33" s="1"/>
  <c r="A591" i="33" s="1"/>
  <c r="A592" i="33" s="1"/>
  <c r="A593" i="33" s="1"/>
  <c r="A594" i="33" s="1"/>
  <c r="A595" i="33" s="1"/>
  <c r="A596" i="33" s="1"/>
  <c r="A597" i="33" s="1"/>
  <c r="A598" i="33" s="1"/>
  <c r="A599" i="33" s="1"/>
  <c r="A600" i="33" s="1"/>
  <c r="A601" i="33" s="1"/>
  <c r="A602" i="33" s="1"/>
  <c r="A603" i="33" s="1"/>
  <c r="A604" i="33" s="1"/>
  <c r="A605" i="33" s="1"/>
  <c r="A606" i="33" s="1"/>
  <c r="A607" i="33" s="1"/>
  <c r="A608" i="33" s="1"/>
  <c r="A609" i="33" s="1"/>
  <c r="A610" i="33" s="1"/>
  <c r="A611" i="33" s="1"/>
  <c r="A612" i="33" s="1"/>
  <c r="A613" i="33" s="1"/>
  <c r="A614" i="33" s="1"/>
  <c r="A615" i="33" s="1"/>
  <c r="A616" i="33" s="1"/>
  <c r="A617" i="33" s="1"/>
  <c r="A618" i="33" s="1"/>
  <c r="A619" i="33" s="1"/>
  <c r="A620" i="33" s="1"/>
  <c r="A621" i="33" s="1"/>
  <c r="A622" i="33" s="1"/>
  <c r="A623" i="33" s="1"/>
  <c r="A624" i="33" s="1"/>
  <c r="A625" i="33" s="1"/>
  <c r="A626" i="33" s="1"/>
  <c r="A627" i="33" s="1"/>
  <c r="A628" i="33" s="1"/>
  <c r="A629" i="33" s="1"/>
  <c r="A630" i="33" s="1"/>
  <c r="A631" i="33" s="1"/>
  <c r="A632" i="33" s="1"/>
  <c r="A633" i="33" s="1"/>
  <c r="A634" i="33" s="1"/>
  <c r="A635" i="33" s="1"/>
  <c r="A636" i="33" s="1"/>
  <c r="A637" i="33" s="1"/>
  <c r="A638" i="33" s="1"/>
  <c r="A639" i="33" s="1"/>
  <c r="A640" i="33" s="1"/>
  <c r="A641" i="33" s="1"/>
  <c r="A642" i="33" s="1"/>
  <c r="A643" i="33" s="1"/>
  <c r="A644" i="33" s="1"/>
  <c r="A645" i="33" s="1"/>
  <c r="A646" i="33" s="1"/>
  <c r="A647" i="33" s="1"/>
  <c r="A648" i="33" s="1"/>
  <c r="A649" i="33" s="1"/>
  <c r="A650" i="33" s="1"/>
  <c r="A651" i="33" s="1"/>
  <c r="A652" i="33" s="1"/>
  <c r="A653" i="33" s="1"/>
  <c r="A654" i="33" s="1"/>
  <c r="A655" i="33" s="1"/>
  <c r="A656" i="33" s="1"/>
  <c r="A657" i="33" s="1"/>
  <c r="A658" i="33" s="1"/>
  <c r="A659" i="33" s="1"/>
  <c r="A660" i="33" s="1"/>
  <c r="A661" i="33" s="1"/>
  <c r="A662" i="33" s="1"/>
  <c r="A663" i="33" s="1"/>
  <c r="A664" i="33" s="1"/>
  <c r="A665" i="33" s="1"/>
  <c r="A666" i="33" s="1"/>
  <c r="A667" i="33" s="1"/>
  <c r="A668" i="33" s="1"/>
  <c r="A669" i="33" s="1"/>
  <c r="A670" i="33" s="1"/>
  <c r="A671" i="33" s="1"/>
  <c r="A672" i="33" s="1"/>
  <c r="A673" i="33" s="1"/>
  <c r="A674" i="33" s="1"/>
  <c r="A675" i="33" s="1"/>
  <c r="A676" i="33" s="1"/>
  <c r="A677" i="33" s="1"/>
  <c r="A678" i="33" s="1"/>
  <c r="A679" i="33" s="1"/>
  <c r="A680" i="33" s="1"/>
  <c r="A681" i="33" s="1"/>
  <c r="A682" i="33" s="1"/>
  <c r="A683" i="33" s="1"/>
  <c r="A684" i="33" s="1"/>
  <c r="A685" i="33" s="1"/>
  <c r="A686" i="33" s="1"/>
  <c r="A687" i="33" s="1"/>
  <c r="A688" i="33" s="1"/>
  <c r="A689" i="33" s="1"/>
  <c r="A690" i="33" s="1"/>
  <c r="A691" i="33" s="1"/>
  <c r="A692" i="33" s="1"/>
  <c r="A693" i="33" s="1"/>
  <c r="A694" i="33" s="1"/>
  <c r="A695" i="33" s="1"/>
  <c r="A696" i="33" s="1"/>
  <c r="A697" i="33" s="1"/>
  <c r="A698" i="33" s="1"/>
  <c r="A699" i="33" s="1"/>
  <c r="A700" i="33" s="1"/>
  <c r="A701" i="33" s="1"/>
  <c r="A702" i="33" s="1"/>
  <c r="A703" i="33" s="1"/>
  <c r="A704" i="33" s="1"/>
  <c r="A705" i="33" s="1"/>
  <c r="A706" i="33" s="1"/>
  <c r="A707" i="33" s="1"/>
  <c r="A708" i="33" s="1"/>
  <c r="A709" i="33" s="1"/>
  <c r="A710" i="33" s="1"/>
  <c r="A711" i="33" s="1"/>
  <c r="A712" i="33" s="1"/>
  <c r="A713" i="33" s="1"/>
  <c r="A714" i="33" s="1"/>
  <c r="A715" i="33" s="1"/>
  <c r="A716" i="33" s="1"/>
  <c r="A717" i="33" s="1"/>
  <c r="A718" i="33" s="1"/>
  <c r="A719" i="33" s="1"/>
  <c r="A720" i="33" s="1"/>
  <c r="A721" i="33" s="1"/>
  <c r="A722" i="33" s="1"/>
  <c r="A723" i="33" s="1"/>
  <c r="A724" i="33" s="1"/>
  <c r="A725" i="33" s="1"/>
  <c r="A726" i="33" s="1"/>
  <c r="A727" i="33" s="1"/>
  <c r="A728" i="33" s="1"/>
  <c r="A729" i="33" s="1"/>
  <c r="A730" i="33" s="1"/>
  <c r="A731" i="33" s="1"/>
  <c r="A732" i="33" s="1"/>
  <c r="A733" i="33" s="1"/>
  <c r="A734" i="33" s="1"/>
  <c r="A735" i="33" s="1"/>
  <c r="A736" i="33" s="1"/>
  <c r="A737" i="33" s="1"/>
  <c r="A738" i="33" s="1"/>
  <c r="A739" i="33" s="1"/>
  <c r="A740" i="33" s="1"/>
  <c r="A741" i="33" s="1"/>
  <c r="A742" i="33" s="1"/>
  <c r="A743" i="33" s="1"/>
  <c r="A744" i="33" s="1"/>
  <c r="A745" i="33" s="1"/>
  <c r="A746" i="33" s="1"/>
  <c r="A747" i="33" s="1"/>
  <c r="A748" i="33" s="1"/>
  <c r="A749" i="33" s="1"/>
  <c r="A750" i="33" s="1"/>
  <c r="A751" i="33" s="1"/>
  <c r="A752" i="33" s="1"/>
  <c r="A753" i="33" s="1"/>
  <c r="A754" i="33" s="1"/>
  <c r="A755" i="33" s="1"/>
  <c r="A756" i="33" s="1"/>
  <c r="A757" i="33" s="1"/>
  <c r="A758" i="33" s="1"/>
  <c r="A759" i="33" s="1"/>
  <c r="A760" i="33" s="1"/>
  <c r="A761" i="33" s="1"/>
  <c r="A762" i="33" s="1"/>
  <c r="A763" i="33" s="1"/>
  <c r="A764" i="33" s="1"/>
  <c r="A765" i="33" s="1"/>
  <c r="A766" i="33" s="1"/>
  <c r="A767" i="33" s="1"/>
  <c r="A768" i="33" s="1"/>
  <c r="A769" i="33" s="1"/>
  <c r="A770" i="33" s="1"/>
  <c r="A771" i="33" s="1"/>
  <c r="A772" i="33" s="1"/>
  <c r="A773" i="33" s="1"/>
  <c r="A774" i="33" s="1"/>
  <c r="A775" i="33" s="1"/>
  <c r="A776" i="33" s="1"/>
  <c r="A777" i="33" s="1"/>
  <c r="A778" i="33" s="1"/>
  <c r="A779" i="33" s="1"/>
  <c r="A780" i="33" s="1"/>
  <c r="A781" i="33" s="1"/>
  <c r="A782" i="33" s="1"/>
  <c r="A783" i="33" s="1"/>
  <c r="A784" i="33" s="1"/>
  <c r="A785" i="33" s="1"/>
  <c r="A786" i="33" s="1"/>
  <c r="A787" i="33" s="1"/>
  <c r="A788" i="33" s="1"/>
  <c r="A789" i="33" s="1"/>
  <c r="A790" i="33" s="1"/>
  <c r="A791" i="33" s="1"/>
  <c r="A792" i="33" s="1"/>
  <c r="A793" i="33" s="1"/>
  <c r="A794" i="33" s="1"/>
  <c r="A795" i="33" s="1"/>
  <c r="A796" i="33" s="1"/>
  <c r="A797" i="33" s="1"/>
  <c r="A798" i="33" s="1"/>
  <c r="A799" i="33" s="1"/>
  <c r="A800" i="33" s="1"/>
  <c r="A801" i="33" s="1"/>
  <c r="A802" i="33" s="1"/>
  <c r="A803" i="33" s="1"/>
  <c r="A804" i="33" s="1"/>
  <c r="A805" i="33" s="1"/>
  <c r="A806" i="33" s="1"/>
  <c r="A807" i="33" s="1"/>
  <c r="A808" i="33" s="1"/>
  <c r="A809" i="33" s="1"/>
  <c r="A810" i="33" s="1"/>
  <c r="A811" i="33" s="1"/>
  <c r="A812" i="33" s="1"/>
  <c r="A813" i="33" s="1"/>
  <c r="A814" i="33" s="1"/>
  <c r="A815" i="33" s="1"/>
  <c r="A816" i="33" s="1"/>
  <c r="A817" i="33" s="1"/>
  <c r="A818" i="33" s="1"/>
  <c r="A819" i="33" s="1"/>
  <c r="A820" i="33" s="1"/>
  <c r="A821" i="33" s="1"/>
  <c r="A822" i="33" s="1"/>
  <c r="A823" i="33" s="1"/>
  <c r="A824" i="33" s="1"/>
  <c r="A825" i="33" s="1"/>
  <c r="A826" i="33" s="1"/>
  <c r="A827" i="33" s="1"/>
  <c r="A828" i="33" s="1"/>
  <c r="A829" i="33" s="1"/>
  <c r="A830" i="33" s="1"/>
  <c r="A831" i="33" s="1"/>
  <c r="A832" i="33" s="1"/>
  <c r="A833" i="33" s="1"/>
  <c r="A834" i="33" s="1"/>
  <c r="A835" i="33" s="1"/>
  <c r="A836" i="33" s="1"/>
  <c r="A837" i="33" s="1"/>
  <c r="A838" i="33" s="1"/>
  <c r="A839" i="33" s="1"/>
  <c r="A840" i="33" s="1"/>
  <c r="A841" i="33" s="1"/>
  <c r="A842" i="33" s="1"/>
  <c r="A843" i="33" s="1"/>
  <c r="A844" i="33" s="1"/>
  <c r="A845" i="33" s="1"/>
  <c r="A846" i="33" s="1"/>
  <c r="A847" i="33" s="1"/>
  <c r="A848" i="33" s="1"/>
  <c r="A849" i="33" s="1"/>
  <c r="A850" i="33" s="1"/>
  <c r="A851" i="33" s="1"/>
  <c r="A852" i="33" s="1"/>
  <c r="A853" i="33" s="1"/>
  <c r="A854" i="33" s="1"/>
  <c r="A855" i="33" s="1"/>
  <c r="A856" i="33" s="1"/>
  <c r="A1" i="33" s="1"/>
  <c r="AY20" i="29" l="1"/>
  <c r="AW20" i="29"/>
  <c r="AU20" i="29"/>
  <c r="AS20" i="29"/>
  <c r="AQ20" i="29"/>
  <c r="AO20" i="29"/>
  <c r="AW18" i="29"/>
  <c r="AU18" i="29"/>
  <c r="AS18" i="29"/>
  <c r="AQ18" i="29"/>
  <c r="AO18" i="29"/>
  <c r="AY17" i="29"/>
  <c r="AY16" i="29"/>
  <c r="AY15" i="29"/>
  <c r="AY14" i="29"/>
  <c r="AY13" i="29"/>
  <c r="AY12" i="29"/>
  <c r="AY11" i="29"/>
  <c r="AY10" i="29"/>
  <c r="AY9" i="29"/>
  <c r="AY8" i="29"/>
  <c r="AY7" i="29"/>
  <c r="AY6" i="29"/>
  <c r="AY5" i="29"/>
  <c r="AY4" i="29"/>
  <c r="AY3" i="29"/>
  <c r="AL20" i="29"/>
  <c r="AJ20" i="29"/>
  <c r="AH20" i="29"/>
  <c r="AF20" i="29"/>
  <c r="AD20" i="29"/>
  <c r="AB20" i="29"/>
  <c r="AJ18" i="29"/>
  <c r="AH18" i="29"/>
  <c r="AF18" i="29"/>
  <c r="AD18" i="29"/>
  <c r="AB18" i="29"/>
  <c r="AL17" i="29"/>
  <c r="AL16" i="29"/>
  <c r="AL15" i="29"/>
  <c r="AL14" i="29"/>
  <c r="AL13" i="29"/>
  <c r="AL12" i="29"/>
  <c r="AL11" i="29"/>
  <c r="AL10" i="29"/>
  <c r="AL9" i="29"/>
  <c r="AL8" i="29"/>
  <c r="AL7" i="29"/>
  <c r="AL6" i="29"/>
  <c r="AL5" i="29"/>
  <c r="AL4" i="29"/>
  <c r="AL3" i="29"/>
  <c r="Y4" i="29"/>
  <c r="Y5" i="29"/>
  <c r="Y6" i="29"/>
  <c r="Y7" i="29"/>
  <c r="Y8" i="29"/>
  <c r="Y9" i="29"/>
  <c r="Y10" i="29"/>
  <c r="Y11" i="29"/>
  <c r="Y12" i="29"/>
  <c r="Y13" i="29"/>
  <c r="Y14" i="29"/>
  <c r="Y15" i="29"/>
  <c r="Y16" i="29"/>
  <c r="Y17" i="29"/>
  <c r="Y3" i="29"/>
  <c r="L7" i="29"/>
  <c r="L8" i="29"/>
  <c r="L9" i="29"/>
  <c r="L10" i="29"/>
  <c r="L11" i="29"/>
  <c r="L12" i="29"/>
  <c r="L13" i="29"/>
  <c r="L14" i="29"/>
  <c r="L15" i="29"/>
  <c r="L16" i="29"/>
  <c r="L17" i="29"/>
  <c r="L6" i="29"/>
  <c r="Y20" i="29"/>
  <c r="W20" i="29"/>
  <c r="U20" i="29"/>
  <c r="S20" i="29"/>
  <c r="Q20" i="29"/>
  <c r="O20" i="29"/>
  <c r="W18" i="29"/>
  <c r="U18" i="29"/>
  <c r="S18" i="29"/>
  <c r="Q18" i="29"/>
  <c r="O18" i="29"/>
  <c r="L4" i="29"/>
  <c r="L5" i="29"/>
  <c r="L3" i="29"/>
  <c r="J20" i="29"/>
  <c r="AW40" i="29" s="1"/>
  <c r="J18" i="29"/>
  <c r="D20" i="29"/>
  <c r="F20" i="29"/>
  <c r="AF62" i="29" s="1"/>
  <c r="H20" i="29"/>
  <c r="L20" i="29"/>
  <c r="B20" i="29"/>
  <c r="O40" i="29" s="1"/>
  <c r="F18" i="29"/>
  <c r="G3" i="29" s="1"/>
  <c r="B18" i="29"/>
  <c r="C14" i="29" s="1"/>
  <c r="D18" i="29"/>
  <c r="E5" i="29" s="1"/>
  <c r="H18" i="29"/>
  <c r="K14" i="29" s="1"/>
  <c r="F2" i="9"/>
  <c r="H2" i="9"/>
  <c r="AJ63" i="29" l="1"/>
  <c r="W55" i="29"/>
  <c r="AK18" i="29"/>
  <c r="AI4" i="29"/>
  <c r="AI6" i="29"/>
  <c r="AI8" i="29"/>
  <c r="AI10" i="29"/>
  <c r="AI12" i="29"/>
  <c r="AI14" i="29"/>
  <c r="AI16" i="29"/>
  <c r="AH65" i="29"/>
  <c r="AI65" i="29" s="1"/>
  <c r="AD54" i="29"/>
  <c r="AB54" i="29"/>
  <c r="AC54" i="29" s="1"/>
  <c r="AT18" i="29"/>
  <c r="AQ40" i="29"/>
  <c r="AR40" i="29" s="1"/>
  <c r="U64" i="29"/>
  <c r="V64" i="29" s="1"/>
  <c r="AH61" i="29"/>
  <c r="AI61" i="29" s="1"/>
  <c r="AQ63" i="29"/>
  <c r="AR63" i="29" s="1"/>
  <c r="AU64" i="29"/>
  <c r="AV64" i="29" s="1"/>
  <c r="AW65" i="29"/>
  <c r="U54" i="29"/>
  <c r="V54" i="29" s="1"/>
  <c r="AI3" i="29"/>
  <c r="AI5" i="29"/>
  <c r="AI7" i="29"/>
  <c r="AI9" i="29"/>
  <c r="AI11" i="29"/>
  <c r="AI13" i="29"/>
  <c r="AI15" i="29"/>
  <c r="AI17" i="29"/>
  <c r="AH55" i="29"/>
  <c r="AI55" i="29" s="1"/>
  <c r="AD64" i="29"/>
  <c r="AE64" i="29" s="1"/>
  <c r="AB64" i="29"/>
  <c r="AC64" i="29" s="1"/>
  <c r="AO62" i="29"/>
  <c r="AP62" i="29" s="1"/>
  <c r="AU60" i="29"/>
  <c r="AV60" i="29" s="1"/>
  <c r="AW61" i="29"/>
  <c r="AG62" i="29"/>
  <c r="AJ40" i="29"/>
  <c r="AD60" i="29"/>
  <c r="AE60" i="29" s="1"/>
  <c r="AB60" i="29"/>
  <c r="AC60" i="29" s="1"/>
  <c r="AQ53" i="29"/>
  <c r="AR53" i="29" s="1"/>
  <c r="AU53" i="29"/>
  <c r="AV53" i="29" s="1"/>
  <c r="AW54" i="29"/>
  <c r="S61" i="29"/>
  <c r="T61" i="29" s="1"/>
  <c r="AS54" i="29"/>
  <c r="AT54" i="29" s="1"/>
  <c r="AS60" i="29"/>
  <c r="AT60" i="29" s="1"/>
  <c r="AS64" i="29"/>
  <c r="AT64" i="29" s="1"/>
  <c r="AF40" i="29"/>
  <c r="AG40" i="29" s="1"/>
  <c r="AF53" i="29"/>
  <c r="AG53" i="29" s="1"/>
  <c r="AF63" i="29"/>
  <c r="AG63" i="29" s="1"/>
  <c r="S62" i="29"/>
  <c r="T62" i="29" s="1"/>
  <c r="AS55" i="29"/>
  <c r="AT55" i="29" s="1"/>
  <c r="AS61" i="29"/>
  <c r="AT61" i="29" s="1"/>
  <c r="AS65" i="29"/>
  <c r="AT65" i="29" s="1"/>
  <c r="AF54" i="29"/>
  <c r="AG54" i="29" s="1"/>
  <c r="AF60" i="29"/>
  <c r="AG60" i="29" s="1"/>
  <c r="AF64" i="29"/>
  <c r="AG64" i="29" s="1"/>
  <c r="S65" i="29"/>
  <c r="T65" i="29" s="1"/>
  <c r="AS62" i="29"/>
  <c r="AT62" i="29" s="1"/>
  <c r="AF55" i="29"/>
  <c r="AG55" i="29" s="1"/>
  <c r="AF61" i="29"/>
  <c r="AG61" i="29" s="1"/>
  <c r="AF65" i="29"/>
  <c r="AG65" i="29" s="1"/>
  <c r="S55" i="29"/>
  <c r="T55" i="29" s="1"/>
  <c r="AS40" i="29"/>
  <c r="AT40" i="29" s="1"/>
  <c r="AS53" i="29"/>
  <c r="AT53" i="29" s="1"/>
  <c r="AS63" i="29"/>
  <c r="AT63" i="29" s="1"/>
  <c r="Y18" i="29"/>
  <c r="W63" i="29"/>
  <c r="U61" i="29"/>
  <c r="V61" i="29" s="1"/>
  <c r="AK3" i="29"/>
  <c r="AK4" i="29"/>
  <c r="AK5" i="29"/>
  <c r="AK6" i="29"/>
  <c r="AK7" i="29"/>
  <c r="AK8" i="29"/>
  <c r="AK9" i="29"/>
  <c r="AK10" i="29"/>
  <c r="AK11" i="29"/>
  <c r="AK12" i="29"/>
  <c r="AK13" i="29"/>
  <c r="AK14" i="29"/>
  <c r="AK15" i="29"/>
  <c r="AK16" i="29"/>
  <c r="AK17" i="29"/>
  <c r="AG18" i="29"/>
  <c r="AJ62" i="29"/>
  <c r="AJ55" i="29"/>
  <c r="AH64" i="29"/>
  <c r="AI64" i="29" s="1"/>
  <c r="AH60" i="29"/>
  <c r="AI60" i="29" s="1"/>
  <c r="AH54" i="29"/>
  <c r="AI54" i="29" s="1"/>
  <c r="AD63" i="29"/>
  <c r="AE63" i="29" s="1"/>
  <c r="AD53" i="29"/>
  <c r="AE53" i="29" s="1"/>
  <c r="AD40" i="29"/>
  <c r="AE40" i="29" s="1"/>
  <c r="AB63" i="29"/>
  <c r="AC63" i="29" s="1"/>
  <c r="AB53" i="29"/>
  <c r="AC53" i="29" s="1"/>
  <c r="AT3" i="29"/>
  <c r="AT4" i="29"/>
  <c r="AT5" i="29"/>
  <c r="AT6" i="29"/>
  <c r="AT7" i="29"/>
  <c r="AT8" i="29"/>
  <c r="AT9" i="29"/>
  <c r="AT10" i="29"/>
  <c r="AT11" i="29"/>
  <c r="AT12" i="29"/>
  <c r="AT13" i="29"/>
  <c r="AT14" i="29"/>
  <c r="AT15" i="29"/>
  <c r="AT16" i="29"/>
  <c r="AT17" i="29"/>
  <c r="AO65" i="29"/>
  <c r="AP65" i="29" s="1"/>
  <c r="AO61" i="29"/>
  <c r="AP61" i="29" s="1"/>
  <c r="AO55" i="29"/>
  <c r="AP55" i="29" s="1"/>
  <c r="AO40" i="29"/>
  <c r="AP40" i="29" s="1"/>
  <c r="AQ62" i="29"/>
  <c r="AR62" i="29" s="1"/>
  <c r="AU63" i="29"/>
  <c r="AV63" i="29" s="1"/>
  <c r="AU40" i="29"/>
  <c r="AV40" i="29" s="1"/>
  <c r="AW64" i="29"/>
  <c r="AW60" i="29"/>
  <c r="AW53" i="29"/>
  <c r="W62" i="29"/>
  <c r="W40" i="29"/>
  <c r="U60" i="29"/>
  <c r="V60" i="29" s="1"/>
  <c r="AJ65" i="29"/>
  <c r="AJ61" i="29"/>
  <c r="AJ54" i="29"/>
  <c r="AH63" i="29"/>
  <c r="AI63" i="29" s="1"/>
  <c r="AH53" i="29"/>
  <c r="AI53" i="29" s="1"/>
  <c r="AD62" i="29"/>
  <c r="AE62" i="29" s="1"/>
  <c r="AB62" i="29"/>
  <c r="AC62" i="29" s="1"/>
  <c r="AV3" i="29"/>
  <c r="AV4" i="29"/>
  <c r="AV5" i="29"/>
  <c r="AV6" i="29"/>
  <c r="AV7" i="29"/>
  <c r="AV8" i="29"/>
  <c r="AV9" i="29"/>
  <c r="AV10" i="29"/>
  <c r="AV11" i="29"/>
  <c r="AV12" i="29"/>
  <c r="AV13" i="29"/>
  <c r="AV14" i="29"/>
  <c r="AV15" i="29"/>
  <c r="AV16" i="29"/>
  <c r="AV17" i="29"/>
  <c r="AO64" i="29"/>
  <c r="AP64" i="29" s="1"/>
  <c r="AO60" i="29"/>
  <c r="AP60" i="29" s="1"/>
  <c r="AO54" i="29"/>
  <c r="AP54" i="29" s="1"/>
  <c r="AQ65" i="29"/>
  <c r="AQ61" i="29"/>
  <c r="AR61" i="29" s="1"/>
  <c r="AQ55" i="29"/>
  <c r="AR55" i="29" s="1"/>
  <c r="AU62" i="29"/>
  <c r="AV62" i="29" s="1"/>
  <c r="AU55" i="29"/>
  <c r="AV55" i="29" s="1"/>
  <c r="AW63" i="29"/>
  <c r="T18" i="29"/>
  <c r="U65" i="29"/>
  <c r="V65" i="29" s="1"/>
  <c r="U55" i="29"/>
  <c r="V55" i="29" s="1"/>
  <c r="AG3" i="29"/>
  <c r="AG4" i="29"/>
  <c r="AG5" i="29"/>
  <c r="AG6" i="29"/>
  <c r="AG7" i="29"/>
  <c r="AG8" i="29"/>
  <c r="AG9" i="29"/>
  <c r="AG10" i="29"/>
  <c r="AG11" i="29"/>
  <c r="AG12" i="29"/>
  <c r="AG13" i="29"/>
  <c r="AG14" i="29"/>
  <c r="AG15" i="29"/>
  <c r="AG16" i="29"/>
  <c r="AG17" i="29"/>
  <c r="AJ64" i="29"/>
  <c r="AJ60" i="29"/>
  <c r="AJ53" i="29"/>
  <c r="AH62" i="29"/>
  <c r="AI62" i="29" s="1"/>
  <c r="AH40" i="29"/>
  <c r="AI40" i="29" s="1"/>
  <c r="AD65" i="29"/>
  <c r="AE65" i="29" s="1"/>
  <c r="AD61" i="29"/>
  <c r="AE61" i="29" s="1"/>
  <c r="AD55" i="29"/>
  <c r="AE55" i="29" s="1"/>
  <c r="AB65" i="29"/>
  <c r="AB61" i="29"/>
  <c r="AC61" i="29" s="1"/>
  <c r="AB55" i="29"/>
  <c r="AC55" i="29" s="1"/>
  <c r="AB40" i="29"/>
  <c r="AC40" i="29" s="1"/>
  <c r="AX3" i="29"/>
  <c r="AX4" i="29"/>
  <c r="AX5" i="29"/>
  <c r="AX6" i="29"/>
  <c r="AX7" i="29"/>
  <c r="AX8" i="29"/>
  <c r="AX9" i="29"/>
  <c r="AX10" i="29"/>
  <c r="AX11" i="29"/>
  <c r="AX12" i="29"/>
  <c r="AX13" i="29"/>
  <c r="AX14" i="29"/>
  <c r="AX15" i="29"/>
  <c r="AX16" i="29"/>
  <c r="AX17" i="29"/>
  <c r="AX18" i="29"/>
  <c r="AO63" i="29"/>
  <c r="AP63" i="29" s="1"/>
  <c r="AO53" i="29"/>
  <c r="AP53" i="29" s="1"/>
  <c r="AQ64" i="29"/>
  <c r="AR64" i="29" s="1"/>
  <c r="AQ60" i="29"/>
  <c r="AQ54" i="29"/>
  <c r="AR54" i="29" s="1"/>
  <c r="AU65" i="29"/>
  <c r="AV65" i="29" s="1"/>
  <c r="AU61" i="29"/>
  <c r="AV61" i="29" s="1"/>
  <c r="AU54" i="29"/>
  <c r="AV54" i="29" s="1"/>
  <c r="AW62" i="29"/>
  <c r="AW55" i="29"/>
  <c r="AE8" i="29"/>
  <c r="AE16" i="29"/>
  <c r="AR9" i="29"/>
  <c r="AR17" i="29"/>
  <c r="R8" i="29"/>
  <c r="AE9" i="29"/>
  <c r="AR10" i="29"/>
  <c r="R10" i="29"/>
  <c r="AE4" i="29"/>
  <c r="AE12" i="29"/>
  <c r="AR5" i="29"/>
  <c r="AR13" i="29"/>
  <c r="AE17" i="29"/>
  <c r="R16" i="29"/>
  <c r="AE5" i="29"/>
  <c r="AE13" i="29"/>
  <c r="AR6" i="29"/>
  <c r="AR14" i="29"/>
  <c r="R4" i="29"/>
  <c r="R12" i="29"/>
  <c r="AE6" i="29"/>
  <c r="AE10" i="29"/>
  <c r="AE14" i="29"/>
  <c r="AR3" i="29"/>
  <c r="AR7" i="29"/>
  <c r="AR11" i="29"/>
  <c r="AR15" i="29"/>
  <c r="R6" i="29"/>
  <c r="R14" i="29"/>
  <c r="AE3" i="29"/>
  <c r="AE7" i="29"/>
  <c r="AE11" i="29"/>
  <c r="AE15" i="29"/>
  <c r="AE18" i="29"/>
  <c r="AR4" i="29"/>
  <c r="AR8" i="29"/>
  <c r="AR12" i="29"/>
  <c r="AR16" i="29"/>
  <c r="AC16" i="29"/>
  <c r="AC5" i="29"/>
  <c r="AC10" i="29"/>
  <c r="AC13" i="29"/>
  <c r="AP4" i="29"/>
  <c r="AP6" i="29"/>
  <c r="AP13" i="29"/>
  <c r="AP15" i="29"/>
  <c r="AP18" i="29"/>
  <c r="AC11" i="29"/>
  <c r="AP11" i="29"/>
  <c r="AP16" i="29"/>
  <c r="AC4" i="29"/>
  <c r="AC7" i="29"/>
  <c r="AC12" i="29"/>
  <c r="AC15" i="29"/>
  <c r="AC18" i="29"/>
  <c r="AP3" i="29"/>
  <c r="AP8" i="29"/>
  <c r="AP10" i="29"/>
  <c r="AP17" i="29"/>
  <c r="AC3" i="29"/>
  <c r="AC8" i="29"/>
  <c r="AP9" i="29"/>
  <c r="AC6" i="29"/>
  <c r="AC9" i="29"/>
  <c r="AC14" i="29"/>
  <c r="AC17" i="29"/>
  <c r="AP5" i="29"/>
  <c r="AP7" i="29"/>
  <c r="AP12" i="29"/>
  <c r="AP14" i="29"/>
  <c r="AY18" i="29"/>
  <c r="AR18" i="29"/>
  <c r="AV18" i="29"/>
  <c r="AL18" i="29"/>
  <c r="AI18" i="29"/>
  <c r="Q63" i="29"/>
  <c r="R63" i="29" s="1"/>
  <c r="Q53" i="29"/>
  <c r="R53" i="29" s="1"/>
  <c r="O63" i="29"/>
  <c r="O53" i="29"/>
  <c r="P53" i="29" s="1"/>
  <c r="R3" i="29"/>
  <c r="R5" i="29"/>
  <c r="R7" i="29"/>
  <c r="R9" i="29"/>
  <c r="R11" i="29"/>
  <c r="R13" i="29"/>
  <c r="R15" i="29"/>
  <c r="R17" i="29"/>
  <c r="W65" i="29"/>
  <c r="W61" i="29"/>
  <c r="W54" i="29"/>
  <c r="U63" i="29"/>
  <c r="V63" i="29" s="1"/>
  <c r="U53" i="29"/>
  <c r="V53" i="29" s="1"/>
  <c r="S64" i="29"/>
  <c r="T64" i="29" s="1"/>
  <c r="S60" i="29"/>
  <c r="T60" i="29" s="1"/>
  <c r="S54" i="29"/>
  <c r="T54" i="29" s="1"/>
  <c r="Q62" i="29"/>
  <c r="R62" i="29" s="1"/>
  <c r="O62" i="29"/>
  <c r="Q64" i="29"/>
  <c r="R64" i="29" s="1"/>
  <c r="Q60" i="29"/>
  <c r="R60" i="29" s="1"/>
  <c r="Q54" i="29"/>
  <c r="R54" i="29" s="1"/>
  <c r="Q40" i="29"/>
  <c r="R40" i="29" s="1"/>
  <c r="O64" i="29"/>
  <c r="P64" i="29" s="1"/>
  <c r="O60" i="29"/>
  <c r="P60" i="29" s="1"/>
  <c r="O54" i="29"/>
  <c r="P54" i="29" s="1"/>
  <c r="X4" i="29"/>
  <c r="X6" i="29"/>
  <c r="X8" i="29"/>
  <c r="X10" i="29"/>
  <c r="X12" i="29"/>
  <c r="X14" i="29"/>
  <c r="X16" i="29"/>
  <c r="J60" i="29"/>
  <c r="X3" i="29"/>
  <c r="X5" i="29"/>
  <c r="X7" i="29"/>
  <c r="X9" i="29"/>
  <c r="X11" i="29"/>
  <c r="X13" i="29"/>
  <c r="X15" i="29"/>
  <c r="X17" i="29"/>
  <c r="W64" i="29"/>
  <c r="W60" i="29"/>
  <c r="W53" i="29"/>
  <c r="U62" i="29"/>
  <c r="V62" i="29" s="1"/>
  <c r="U40" i="29"/>
  <c r="V40" i="29" s="1"/>
  <c r="S63" i="29"/>
  <c r="T63" i="29" s="1"/>
  <c r="S53" i="29"/>
  <c r="T53" i="29" s="1"/>
  <c r="S40" i="29"/>
  <c r="T40" i="29" s="1"/>
  <c r="Q65" i="29"/>
  <c r="R65" i="29" s="1"/>
  <c r="Q61" i="29"/>
  <c r="R61" i="29" s="1"/>
  <c r="Q55" i="29"/>
  <c r="R55" i="29" s="1"/>
  <c r="O65" i="29"/>
  <c r="O61" i="29"/>
  <c r="P61" i="29" s="1"/>
  <c r="O55" i="29"/>
  <c r="P55" i="29" s="1"/>
  <c r="V3" i="29"/>
  <c r="V4" i="29"/>
  <c r="V5" i="29"/>
  <c r="V6" i="29"/>
  <c r="V7" i="29"/>
  <c r="V8" i="29"/>
  <c r="V9" i="29"/>
  <c r="V10" i="29"/>
  <c r="V11" i="29"/>
  <c r="V12" i="29"/>
  <c r="V13" i="29"/>
  <c r="V14" i="29"/>
  <c r="V15" i="29"/>
  <c r="V16" i="29"/>
  <c r="V17" i="29"/>
  <c r="X18" i="29"/>
  <c r="T3" i="29"/>
  <c r="T4" i="29"/>
  <c r="T5" i="29"/>
  <c r="T6" i="29"/>
  <c r="T7" i="29"/>
  <c r="T8" i="29"/>
  <c r="T9" i="29"/>
  <c r="T10" i="29"/>
  <c r="T11" i="29"/>
  <c r="T12" i="29"/>
  <c r="T13" i="29"/>
  <c r="T14" i="29"/>
  <c r="T15" i="29"/>
  <c r="T16" i="29"/>
  <c r="T17" i="29"/>
  <c r="P18" i="29"/>
  <c r="P5" i="29"/>
  <c r="P13" i="29"/>
  <c r="P4" i="29"/>
  <c r="P11" i="29"/>
  <c r="P7" i="29"/>
  <c r="P16" i="29"/>
  <c r="P9" i="29"/>
  <c r="P40" i="29"/>
  <c r="P3" i="29"/>
  <c r="P6" i="29"/>
  <c r="P8" i="29"/>
  <c r="P10" i="29"/>
  <c r="P12" i="29"/>
  <c r="P15" i="29"/>
  <c r="P14" i="29"/>
  <c r="P17" i="29"/>
  <c r="L18" i="29"/>
  <c r="R18" i="29"/>
  <c r="V18" i="29"/>
  <c r="J65" i="29"/>
  <c r="K8" i="29"/>
  <c r="K15" i="29"/>
  <c r="K3" i="29"/>
  <c r="K9" i="29"/>
  <c r="K16" i="29"/>
  <c r="J64" i="29"/>
  <c r="J55" i="29"/>
  <c r="K4" i="29"/>
  <c r="K11" i="29"/>
  <c r="K18" i="29"/>
  <c r="J62" i="29"/>
  <c r="J54" i="29"/>
  <c r="J40" i="29"/>
  <c r="K5" i="29"/>
  <c r="K13" i="29"/>
  <c r="J61" i="29"/>
  <c r="K7" i="29"/>
  <c r="K12" i="29"/>
  <c r="K17" i="29"/>
  <c r="K6" i="29"/>
  <c r="K10" i="29"/>
  <c r="J63" i="29"/>
  <c r="J53" i="29"/>
  <c r="D62" i="29"/>
  <c r="E62" i="29" s="1"/>
  <c r="B63" i="29"/>
  <c r="B53" i="29"/>
  <c r="B40" i="29"/>
  <c r="H63" i="29"/>
  <c r="H53" i="29"/>
  <c r="H40" i="29"/>
  <c r="I40" i="29" s="1"/>
  <c r="H62" i="29"/>
  <c r="H65" i="29"/>
  <c r="I65" i="29" s="1"/>
  <c r="H61" i="29"/>
  <c r="I61" i="29" s="1"/>
  <c r="H55" i="29"/>
  <c r="I55" i="29" s="1"/>
  <c r="H64" i="29"/>
  <c r="H60" i="29"/>
  <c r="I60" i="29" s="1"/>
  <c r="H54" i="29"/>
  <c r="I54" i="29" s="1"/>
  <c r="F65" i="29"/>
  <c r="G65" i="29" s="1"/>
  <c r="F55" i="29"/>
  <c r="G55" i="29" s="1"/>
  <c r="B62" i="29"/>
  <c r="D65" i="29"/>
  <c r="E65" i="29" s="1"/>
  <c r="D61" i="29"/>
  <c r="E61" i="29" s="1"/>
  <c r="D55" i="29"/>
  <c r="E55" i="29" s="1"/>
  <c r="D40" i="29"/>
  <c r="E40" i="29" s="1"/>
  <c r="F64" i="29"/>
  <c r="G64" i="29" s="1"/>
  <c r="F60" i="29"/>
  <c r="G60" i="29" s="1"/>
  <c r="F54" i="29"/>
  <c r="G54" i="29" s="1"/>
  <c r="F61" i="29"/>
  <c r="G61" i="29" s="1"/>
  <c r="G5" i="29"/>
  <c r="B65" i="29"/>
  <c r="B61" i="29"/>
  <c r="B55" i="29"/>
  <c r="D64" i="29"/>
  <c r="E64" i="29" s="1"/>
  <c r="D60" i="29"/>
  <c r="E60" i="29" s="1"/>
  <c r="D54" i="29"/>
  <c r="E54" i="29" s="1"/>
  <c r="F63" i="29"/>
  <c r="G63" i="29" s="1"/>
  <c r="F53" i="29"/>
  <c r="G53" i="29" s="1"/>
  <c r="F40" i="29"/>
  <c r="G40" i="29" s="1"/>
  <c r="G9" i="29"/>
  <c r="B64" i="29"/>
  <c r="B60" i="29"/>
  <c r="B54" i="29"/>
  <c r="D63" i="29"/>
  <c r="D53" i="29"/>
  <c r="E53" i="29" s="1"/>
  <c r="F62" i="29"/>
  <c r="G62" i="29" s="1"/>
  <c r="G13" i="29"/>
  <c r="I18" i="29"/>
  <c r="G16" i="29"/>
  <c r="G12" i="29"/>
  <c r="G8" i="29"/>
  <c r="G4" i="29"/>
  <c r="I16" i="29"/>
  <c r="G18" i="29"/>
  <c r="G15" i="29"/>
  <c r="G11" i="29"/>
  <c r="G7" i="29"/>
  <c r="G14" i="29"/>
  <c r="G10" i="29"/>
  <c r="G6" i="29"/>
  <c r="I17" i="29"/>
  <c r="G17" i="29"/>
  <c r="E17" i="29"/>
  <c r="C17" i="29"/>
  <c r="E16" i="29"/>
  <c r="I15" i="29"/>
  <c r="C7" i="29"/>
  <c r="C16" i="29"/>
  <c r="E15" i="29"/>
  <c r="C15" i="29"/>
  <c r="I14" i="29"/>
  <c r="E14" i="29"/>
  <c r="E13" i="29"/>
  <c r="C10" i="29"/>
  <c r="C5" i="29"/>
  <c r="I13" i="29"/>
  <c r="C13" i="29"/>
  <c r="I3" i="29"/>
  <c r="I9" i="29"/>
  <c r="C9" i="29"/>
  <c r="I8" i="29"/>
  <c r="E12" i="29"/>
  <c r="C18" i="29"/>
  <c r="C6" i="29"/>
  <c r="I12" i="29"/>
  <c r="I6" i="29"/>
  <c r="E11" i="29"/>
  <c r="I10" i="29"/>
  <c r="I5" i="29"/>
  <c r="E4" i="29"/>
  <c r="I4" i="29"/>
  <c r="E8" i="29"/>
  <c r="E3" i="29"/>
  <c r="I11" i="29"/>
  <c r="I7" i="29"/>
  <c r="E7" i="29"/>
  <c r="C12" i="29"/>
  <c r="C8" i="29"/>
  <c r="C4" i="29"/>
  <c r="C3" i="29"/>
  <c r="C11" i="29"/>
  <c r="E18" i="29"/>
  <c r="E10" i="29"/>
  <c r="E6" i="29"/>
  <c r="E9" i="29"/>
  <c r="AY64" i="29" l="1"/>
  <c r="AZ64" i="29" s="1"/>
  <c r="AL60" i="29"/>
  <c r="AM60" i="29" s="1"/>
  <c r="AY40" i="29"/>
  <c r="AZ40" i="29" s="1"/>
  <c r="AL54" i="29"/>
  <c r="AM54" i="29" s="1"/>
  <c r="AY63" i="29"/>
  <c r="AZ63" i="29" s="1"/>
  <c r="AE54" i="29"/>
  <c r="AL62" i="29"/>
  <c r="AM62" i="29" s="1"/>
  <c r="AL63" i="29"/>
  <c r="AM63" i="29" s="1"/>
  <c r="AY53" i="29"/>
  <c r="AZ53" i="29" s="1"/>
  <c r="AK60" i="29"/>
  <c r="AY62" i="29"/>
  <c r="AZ62" i="29" s="1"/>
  <c r="AY60" i="29"/>
  <c r="AZ60" i="29" s="1"/>
  <c r="AL65" i="29"/>
  <c r="AM65" i="29" s="1"/>
  <c r="AY65" i="29"/>
  <c r="AZ65" i="29" s="1"/>
  <c r="AL40" i="29"/>
  <c r="AM40" i="29" s="1"/>
  <c r="AL64" i="29"/>
  <c r="AM64" i="29" s="1"/>
  <c r="AL53" i="29"/>
  <c r="AM53" i="29" s="1"/>
  <c r="AL55" i="29"/>
  <c r="AM55" i="29" s="1"/>
  <c r="AC65" i="29"/>
  <c r="AR60" i="29"/>
  <c r="AY55" i="29"/>
  <c r="AZ55" i="29" s="1"/>
  <c r="AY54" i="29"/>
  <c r="AZ54" i="29" s="1"/>
  <c r="AL61" i="29"/>
  <c r="AM61" i="29" s="1"/>
  <c r="AY61" i="29"/>
  <c r="AZ61" i="29" s="1"/>
  <c r="AR65" i="29"/>
  <c r="AM17" i="29"/>
  <c r="AZ5" i="29"/>
  <c r="AZ6" i="29"/>
  <c r="AK63" i="29"/>
  <c r="AK65" i="29"/>
  <c r="AM15" i="29"/>
  <c r="AZ14" i="29"/>
  <c r="AM5" i="29"/>
  <c r="AZ16" i="29"/>
  <c r="AM11" i="29"/>
  <c r="AZ10" i="29"/>
  <c r="AK62" i="29"/>
  <c r="AK53" i="29"/>
  <c r="AX60" i="29"/>
  <c r="AM9" i="29"/>
  <c r="AZ17" i="29"/>
  <c r="AZ8" i="29"/>
  <c r="AK64" i="29"/>
  <c r="AZ13" i="29"/>
  <c r="AZ4" i="29"/>
  <c r="AK55" i="29"/>
  <c r="AX64" i="29"/>
  <c r="AZ9" i="29"/>
  <c r="AX40" i="29"/>
  <c r="AZ15" i="29"/>
  <c r="AM10" i="29"/>
  <c r="AX61" i="29"/>
  <c r="AZ3" i="29"/>
  <c r="AX65" i="29"/>
  <c r="AX62" i="29"/>
  <c r="AX55" i="29"/>
  <c r="AX54" i="29"/>
  <c r="AX53" i="29"/>
  <c r="AZ11" i="29"/>
  <c r="AK54" i="29"/>
  <c r="AM16" i="29"/>
  <c r="AM8" i="29"/>
  <c r="AM12" i="29"/>
  <c r="AM4" i="29"/>
  <c r="AZ7" i="29"/>
  <c r="AK40" i="29"/>
  <c r="AM14" i="29"/>
  <c r="AM6" i="29"/>
  <c r="AK61" i="29"/>
  <c r="AM7" i="29"/>
  <c r="AM13" i="29"/>
  <c r="AX63" i="29"/>
  <c r="AM3" i="29"/>
  <c r="AZ12" i="29"/>
  <c r="AZ18" i="29"/>
  <c r="Y63" i="29"/>
  <c r="Z63" i="29" s="1"/>
  <c r="P63" i="29"/>
  <c r="Y65" i="29"/>
  <c r="Z65" i="29" s="1"/>
  <c r="Y64" i="29"/>
  <c r="Z64" i="29" s="1"/>
  <c r="AM18" i="29"/>
  <c r="Y62" i="29"/>
  <c r="Z62" i="29" s="1"/>
  <c r="Y54" i="29"/>
  <c r="Z54" i="29" s="1"/>
  <c r="Y60" i="29"/>
  <c r="Z60" i="29" s="1"/>
  <c r="P62" i="29"/>
  <c r="Y61" i="29"/>
  <c r="Z61" i="29" s="1"/>
  <c r="Y40" i="29"/>
  <c r="Z40" i="29" s="1"/>
  <c r="L54" i="29"/>
  <c r="L65" i="29"/>
  <c r="P65" i="29"/>
  <c r="Y53" i="29"/>
  <c r="Z53" i="29" s="1"/>
  <c r="Y55" i="29"/>
  <c r="Z55" i="29" s="1"/>
  <c r="L60" i="29"/>
  <c r="L63" i="29"/>
  <c r="X61" i="29"/>
  <c r="X63" i="29"/>
  <c r="Z5" i="29"/>
  <c r="X62" i="29"/>
  <c r="Z14" i="29"/>
  <c r="Z15" i="29"/>
  <c r="Z3" i="29"/>
  <c r="X65" i="29"/>
  <c r="Z12" i="29"/>
  <c r="X55" i="29"/>
  <c r="X60" i="29"/>
  <c r="X54" i="29"/>
  <c r="Z11" i="29"/>
  <c r="Z9" i="29"/>
  <c r="Z7" i="29"/>
  <c r="X53" i="29"/>
  <c r="Z16" i="29"/>
  <c r="Z13" i="29"/>
  <c r="Z4" i="29"/>
  <c r="Z10" i="29"/>
  <c r="Z8" i="29"/>
  <c r="Z6" i="29"/>
  <c r="Z17" i="29"/>
  <c r="X40" i="29"/>
  <c r="X64" i="29"/>
  <c r="C53" i="29"/>
  <c r="L53" i="29"/>
  <c r="L64" i="29"/>
  <c r="L55" i="29"/>
  <c r="L62" i="29"/>
  <c r="L40" i="29"/>
  <c r="L61" i="29"/>
  <c r="Z18" i="29"/>
  <c r="K64" i="29"/>
  <c r="K53" i="29"/>
  <c r="K62" i="29"/>
  <c r="K55" i="29"/>
  <c r="K40" i="29"/>
  <c r="K60" i="29"/>
  <c r="K63" i="29"/>
  <c r="K61" i="29"/>
  <c r="K54" i="29"/>
  <c r="K65" i="29"/>
  <c r="C54" i="29"/>
  <c r="C60" i="29"/>
  <c r="C64" i="29"/>
  <c r="C55" i="29"/>
  <c r="C65" i="29"/>
  <c r="C62" i="29"/>
  <c r="C63" i="29"/>
  <c r="C61" i="29"/>
  <c r="C40" i="29"/>
  <c r="I62" i="29"/>
  <c r="E63" i="29"/>
  <c r="I53" i="29"/>
  <c r="I64" i="29"/>
  <c r="I63" i="29"/>
  <c r="M16" i="29" l="1"/>
  <c r="M17" i="29"/>
  <c r="M15" i="29"/>
  <c r="M13" i="29"/>
  <c r="M14" i="29"/>
  <c r="M8" i="29"/>
  <c r="M11" i="29"/>
  <c r="M18" i="29"/>
  <c r="M12" i="29"/>
  <c r="M10" i="29"/>
  <c r="M7" i="29"/>
  <c r="M4" i="29"/>
  <c r="M3" i="29"/>
  <c r="M5" i="29"/>
  <c r="M9" i="29"/>
  <c r="M6" i="29"/>
  <c r="O24" i="29"/>
  <c r="Q23" i="29"/>
  <c r="R23" i="29" s="1"/>
  <c r="Q27" i="29" l="1"/>
  <c r="R27" i="29" s="1"/>
  <c r="O27" i="29"/>
  <c r="H21" i="29"/>
  <c r="I21" i="29" s="1"/>
  <c r="AH21" i="29"/>
  <c r="AI21" i="29" s="1"/>
  <c r="H29" i="29"/>
  <c r="I29" i="29" s="1"/>
  <c r="S29" i="29"/>
  <c r="T29" i="29" s="1"/>
  <c r="AJ29" i="29"/>
  <c r="AK29" i="29" s="1"/>
  <c r="W29" i="29"/>
  <c r="X29" i="29" s="1"/>
  <c r="D46" i="29"/>
  <c r="E46" i="29" s="1"/>
  <c r="AF46" i="29"/>
  <c r="AG46" i="29" s="1"/>
  <c r="AQ46" i="29"/>
  <c r="AR46" i="29" s="1"/>
  <c r="AD46" i="29"/>
  <c r="AE46" i="29" s="1"/>
  <c r="AO56" i="29"/>
  <c r="AP56" i="29" s="1"/>
  <c r="AD56" i="29"/>
  <c r="AE56" i="29" s="1"/>
  <c r="D56" i="29"/>
  <c r="E56" i="29" s="1"/>
  <c r="B56" i="29"/>
  <c r="C56" i="29" s="1"/>
  <c r="F56" i="29"/>
  <c r="G56" i="29" s="1"/>
  <c r="O56" i="29"/>
  <c r="P56" i="29" s="1"/>
  <c r="AS56" i="29"/>
  <c r="AT56" i="29" s="1"/>
  <c r="AF56" i="29"/>
  <c r="AG56" i="29" s="1"/>
  <c r="AQ56" i="29"/>
  <c r="AR56" i="29" s="1"/>
  <c r="AB56" i="29"/>
  <c r="AC56" i="29" s="1"/>
  <c r="Q56" i="29"/>
  <c r="R56" i="29" s="1"/>
  <c r="AS42" i="29"/>
  <c r="AT42" i="29" s="1"/>
  <c r="U42" i="29"/>
  <c r="V42" i="29" s="1"/>
  <c r="S42" i="29"/>
  <c r="T42" i="29" s="1"/>
  <c r="AH42" i="29"/>
  <c r="AI42" i="29" s="1"/>
  <c r="AF42" i="29"/>
  <c r="AG42" i="29" s="1"/>
  <c r="H42" i="29"/>
  <c r="I42" i="29" s="1"/>
  <c r="AU50" i="29"/>
  <c r="AV50" i="29" s="1"/>
  <c r="AQ50" i="29"/>
  <c r="AR50" i="29" s="1"/>
  <c r="Q50" i="29"/>
  <c r="R50" i="29" s="1"/>
  <c r="AH50" i="29"/>
  <c r="AI50" i="29" s="1"/>
  <c r="AD50" i="29"/>
  <c r="AE50" i="29" s="1"/>
  <c r="AS50" i="29"/>
  <c r="AT50" i="29" s="1"/>
  <c r="AF50" i="29"/>
  <c r="AG50" i="29" s="1"/>
  <c r="D50" i="29"/>
  <c r="E50" i="29" s="1"/>
  <c r="H50" i="29"/>
  <c r="I50" i="29" s="1"/>
  <c r="AQ43" i="29"/>
  <c r="AR43" i="29" s="1"/>
  <c r="D43" i="29"/>
  <c r="E43" i="29" s="1"/>
  <c r="AS35" i="29"/>
  <c r="AT35" i="29" s="1"/>
  <c r="S35" i="29"/>
  <c r="T35" i="29" s="1"/>
  <c r="AU35" i="29"/>
  <c r="AV35" i="29" s="1"/>
  <c r="AF35" i="29"/>
  <c r="AG35" i="29" s="1"/>
  <c r="AH35" i="29"/>
  <c r="AI35" i="29" s="1"/>
  <c r="O23" i="29"/>
  <c r="O32" i="29"/>
  <c r="O21" i="29"/>
  <c r="AQ59" i="29"/>
  <c r="AR59" i="29" s="1"/>
  <c r="AF59" i="29"/>
  <c r="AG59" i="29" s="1"/>
  <c r="AS59" i="29"/>
  <c r="AT59" i="29" s="1"/>
  <c r="AU59" i="29"/>
  <c r="AV59" i="29" s="1"/>
  <c r="AH59" i="29"/>
  <c r="AI59" i="29" s="1"/>
  <c r="U59" i="29"/>
  <c r="V59" i="29" s="1"/>
  <c r="J59" i="29"/>
  <c r="K59" i="29" s="1"/>
  <c r="B59" i="29"/>
  <c r="AW59" i="29"/>
  <c r="AX59" i="29" s="1"/>
  <c r="AO59" i="29"/>
  <c r="S59" i="29"/>
  <c r="T59" i="29" s="1"/>
  <c r="F59" i="29"/>
  <c r="G59" i="29" s="1"/>
  <c r="D59" i="29"/>
  <c r="E59" i="29" s="1"/>
  <c r="AJ59" i="29"/>
  <c r="AK59" i="29" s="1"/>
  <c r="Q59" i="29"/>
  <c r="R59" i="29" s="1"/>
  <c r="O59" i="29"/>
  <c r="H59" i="29"/>
  <c r="I59" i="29" s="1"/>
  <c r="AD59" i="29"/>
  <c r="AE59" i="29" s="1"/>
  <c r="AB59" i="29"/>
  <c r="W59" i="29"/>
  <c r="X59" i="29" s="1"/>
  <c r="O30" i="29"/>
  <c r="O28" i="29"/>
  <c r="O31" i="29"/>
  <c r="O25" i="29"/>
  <c r="O22" i="29"/>
  <c r="O29" i="29"/>
  <c r="O26" i="29"/>
  <c r="AJ42" i="29"/>
  <c r="AK42" i="29" s="1"/>
  <c r="W35" i="29"/>
  <c r="X35" i="29" s="1"/>
  <c r="AJ50" i="29"/>
  <c r="AK50" i="29" s="1"/>
  <c r="W43" i="29"/>
  <c r="X43" i="29" s="1"/>
  <c r="AJ43" i="29"/>
  <c r="AK43" i="29" s="1"/>
  <c r="J43" i="29"/>
  <c r="K43" i="29" s="1"/>
  <c r="AJ45" i="29"/>
  <c r="AK45" i="29" s="1"/>
  <c r="F35" i="29"/>
  <c r="G35" i="29" s="1"/>
  <c r="AJ35" i="29"/>
  <c r="AK35" i="29" s="1"/>
  <c r="H35" i="29"/>
  <c r="I35" i="29" s="1"/>
  <c r="AH29" i="29"/>
  <c r="AI29" i="29" s="1"/>
  <c r="AF29" i="29"/>
  <c r="AG29" i="29" s="1"/>
  <c r="Q46" i="29"/>
  <c r="R46" i="29" s="1"/>
  <c r="AS46" i="29"/>
  <c r="AT46" i="29" s="1"/>
  <c r="AD51" i="29"/>
  <c r="AE51" i="29" s="1"/>
  <c r="S51" i="29"/>
  <c r="T51" i="29" s="1"/>
  <c r="AU52" i="29"/>
  <c r="AV52" i="29" s="1"/>
  <c r="J51" i="29"/>
  <c r="K51" i="29" s="1"/>
  <c r="AJ51" i="29"/>
  <c r="AK51" i="29" s="1"/>
  <c r="AB51" i="29"/>
  <c r="O51" i="29"/>
  <c r="D51" i="29"/>
  <c r="E51" i="29" s="1"/>
  <c r="Q51" i="29"/>
  <c r="R51" i="29" s="1"/>
  <c r="U51" i="29"/>
  <c r="V51" i="29" s="1"/>
  <c r="W51" i="29"/>
  <c r="X51" i="29" s="1"/>
  <c r="AS51" i="29"/>
  <c r="AT51" i="29" s="1"/>
  <c r="AQ51" i="29"/>
  <c r="AR51" i="29" s="1"/>
  <c r="AU51" i="29"/>
  <c r="AV51" i="29" s="1"/>
  <c r="AH51" i="29"/>
  <c r="AI51" i="29" s="1"/>
  <c r="B51" i="29"/>
  <c r="H51" i="29"/>
  <c r="I51" i="29" s="1"/>
  <c r="F51" i="29"/>
  <c r="G51" i="29" s="1"/>
  <c r="AO51" i="29"/>
  <c r="AF51" i="29"/>
  <c r="AG51" i="29" s="1"/>
  <c r="AW51" i="29"/>
  <c r="AX51" i="29" s="1"/>
  <c r="AU45" i="29"/>
  <c r="AV45" i="29" s="1"/>
  <c r="H45" i="29"/>
  <c r="I45" i="29" s="1"/>
  <c r="H38" i="29"/>
  <c r="I38" i="29" s="1"/>
  <c r="AU38" i="29"/>
  <c r="AV38" i="29" s="1"/>
  <c r="AH45" i="29"/>
  <c r="AI45" i="29" s="1"/>
  <c r="AH38" i="29"/>
  <c r="AI38" i="29" s="1"/>
  <c r="U56" i="29"/>
  <c r="V56" i="29" s="1"/>
  <c r="AH56" i="29"/>
  <c r="AI56" i="29" s="1"/>
  <c r="H56" i="29"/>
  <c r="I56" i="29" s="1"/>
  <c r="AU56" i="29"/>
  <c r="AV56" i="29" s="1"/>
  <c r="AU34" i="29"/>
  <c r="AV34" i="29" s="1"/>
  <c r="AD39" i="29"/>
  <c r="AE39" i="29" s="1"/>
  <c r="H37" i="29"/>
  <c r="I37" i="29" s="1"/>
  <c r="AH37" i="29"/>
  <c r="AI37" i="29" s="1"/>
  <c r="U37" i="29"/>
  <c r="V37" i="29" s="1"/>
  <c r="AU37" i="29"/>
  <c r="AV37" i="29" s="1"/>
  <c r="H43" i="29"/>
  <c r="I43" i="29" s="1"/>
  <c r="U43" i="29"/>
  <c r="V43" i="29" s="1"/>
  <c r="AU43" i="29"/>
  <c r="AV43" i="29" s="1"/>
  <c r="AH43" i="29"/>
  <c r="AI43" i="29" s="1"/>
  <c r="U21" i="29"/>
  <c r="V21" i="29" s="1"/>
  <c r="AU21" i="29"/>
  <c r="AV21" i="29" s="1"/>
  <c r="AU41" i="29"/>
  <c r="AV41" i="29" s="1"/>
  <c r="AW43" i="29"/>
  <c r="AX43" i="29" s="1"/>
  <c r="AD43" i="29"/>
  <c r="AE43" i="29" s="1"/>
  <c r="AW35" i="29"/>
  <c r="AX35" i="29" s="1"/>
  <c r="U35" i="29"/>
  <c r="V35" i="29" s="1"/>
  <c r="AU29" i="29"/>
  <c r="AV29" i="29" s="1"/>
  <c r="AS29" i="29"/>
  <c r="AT29" i="29" s="1"/>
  <c r="AW42" i="29"/>
  <c r="AX42" i="29" s="1"/>
  <c r="AU42" i="29"/>
  <c r="AV42" i="29" s="1"/>
  <c r="AU26" i="29"/>
  <c r="AV26" i="29" s="1"/>
  <c r="AQ45" i="29"/>
  <c r="AR45" i="29" s="1"/>
  <c r="AU31" i="29"/>
  <c r="AV31" i="29" s="1"/>
  <c r="AU22" i="29"/>
  <c r="AV22" i="29" s="1"/>
  <c r="AS22" i="29"/>
  <c r="AT22" i="29" s="1"/>
  <c r="AJ37" i="29"/>
  <c r="AK37" i="29" s="1"/>
  <c r="AW49" i="29"/>
  <c r="AX49" i="29" s="1"/>
  <c r="AU49" i="29"/>
  <c r="AV49" i="29" s="1"/>
  <c r="AU23" i="29"/>
  <c r="AV23" i="29" s="1"/>
  <c r="AU30" i="29"/>
  <c r="AV30" i="29" s="1"/>
  <c r="AU27" i="29"/>
  <c r="AV27" i="29" s="1"/>
  <c r="AW25" i="29"/>
  <c r="AX25" i="29" s="1"/>
  <c r="AU25" i="29"/>
  <c r="AV25" i="29" s="1"/>
  <c r="AS25" i="29"/>
  <c r="AQ25" i="29"/>
  <c r="AR25" i="29" s="1"/>
  <c r="AO25" i="29"/>
  <c r="AP25" i="29" s="1"/>
  <c r="AW22" i="29"/>
  <c r="AX22" i="29" s="1"/>
  <c r="AQ22" i="29"/>
  <c r="AR22" i="29" s="1"/>
  <c r="AO22" i="29"/>
  <c r="AB38" i="29"/>
  <c r="AC38" i="29" s="1"/>
  <c r="AO38" i="29"/>
  <c r="AO46" i="29"/>
  <c r="AS38" i="29"/>
  <c r="AT38" i="29" s="1"/>
  <c r="AW56" i="29"/>
  <c r="AO42" i="29"/>
  <c r="AW50" i="29"/>
  <c r="AX50" i="29" s="1"/>
  <c r="AO50" i="29"/>
  <c r="AS49" i="29"/>
  <c r="AT49" i="29" s="1"/>
  <c r="AQ49" i="29"/>
  <c r="AR49" i="29" s="1"/>
  <c r="AO49" i="29"/>
  <c r="AW26" i="29"/>
  <c r="AX26" i="29" s="1"/>
  <c r="AS26" i="29"/>
  <c r="AT26" i="29" s="1"/>
  <c r="AQ26" i="29"/>
  <c r="AR26" i="29" s="1"/>
  <c r="AO26" i="29"/>
  <c r="AD24" i="29"/>
  <c r="AE24" i="29" s="1"/>
  <c r="AS24" i="29"/>
  <c r="AT24" i="29" s="1"/>
  <c r="AO24" i="29"/>
  <c r="AW24" i="29"/>
  <c r="AX24" i="29" s="1"/>
  <c r="AU24" i="29"/>
  <c r="AQ24" i="29"/>
  <c r="AR24" i="29" s="1"/>
  <c r="AW57" i="29"/>
  <c r="AX57" i="29" s="1"/>
  <c r="AU57" i="29"/>
  <c r="AV57" i="29" s="1"/>
  <c r="AS57" i="29"/>
  <c r="AT57" i="29" s="1"/>
  <c r="AQ57" i="29"/>
  <c r="AR57" i="29" s="1"/>
  <c r="AO57" i="29"/>
  <c r="AW41" i="29"/>
  <c r="AX41" i="29" s="1"/>
  <c r="AS41" i="29"/>
  <c r="AT41" i="29" s="1"/>
  <c r="AQ41" i="29"/>
  <c r="AR41" i="29" s="1"/>
  <c r="AO41" i="29"/>
  <c r="AS21" i="29"/>
  <c r="AU47" i="29"/>
  <c r="AV47" i="29" s="1"/>
  <c r="AQ47" i="29"/>
  <c r="AR47" i="29" s="1"/>
  <c r="AO47" i="29"/>
  <c r="AW47" i="29"/>
  <c r="AX47" i="29" s="1"/>
  <c r="AS47" i="29"/>
  <c r="AT47" i="29" s="1"/>
  <c r="AW45" i="29"/>
  <c r="AX45" i="29" s="1"/>
  <c r="AS45" i="29"/>
  <c r="AT45" i="29" s="1"/>
  <c r="AO43" i="29"/>
  <c r="AW38" i="29"/>
  <c r="AX38" i="29" s="1"/>
  <c r="AQ38" i="29"/>
  <c r="AR38" i="29" s="1"/>
  <c r="AO35" i="29"/>
  <c r="AD42" i="29"/>
  <c r="AE42" i="29" s="1"/>
  <c r="AQ42" i="29"/>
  <c r="AR42" i="29" s="1"/>
  <c r="AW29" i="29"/>
  <c r="AX29" i="29" s="1"/>
  <c r="AO29" i="29"/>
  <c r="AD21" i="29"/>
  <c r="AE21" i="29" s="1"/>
  <c r="AQ21" i="29"/>
  <c r="AW34" i="29"/>
  <c r="AX34" i="29" s="1"/>
  <c r="AS34" i="29"/>
  <c r="AT34" i="29" s="1"/>
  <c r="AQ34" i="29"/>
  <c r="AR34" i="29" s="1"/>
  <c r="AO34" i="29"/>
  <c r="AB34" i="29"/>
  <c r="AC34" i="29" s="1"/>
  <c r="AQ37" i="29"/>
  <c r="AR37" i="29" s="1"/>
  <c r="AW48" i="29"/>
  <c r="AX48" i="29" s="1"/>
  <c r="AU48" i="29"/>
  <c r="AV48" i="29" s="1"/>
  <c r="AS48" i="29"/>
  <c r="AT48" i="29" s="1"/>
  <c r="AQ48" i="29"/>
  <c r="AR48" i="29" s="1"/>
  <c r="AO48" i="29"/>
  <c r="AQ29" i="29"/>
  <c r="AR29" i="29" s="1"/>
  <c r="AW23" i="29"/>
  <c r="AX23" i="29" s="1"/>
  <c r="AS23" i="29"/>
  <c r="AT23" i="29" s="1"/>
  <c r="AQ23" i="29"/>
  <c r="AR23" i="29" s="1"/>
  <c r="AO23" i="29"/>
  <c r="AW46" i="29"/>
  <c r="AX46" i="29" s="1"/>
  <c r="AU46" i="29"/>
  <c r="AV46" i="29" s="1"/>
  <c r="AU32" i="29"/>
  <c r="AV32" i="29" s="1"/>
  <c r="AS32" i="29"/>
  <c r="AT32" i="29" s="1"/>
  <c r="AD32" i="29"/>
  <c r="AE32" i="29" s="1"/>
  <c r="AO32" i="29"/>
  <c r="AW32" i="29"/>
  <c r="AX32" i="29" s="1"/>
  <c r="AQ32" i="29"/>
  <c r="AR32" i="29" s="1"/>
  <c r="AO21" i="29"/>
  <c r="AS43" i="29"/>
  <c r="AT43" i="29" s="1"/>
  <c r="AW44" i="29"/>
  <c r="AX44" i="29" s="1"/>
  <c r="AU44" i="29"/>
  <c r="AV44" i="29" s="1"/>
  <c r="AS44" i="29"/>
  <c r="AT44" i="29" s="1"/>
  <c r="AQ44" i="29"/>
  <c r="AR44" i="29" s="1"/>
  <c r="AO44" i="29"/>
  <c r="AD35" i="29"/>
  <c r="AE35" i="29" s="1"/>
  <c r="AQ35" i="29"/>
  <c r="AR35" i="29" s="1"/>
  <c r="AU58" i="29"/>
  <c r="AV58" i="29" s="1"/>
  <c r="AQ58" i="29"/>
  <c r="AR58" i="29" s="1"/>
  <c r="AW58" i="29"/>
  <c r="AX58" i="29" s="1"/>
  <c r="AS58" i="29"/>
  <c r="AT58" i="29" s="1"/>
  <c r="AO58" i="29"/>
  <c r="AB52" i="29"/>
  <c r="AC52" i="29" s="1"/>
  <c r="AW52" i="29"/>
  <c r="AX52" i="29" s="1"/>
  <c r="AS52" i="29"/>
  <c r="AT52" i="29" s="1"/>
  <c r="AQ52" i="29"/>
  <c r="AR52" i="29" s="1"/>
  <c r="AO52" i="29"/>
  <c r="AW30" i="29"/>
  <c r="AX30" i="29" s="1"/>
  <c r="AS30" i="29"/>
  <c r="AT30" i="29" s="1"/>
  <c r="AQ30" i="29"/>
  <c r="AR30" i="29" s="1"/>
  <c r="AO30" i="29"/>
  <c r="AW27" i="29"/>
  <c r="AX27" i="29" s="1"/>
  <c r="AS27" i="29"/>
  <c r="AT27" i="29" s="1"/>
  <c r="AQ27" i="29"/>
  <c r="AR27" i="29" s="1"/>
  <c r="AO27" i="29"/>
  <c r="AO28" i="29"/>
  <c r="AU28" i="29"/>
  <c r="AV28" i="29" s="1"/>
  <c r="AS28" i="29"/>
  <c r="AT28" i="29" s="1"/>
  <c r="AW28" i="29"/>
  <c r="AX28" i="29" s="1"/>
  <c r="AQ28" i="29"/>
  <c r="AR28" i="29" s="1"/>
  <c r="AW31" i="29"/>
  <c r="AX31" i="29" s="1"/>
  <c r="AS31" i="29"/>
  <c r="AT31" i="29" s="1"/>
  <c r="AQ31" i="29"/>
  <c r="AR31" i="29" s="1"/>
  <c r="AO31" i="29"/>
  <c r="AQ36" i="29"/>
  <c r="AR36" i="29" s="1"/>
  <c r="AW36" i="29"/>
  <c r="AX36" i="29" s="1"/>
  <c r="AU36" i="29"/>
  <c r="AV36" i="29" s="1"/>
  <c r="AS36" i="29"/>
  <c r="AT36" i="29" s="1"/>
  <c r="AO36" i="29"/>
  <c r="AO39" i="29"/>
  <c r="AU39" i="29"/>
  <c r="AV39" i="29" s="1"/>
  <c r="AS39" i="29"/>
  <c r="AT39" i="29" s="1"/>
  <c r="AQ39" i="29"/>
  <c r="AR39" i="29" s="1"/>
  <c r="AW39" i="29"/>
  <c r="AX39" i="29" s="1"/>
  <c r="AW21" i="29"/>
  <c r="AO45" i="29"/>
  <c r="AS37" i="29"/>
  <c r="AW33" i="29"/>
  <c r="AX33" i="29" s="1"/>
  <c r="AU33" i="29"/>
  <c r="AV33" i="29" s="1"/>
  <c r="AS33" i="29"/>
  <c r="AT33" i="29" s="1"/>
  <c r="AQ33" i="29"/>
  <c r="AO33" i="29"/>
  <c r="AP33" i="29" s="1"/>
  <c r="AW37" i="29"/>
  <c r="AX37" i="29" s="1"/>
  <c r="AO37" i="29"/>
  <c r="AP37" i="29" s="1"/>
  <c r="O34" i="29"/>
  <c r="P34" i="29" s="1"/>
  <c r="AD34" i="29"/>
  <c r="AF34" i="29"/>
  <c r="AG34" i="29" s="1"/>
  <c r="AH34" i="29"/>
  <c r="AI34" i="29" s="1"/>
  <c r="AJ34" i="29"/>
  <c r="AK34" i="29" s="1"/>
  <c r="S46" i="29"/>
  <c r="T46" i="29" s="1"/>
  <c r="AB46" i="29"/>
  <c r="AD37" i="29"/>
  <c r="AE37" i="29" s="1"/>
  <c r="S56" i="29"/>
  <c r="T56" i="29" s="1"/>
  <c r="AJ56" i="29"/>
  <c r="W50" i="29"/>
  <c r="X50" i="29" s="1"/>
  <c r="AB50" i="29"/>
  <c r="AB49" i="29"/>
  <c r="AD49" i="29"/>
  <c r="AE49" i="29" s="1"/>
  <c r="AF49" i="29"/>
  <c r="AG49" i="29" s="1"/>
  <c r="AH49" i="29"/>
  <c r="AI49" i="29" s="1"/>
  <c r="AJ49" i="29"/>
  <c r="AK49" i="29" s="1"/>
  <c r="AB26" i="29"/>
  <c r="AD26" i="29"/>
  <c r="AE26" i="29" s="1"/>
  <c r="AF26" i="29"/>
  <c r="AG26" i="29" s="1"/>
  <c r="AH26" i="29"/>
  <c r="AI26" i="29" s="1"/>
  <c r="AJ26" i="29"/>
  <c r="AK26" i="29" s="1"/>
  <c r="O57" i="29"/>
  <c r="P57" i="29" s="1"/>
  <c r="AB57" i="29"/>
  <c r="AD57" i="29"/>
  <c r="AE57" i="29" s="1"/>
  <c r="AF57" i="29"/>
  <c r="AG57" i="29" s="1"/>
  <c r="AH57" i="29"/>
  <c r="AI57" i="29" s="1"/>
  <c r="AJ57" i="29"/>
  <c r="AK57" i="29" s="1"/>
  <c r="AB41" i="29"/>
  <c r="AD41" i="29"/>
  <c r="AE41" i="29" s="1"/>
  <c r="AF41" i="29"/>
  <c r="AG41" i="29" s="1"/>
  <c r="AH41" i="29"/>
  <c r="AI41" i="29" s="1"/>
  <c r="AJ41" i="29"/>
  <c r="AK41" i="29" s="1"/>
  <c r="AF21" i="29"/>
  <c r="AB47" i="29"/>
  <c r="AD47" i="29"/>
  <c r="AE47" i="29" s="1"/>
  <c r="AF47" i="29"/>
  <c r="AG47" i="29" s="1"/>
  <c r="AH47" i="29"/>
  <c r="AI47" i="29" s="1"/>
  <c r="AJ47" i="29"/>
  <c r="AK47" i="29" s="1"/>
  <c r="Q43" i="29"/>
  <c r="R43" i="29" s="1"/>
  <c r="AB43" i="29"/>
  <c r="AJ38" i="29"/>
  <c r="AK38" i="29" s="1"/>
  <c r="U38" i="29"/>
  <c r="V38" i="29" s="1"/>
  <c r="AD38" i="29"/>
  <c r="AE38" i="29" s="1"/>
  <c r="O48" i="29"/>
  <c r="P48" i="29" s="1"/>
  <c r="AH48" i="29"/>
  <c r="AI48" i="29" s="1"/>
  <c r="AF48" i="29"/>
  <c r="AG48" i="29" s="1"/>
  <c r="AJ48" i="29"/>
  <c r="AK48" i="29" s="1"/>
  <c r="AB48" i="29"/>
  <c r="AD48" i="29"/>
  <c r="AE48" i="29" s="1"/>
  <c r="AD45" i="29"/>
  <c r="AE45" i="29" s="1"/>
  <c r="AD29" i="29"/>
  <c r="AE29" i="29" s="1"/>
  <c r="AD28" i="29"/>
  <c r="AE28" i="29" s="1"/>
  <c r="AB23" i="29"/>
  <c r="AD23" i="29"/>
  <c r="AE23" i="29" s="1"/>
  <c r="AF23" i="29"/>
  <c r="AG23" i="29" s="1"/>
  <c r="AH23" i="29"/>
  <c r="AI23" i="29" s="1"/>
  <c r="AJ23" i="29"/>
  <c r="AK23" i="29" s="1"/>
  <c r="AJ46" i="29"/>
  <c r="AK46" i="29" s="1"/>
  <c r="AH46" i="29"/>
  <c r="AI46" i="29" s="1"/>
  <c r="AB32" i="29"/>
  <c r="AF32" i="29"/>
  <c r="AG32" i="29" s="1"/>
  <c r="AH32" i="29"/>
  <c r="AI32" i="29" s="1"/>
  <c r="AJ32" i="29"/>
  <c r="AK32" i="29" s="1"/>
  <c r="AB21" i="29"/>
  <c r="AF43" i="29"/>
  <c r="AG43" i="29" s="1"/>
  <c r="AD44" i="29"/>
  <c r="AE44" i="29" s="1"/>
  <c r="AF44" i="29"/>
  <c r="AG44" i="29" s="1"/>
  <c r="AJ44" i="29"/>
  <c r="AK44" i="29" s="1"/>
  <c r="AB44" i="29"/>
  <c r="AH44" i="29"/>
  <c r="AI44" i="29" s="1"/>
  <c r="AJ25" i="29"/>
  <c r="AK25" i="29" s="1"/>
  <c r="AH25" i="29"/>
  <c r="AI25" i="29" s="1"/>
  <c r="AB25" i="29"/>
  <c r="AD25" i="29"/>
  <c r="AE25" i="29" s="1"/>
  <c r="AF25" i="29"/>
  <c r="AG25" i="29" s="1"/>
  <c r="AB22" i="29"/>
  <c r="AD22" i="29"/>
  <c r="AE22" i="29" s="1"/>
  <c r="AF22" i="29"/>
  <c r="AG22" i="29" s="1"/>
  <c r="AH22" i="29"/>
  <c r="AJ22" i="29"/>
  <c r="AK22" i="29" s="1"/>
  <c r="U29" i="29"/>
  <c r="V29" i="29" s="1"/>
  <c r="AB29" i="29"/>
  <c r="AF38" i="29"/>
  <c r="AG38" i="29" s="1"/>
  <c r="AB42" i="29"/>
  <c r="AB24" i="29"/>
  <c r="AF24" i="29"/>
  <c r="AG24" i="29" s="1"/>
  <c r="AH24" i="29"/>
  <c r="AI24" i="29" s="1"/>
  <c r="AJ24" i="29"/>
  <c r="AK24" i="29" s="1"/>
  <c r="AF45" i="29"/>
  <c r="AG45" i="29" s="1"/>
  <c r="AB35" i="29"/>
  <c r="AB58" i="29"/>
  <c r="AD58" i="29"/>
  <c r="AE58" i="29" s="1"/>
  <c r="AF58" i="29"/>
  <c r="AG58" i="29" s="1"/>
  <c r="AH58" i="29"/>
  <c r="AI58" i="29" s="1"/>
  <c r="AJ58" i="29"/>
  <c r="AK58" i="29" s="1"/>
  <c r="AD52" i="29"/>
  <c r="AF52" i="29"/>
  <c r="AG52" i="29" s="1"/>
  <c r="AH52" i="29"/>
  <c r="AI52" i="29" s="1"/>
  <c r="AJ52" i="29"/>
  <c r="AK52" i="29" s="1"/>
  <c r="AB30" i="29"/>
  <c r="AD30" i="29"/>
  <c r="AE30" i="29" s="1"/>
  <c r="AF30" i="29"/>
  <c r="AG30" i="29" s="1"/>
  <c r="AH30" i="29"/>
  <c r="AI30" i="29" s="1"/>
  <c r="AJ30" i="29"/>
  <c r="AK30" i="29" s="1"/>
  <c r="AB27" i="29"/>
  <c r="AD27" i="29"/>
  <c r="AE27" i="29" s="1"/>
  <c r="AF27" i="29"/>
  <c r="AG27" i="29" s="1"/>
  <c r="AH27" i="29"/>
  <c r="AI27" i="29" s="1"/>
  <c r="AJ27" i="29"/>
  <c r="AK27" i="29" s="1"/>
  <c r="AB28" i="29"/>
  <c r="AF28" i="29"/>
  <c r="AG28" i="29" s="1"/>
  <c r="AH28" i="29"/>
  <c r="AI28" i="29" s="1"/>
  <c r="AJ28" i="29"/>
  <c r="AK28" i="29" s="1"/>
  <c r="AB31" i="29"/>
  <c r="AD31" i="29"/>
  <c r="AE31" i="29" s="1"/>
  <c r="AF31" i="29"/>
  <c r="AG31" i="29" s="1"/>
  <c r="AH31" i="29"/>
  <c r="AI31" i="29" s="1"/>
  <c r="AJ31" i="29"/>
  <c r="AK31" i="29" s="1"/>
  <c r="AB36" i="29"/>
  <c r="AD36" i="29"/>
  <c r="AE36" i="29" s="1"/>
  <c r="AF36" i="29"/>
  <c r="AG36" i="29" s="1"/>
  <c r="AH36" i="29"/>
  <c r="AI36" i="29" s="1"/>
  <c r="AJ36" i="29"/>
  <c r="AK36" i="29" s="1"/>
  <c r="AB39" i="29"/>
  <c r="AF39" i="29"/>
  <c r="AG39" i="29" s="1"/>
  <c r="AH39" i="29"/>
  <c r="AI39" i="29" s="1"/>
  <c r="AJ39" i="29"/>
  <c r="AK39" i="29" s="1"/>
  <c r="AJ21" i="29"/>
  <c r="AB45" i="29"/>
  <c r="AF37" i="29"/>
  <c r="AG37" i="29" s="1"/>
  <c r="AJ33" i="29"/>
  <c r="AK33" i="29" s="1"/>
  <c r="AF33" i="29"/>
  <c r="AG33" i="29" s="1"/>
  <c r="AB33" i="29"/>
  <c r="AD33" i="29"/>
  <c r="AE33" i="29" s="1"/>
  <c r="AH33" i="29"/>
  <c r="AI33" i="29" s="1"/>
  <c r="AB37" i="29"/>
  <c r="S50" i="29"/>
  <c r="T50" i="29" s="1"/>
  <c r="U50" i="29"/>
  <c r="V50" i="29" s="1"/>
  <c r="U45" i="29"/>
  <c r="V45" i="29" s="1"/>
  <c r="W45" i="29"/>
  <c r="X45" i="29" s="1"/>
  <c r="Q31" i="29"/>
  <c r="R31" i="29" s="1"/>
  <c r="Q45" i="29"/>
  <c r="R45" i="29" s="1"/>
  <c r="J29" i="29"/>
  <c r="K29" i="29" s="1"/>
  <c r="D21" i="29"/>
  <c r="E21" i="29" s="1"/>
  <c r="Q21" i="29"/>
  <c r="W34" i="29"/>
  <c r="X34" i="29" s="1"/>
  <c r="Q34" i="29"/>
  <c r="S34" i="29"/>
  <c r="T34" i="29" s="1"/>
  <c r="U34" i="29"/>
  <c r="V34" i="29" s="1"/>
  <c r="J46" i="29"/>
  <c r="K46" i="29" s="1"/>
  <c r="O46" i="29"/>
  <c r="W56" i="29"/>
  <c r="J50" i="29"/>
  <c r="K50" i="29" s="1"/>
  <c r="O50" i="29"/>
  <c r="U49" i="29"/>
  <c r="V49" i="29" s="1"/>
  <c r="S49" i="29"/>
  <c r="T49" i="29" s="1"/>
  <c r="O49" i="29"/>
  <c r="W49" i="29"/>
  <c r="X49" i="29" s="1"/>
  <c r="Q49" i="29"/>
  <c r="R49" i="29" s="1"/>
  <c r="W26" i="29"/>
  <c r="X26" i="29" s="1"/>
  <c r="Q26" i="29"/>
  <c r="R26" i="29" s="1"/>
  <c r="S26" i="29"/>
  <c r="T26" i="29" s="1"/>
  <c r="U26" i="29"/>
  <c r="V26" i="29" s="1"/>
  <c r="S24" i="29"/>
  <c r="T24" i="29" s="1"/>
  <c r="U24" i="29"/>
  <c r="V24" i="29" s="1"/>
  <c r="W24" i="29"/>
  <c r="X24" i="29" s="1"/>
  <c r="Q24" i="29"/>
  <c r="R24" i="29" s="1"/>
  <c r="S57" i="29"/>
  <c r="T57" i="29" s="1"/>
  <c r="U57" i="29"/>
  <c r="V57" i="29" s="1"/>
  <c r="W57" i="29"/>
  <c r="X57" i="29" s="1"/>
  <c r="Q57" i="29"/>
  <c r="O41" i="29"/>
  <c r="W41" i="29"/>
  <c r="X41" i="29" s="1"/>
  <c r="U41" i="29"/>
  <c r="V41" i="29" s="1"/>
  <c r="Q41" i="29"/>
  <c r="R41" i="29" s="1"/>
  <c r="S41" i="29"/>
  <c r="T41" i="29" s="1"/>
  <c r="S21" i="29"/>
  <c r="F21" i="29"/>
  <c r="G21" i="29" s="1"/>
  <c r="Q47" i="29"/>
  <c r="R47" i="29" s="1"/>
  <c r="S47" i="29"/>
  <c r="T47" i="29" s="1"/>
  <c r="U47" i="29"/>
  <c r="V47" i="29" s="1"/>
  <c r="J45" i="29"/>
  <c r="K45" i="29" s="1"/>
  <c r="O43" i="29"/>
  <c r="W38" i="29"/>
  <c r="X38" i="29" s="1"/>
  <c r="Q38" i="29"/>
  <c r="R38" i="29" s="1"/>
  <c r="J35" i="29"/>
  <c r="K35" i="29" s="1"/>
  <c r="O35" i="29"/>
  <c r="Q25" i="29"/>
  <c r="R25" i="29" s="1"/>
  <c r="S25" i="29"/>
  <c r="T25" i="29" s="1"/>
  <c r="W25" i="29"/>
  <c r="X25" i="29" s="1"/>
  <c r="U25" i="29"/>
  <c r="V25" i="29" s="1"/>
  <c r="B38" i="29"/>
  <c r="C38" i="29" s="1"/>
  <c r="O38" i="29"/>
  <c r="Q37" i="29"/>
  <c r="R37" i="29" s="1"/>
  <c r="W48" i="29"/>
  <c r="X48" i="29" s="1"/>
  <c r="Q48" i="29"/>
  <c r="U48" i="29"/>
  <c r="V48" i="29" s="1"/>
  <c r="S48" i="29"/>
  <c r="T48" i="29" s="1"/>
  <c r="Q29" i="29"/>
  <c r="R29" i="29" s="1"/>
  <c r="U23" i="29"/>
  <c r="V23" i="29" s="1"/>
  <c r="W23" i="29"/>
  <c r="X23" i="29" s="1"/>
  <c r="S23" i="29"/>
  <c r="T23" i="29" s="1"/>
  <c r="W46" i="29"/>
  <c r="X46" i="29" s="1"/>
  <c r="U46" i="29"/>
  <c r="V46" i="29" s="1"/>
  <c r="S32" i="29"/>
  <c r="T32" i="29" s="1"/>
  <c r="U32" i="29"/>
  <c r="V32" i="29" s="1"/>
  <c r="W32" i="29"/>
  <c r="X32" i="29" s="1"/>
  <c r="Q32" i="29"/>
  <c r="R32" i="29" s="1"/>
  <c r="Q44" i="29"/>
  <c r="R44" i="29" s="1"/>
  <c r="W44" i="29"/>
  <c r="X44" i="29" s="1"/>
  <c r="S44" i="29"/>
  <c r="T44" i="29" s="1"/>
  <c r="U44" i="29"/>
  <c r="V44" i="29" s="1"/>
  <c r="O44" i="29"/>
  <c r="D35" i="29"/>
  <c r="E35" i="29" s="1"/>
  <c r="Q35" i="29"/>
  <c r="R35" i="29" s="1"/>
  <c r="D42" i="29"/>
  <c r="E42" i="29" s="1"/>
  <c r="Q42" i="29"/>
  <c r="R42" i="29" s="1"/>
  <c r="W22" i="29"/>
  <c r="X22" i="29" s="1"/>
  <c r="U22" i="29"/>
  <c r="Q22" i="29"/>
  <c r="R22" i="29" s="1"/>
  <c r="S22" i="29"/>
  <c r="T22" i="29" s="1"/>
  <c r="J37" i="29"/>
  <c r="K37" i="29" s="1"/>
  <c r="W37" i="29"/>
  <c r="X37" i="29" s="1"/>
  <c r="Q58" i="29"/>
  <c r="R58" i="29" s="1"/>
  <c r="S58" i="29"/>
  <c r="T58" i="29" s="1"/>
  <c r="U58" i="29"/>
  <c r="V58" i="29" s="1"/>
  <c r="O58" i="29"/>
  <c r="W58" i="29"/>
  <c r="X58" i="29" s="1"/>
  <c r="U52" i="29"/>
  <c r="V52" i="29" s="1"/>
  <c r="S52" i="29"/>
  <c r="T52" i="29" s="1"/>
  <c r="O52" i="29"/>
  <c r="W52" i="29"/>
  <c r="X52" i="29" s="1"/>
  <c r="Q52" i="29"/>
  <c r="R52" i="29" s="1"/>
  <c r="W30" i="29"/>
  <c r="X30" i="29" s="1"/>
  <c r="U30" i="29"/>
  <c r="V30" i="29" s="1"/>
  <c r="Q30" i="29"/>
  <c r="R30" i="29" s="1"/>
  <c r="S30" i="29"/>
  <c r="T30" i="29" s="1"/>
  <c r="U27" i="29"/>
  <c r="V27" i="29" s="1"/>
  <c r="W27" i="29"/>
  <c r="S27" i="29"/>
  <c r="T27" i="29" s="1"/>
  <c r="S28" i="29"/>
  <c r="T28" i="29" s="1"/>
  <c r="U28" i="29"/>
  <c r="V28" i="29" s="1"/>
  <c r="W28" i="29"/>
  <c r="X28" i="29" s="1"/>
  <c r="Q28" i="29"/>
  <c r="R28" i="29" s="1"/>
  <c r="U31" i="29"/>
  <c r="V31" i="29" s="1"/>
  <c r="W31" i="29"/>
  <c r="X31" i="29" s="1"/>
  <c r="S31" i="29"/>
  <c r="T31" i="29" s="1"/>
  <c r="S36" i="29"/>
  <c r="T36" i="29" s="1"/>
  <c r="U36" i="29"/>
  <c r="V36" i="29" s="1"/>
  <c r="O36" i="29"/>
  <c r="W36" i="29"/>
  <c r="X36" i="29" s="1"/>
  <c r="Q36" i="29"/>
  <c r="R36" i="29" s="1"/>
  <c r="S39" i="29"/>
  <c r="T39" i="29" s="1"/>
  <c r="U39" i="29"/>
  <c r="V39" i="29" s="1"/>
  <c r="O39" i="29"/>
  <c r="W39" i="29"/>
  <c r="X39" i="29" s="1"/>
  <c r="Q39" i="29"/>
  <c r="R39" i="29" s="1"/>
  <c r="W21" i="29"/>
  <c r="O45" i="29"/>
  <c r="Q33" i="29"/>
  <c r="R33" i="29" s="1"/>
  <c r="S33" i="29"/>
  <c r="T33" i="29" s="1"/>
  <c r="W33" i="29"/>
  <c r="X33" i="29" s="1"/>
  <c r="U33" i="29"/>
  <c r="V33" i="29" s="1"/>
  <c r="O33" i="29"/>
  <c r="O37" i="29"/>
  <c r="J25" i="29"/>
  <c r="K25" i="29" s="1"/>
  <c r="H22" i="29"/>
  <c r="J56" i="29"/>
  <c r="H57" i="29"/>
  <c r="I57" i="29" s="1"/>
  <c r="J57" i="29"/>
  <c r="K57" i="29" s="1"/>
  <c r="J47" i="29"/>
  <c r="K47" i="29" s="1"/>
  <c r="J38" i="29"/>
  <c r="K38" i="29" s="1"/>
  <c r="H48" i="29"/>
  <c r="I48" i="29" s="1"/>
  <c r="J48" i="29"/>
  <c r="K48" i="29" s="1"/>
  <c r="H32" i="29"/>
  <c r="I32" i="29" s="1"/>
  <c r="J32" i="29"/>
  <c r="K32" i="29" s="1"/>
  <c r="J44" i="29"/>
  <c r="K44" i="29" s="1"/>
  <c r="H34" i="29"/>
  <c r="I34" i="29" s="1"/>
  <c r="J34" i="29"/>
  <c r="K34" i="29" s="1"/>
  <c r="H49" i="29"/>
  <c r="I49" i="29" s="1"/>
  <c r="J49" i="29"/>
  <c r="K49" i="29" s="1"/>
  <c r="J21" i="29"/>
  <c r="K21" i="29" s="1"/>
  <c r="J41" i="29"/>
  <c r="K41" i="29" s="1"/>
  <c r="H58" i="29"/>
  <c r="I58" i="29" s="1"/>
  <c r="J58" i="29"/>
  <c r="K58" i="29" s="1"/>
  <c r="H52" i="29"/>
  <c r="I52" i="29" s="1"/>
  <c r="J52" i="29"/>
  <c r="K52" i="29" s="1"/>
  <c r="J39" i="29"/>
  <c r="K39" i="29" s="1"/>
  <c r="H25" i="29"/>
  <c r="I25" i="29" s="1"/>
  <c r="F42" i="29"/>
  <c r="G42" i="29" s="1"/>
  <c r="J26" i="29"/>
  <c r="K26" i="29" s="1"/>
  <c r="H26" i="29"/>
  <c r="I26" i="29" s="1"/>
  <c r="H47" i="29"/>
  <c r="I47" i="29" s="1"/>
  <c r="J23" i="29"/>
  <c r="K23" i="29" s="1"/>
  <c r="H23" i="29"/>
  <c r="I23" i="29" s="1"/>
  <c r="H46" i="29"/>
  <c r="I46" i="29" s="1"/>
  <c r="H44" i="29"/>
  <c r="I44" i="29" s="1"/>
  <c r="J22" i="29"/>
  <c r="K22" i="29" s="1"/>
  <c r="J24" i="29"/>
  <c r="K24" i="29" s="1"/>
  <c r="H24" i="29"/>
  <c r="I24" i="29" s="1"/>
  <c r="H41" i="29"/>
  <c r="I41" i="29" s="1"/>
  <c r="J30" i="29"/>
  <c r="K30" i="29" s="1"/>
  <c r="H30" i="29"/>
  <c r="I30" i="29" s="1"/>
  <c r="J27" i="29"/>
  <c r="K27" i="29" s="1"/>
  <c r="H27" i="29"/>
  <c r="I27" i="29" s="1"/>
  <c r="J28" i="29"/>
  <c r="K28" i="29" s="1"/>
  <c r="H28" i="29"/>
  <c r="I28" i="29" s="1"/>
  <c r="J31" i="29"/>
  <c r="K31" i="29" s="1"/>
  <c r="H31" i="29"/>
  <c r="I31" i="29" s="1"/>
  <c r="J36" i="29"/>
  <c r="K36" i="29" s="1"/>
  <c r="H36" i="29"/>
  <c r="I36" i="29" s="1"/>
  <c r="H39" i="29"/>
  <c r="I39" i="29" s="1"/>
  <c r="J33" i="29"/>
  <c r="K33" i="29" s="1"/>
  <c r="H33" i="29"/>
  <c r="I33" i="29" s="1"/>
  <c r="F29" i="29"/>
  <c r="G29" i="29" s="1"/>
  <c r="F46" i="29"/>
  <c r="G46" i="29" s="1"/>
  <c r="F25" i="29"/>
  <c r="G25" i="29" s="1"/>
  <c r="F34" i="29"/>
  <c r="G34" i="29" s="1"/>
  <c r="F57" i="29"/>
  <c r="G57" i="29" s="1"/>
  <c r="F32" i="29"/>
  <c r="G32" i="29" s="1"/>
  <c r="F30" i="29"/>
  <c r="G30" i="29" s="1"/>
  <c r="D38" i="29"/>
  <c r="E38" i="29" s="1"/>
  <c r="F23" i="29"/>
  <c r="G23" i="29" s="1"/>
  <c r="F50" i="29"/>
  <c r="G50" i="29" s="1"/>
  <c r="F44" i="29"/>
  <c r="G44" i="29" s="1"/>
  <c r="F47" i="29"/>
  <c r="G47" i="29" s="1"/>
  <c r="D49" i="29"/>
  <c r="E49" i="29" s="1"/>
  <c r="F49" i="29"/>
  <c r="G49" i="29" s="1"/>
  <c r="B49" i="29"/>
  <c r="D26" i="29"/>
  <c r="E26" i="29" s="1"/>
  <c r="F26" i="29"/>
  <c r="G26" i="29" s="1"/>
  <c r="B57" i="29"/>
  <c r="D57" i="29"/>
  <c r="E57" i="29" s="1"/>
  <c r="B41" i="29"/>
  <c r="D41" i="29"/>
  <c r="E41" i="29" s="1"/>
  <c r="F41" i="29"/>
  <c r="G41" i="29" s="1"/>
  <c r="B35" i="29"/>
  <c r="F48" i="29"/>
  <c r="G48" i="29" s="1"/>
  <c r="B48" i="29"/>
  <c r="D48" i="29"/>
  <c r="E48" i="29" s="1"/>
  <c r="D45" i="29"/>
  <c r="E45" i="29" s="1"/>
  <c r="D29" i="29"/>
  <c r="E29" i="29" s="1"/>
  <c r="D23" i="29"/>
  <c r="E23" i="29" s="1"/>
  <c r="B23" i="29"/>
  <c r="B32" i="29"/>
  <c r="D32" i="29"/>
  <c r="E32" i="29" s="1"/>
  <c r="B21" i="29"/>
  <c r="B44" i="29"/>
  <c r="D44" i="29"/>
  <c r="E44" i="29" s="1"/>
  <c r="D24" i="29"/>
  <c r="E24" i="29" s="1"/>
  <c r="B24" i="29"/>
  <c r="F24" i="29"/>
  <c r="G24" i="29" s="1"/>
  <c r="B47" i="29"/>
  <c r="D47" i="29"/>
  <c r="E47" i="29" s="1"/>
  <c r="B43" i="29"/>
  <c r="B58" i="29"/>
  <c r="F58" i="29"/>
  <c r="G58" i="29" s="1"/>
  <c r="D58" i="29"/>
  <c r="E58" i="29" s="1"/>
  <c r="D52" i="29"/>
  <c r="E52" i="29" s="1"/>
  <c r="F52" i="29"/>
  <c r="G52" i="29" s="1"/>
  <c r="B52" i="29"/>
  <c r="D30" i="29"/>
  <c r="E30" i="29" s="1"/>
  <c r="B30" i="29"/>
  <c r="D27" i="29"/>
  <c r="E27" i="29" s="1"/>
  <c r="B27" i="29"/>
  <c r="F28" i="29"/>
  <c r="G28" i="29" s="1"/>
  <c r="D31" i="29"/>
  <c r="E31" i="29" s="1"/>
  <c r="F31" i="29"/>
  <c r="G31" i="29" s="1"/>
  <c r="B31" i="29"/>
  <c r="D36" i="29"/>
  <c r="E36" i="29" s="1"/>
  <c r="B36" i="29"/>
  <c r="F36" i="29"/>
  <c r="G36" i="29" s="1"/>
  <c r="D39" i="29"/>
  <c r="E39" i="29" s="1"/>
  <c r="F39" i="29"/>
  <c r="G39" i="29" s="1"/>
  <c r="B39" i="29"/>
  <c r="B45" i="29"/>
  <c r="B33" i="29"/>
  <c r="D33" i="29"/>
  <c r="E33" i="29" s="1"/>
  <c r="F33" i="29"/>
  <c r="G33" i="29" s="1"/>
  <c r="B37" i="29"/>
  <c r="B25" i="29"/>
  <c r="D25" i="29"/>
  <c r="E25" i="29" s="1"/>
  <c r="B22" i="29"/>
  <c r="D22" i="29"/>
  <c r="E22" i="29" s="1"/>
  <c r="F22" i="29"/>
  <c r="B34" i="29"/>
  <c r="D34" i="29"/>
  <c r="E34" i="29" s="1"/>
  <c r="B46" i="29"/>
  <c r="D37" i="29"/>
  <c r="E37" i="29" s="1"/>
  <c r="B50" i="29"/>
  <c r="L56" i="29" l="1"/>
  <c r="P59" i="29"/>
  <c r="Y59" i="29"/>
  <c r="Z59" i="29" s="1"/>
  <c r="C59" i="29"/>
  <c r="L59" i="29"/>
  <c r="AC59" i="29"/>
  <c r="AL59" i="29"/>
  <c r="AM59" i="29" s="1"/>
  <c r="AP59" i="29"/>
  <c r="AY59" i="29"/>
  <c r="AZ59" i="29" s="1"/>
  <c r="Y21" i="29"/>
  <c r="Z21" i="29" s="1"/>
  <c r="AC51" i="29"/>
  <c r="AL51" i="29"/>
  <c r="AM51" i="29" s="1"/>
  <c r="L51" i="29"/>
  <c r="C51" i="29"/>
  <c r="AP51" i="29"/>
  <c r="AY51" i="29"/>
  <c r="AZ51" i="29" s="1"/>
  <c r="P51" i="29"/>
  <c r="Y51" i="29"/>
  <c r="Z51" i="29" s="1"/>
  <c r="AP45" i="29"/>
  <c r="AY45" i="29"/>
  <c r="AZ45" i="29" s="1"/>
  <c r="AY31" i="29"/>
  <c r="AZ31" i="29" s="1"/>
  <c r="AP31" i="29"/>
  <c r="AY23" i="29"/>
  <c r="AZ23" i="29" s="1"/>
  <c r="AP23" i="29"/>
  <c r="AY34" i="29"/>
  <c r="AZ34" i="29" s="1"/>
  <c r="AP34" i="29"/>
  <c r="AP50" i="29"/>
  <c r="AY50" i="29"/>
  <c r="AZ50" i="29" s="1"/>
  <c r="AW66" i="29"/>
  <c r="AX21" i="29"/>
  <c r="AY27" i="29"/>
  <c r="AZ27" i="29" s="1"/>
  <c r="AP27" i="29"/>
  <c r="AY30" i="29"/>
  <c r="AZ30" i="29" s="1"/>
  <c r="AP30" i="29"/>
  <c r="AP52" i="29"/>
  <c r="AY52" i="29"/>
  <c r="AZ52" i="29" s="1"/>
  <c r="AY44" i="29"/>
  <c r="AZ44" i="29" s="1"/>
  <c r="AP44" i="29"/>
  <c r="AP48" i="29"/>
  <c r="AY48" i="29"/>
  <c r="AZ48" i="29" s="1"/>
  <c r="AY43" i="29"/>
  <c r="AZ43" i="29" s="1"/>
  <c r="AP43" i="29"/>
  <c r="AS66" i="29"/>
  <c r="AT21" i="29"/>
  <c r="AY26" i="29"/>
  <c r="AZ26" i="29" s="1"/>
  <c r="AP26" i="29"/>
  <c r="AY49" i="29"/>
  <c r="AZ49" i="29" s="1"/>
  <c r="AP49" i="29"/>
  <c r="AP46" i="29"/>
  <c r="AY46" i="29"/>
  <c r="AZ46" i="29" s="1"/>
  <c r="AY25" i="29"/>
  <c r="AZ25" i="29" s="1"/>
  <c r="AT25" i="29"/>
  <c r="AY28" i="29"/>
  <c r="AZ28" i="29" s="1"/>
  <c r="AP28" i="29"/>
  <c r="AV24" i="29"/>
  <c r="AU66" i="29"/>
  <c r="AY39" i="29"/>
  <c r="AZ39" i="29" s="1"/>
  <c r="AP39" i="29"/>
  <c r="AP58" i="29"/>
  <c r="AY58" i="29"/>
  <c r="AZ58" i="29" s="1"/>
  <c r="AY32" i="29"/>
  <c r="AZ32" i="29" s="1"/>
  <c r="AP32" i="29"/>
  <c r="AY29" i="29"/>
  <c r="AZ29" i="29" s="1"/>
  <c r="AP29" i="29"/>
  <c r="AP35" i="29"/>
  <c r="AY35" i="29"/>
  <c r="AZ35" i="29" s="1"/>
  <c r="AP47" i="29"/>
  <c r="AY47" i="29"/>
  <c r="AZ47" i="29" s="1"/>
  <c r="AY41" i="29"/>
  <c r="AZ41" i="29" s="1"/>
  <c r="AP41" i="29"/>
  <c r="AP57" i="29"/>
  <c r="AY57" i="29"/>
  <c r="AZ57" i="29" s="1"/>
  <c r="AY24" i="29"/>
  <c r="AZ24" i="29" s="1"/>
  <c r="AP24" i="29"/>
  <c r="AY42" i="29"/>
  <c r="AZ42" i="29" s="1"/>
  <c r="AP42" i="29"/>
  <c r="AY38" i="29"/>
  <c r="AZ38" i="29" s="1"/>
  <c r="AP38" i="29"/>
  <c r="AQ66" i="29"/>
  <c r="AR21" i="29"/>
  <c r="AY22" i="29"/>
  <c r="AZ22" i="29" s="1"/>
  <c r="AP22" i="29"/>
  <c r="AY33" i="29"/>
  <c r="AZ33" i="29" s="1"/>
  <c r="AR33" i="29"/>
  <c r="AY37" i="29"/>
  <c r="AZ37" i="29" s="1"/>
  <c r="AT37" i="29"/>
  <c r="AY36" i="29"/>
  <c r="AZ36" i="29" s="1"/>
  <c r="AP36" i="29"/>
  <c r="AY21" i="29"/>
  <c r="AZ21" i="29" s="1"/>
  <c r="AO66" i="29"/>
  <c r="AP21" i="29"/>
  <c r="AY56" i="29"/>
  <c r="AZ56" i="29" s="1"/>
  <c r="AX56" i="29"/>
  <c r="Y50" i="29"/>
  <c r="Z50" i="29" s="1"/>
  <c r="AL36" i="29"/>
  <c r="AM36" i="29" s="1"/>
  <c r="AC36" i="29"/>
  <c r="AL38" i="29"/>
  <c r="AM38" i="29" s="1"/>
  <c r="AC25" i="29"/>
  <c r="AL25" i="29"/>
  <c r="AM25" i="29" s="1"/>
  <c r="AC44" i="29"/>
  <c r="AL44" i="29"/>
  <c r="AM44" i="29" s="1"/>
  <c r="AC23" i="29"/>
  <c r="AL23" i="29"/>
  <c r="AM23" i="29" s="1"/>
  <c r="AE34" i="29"/>
  <c r="AL34" i="29"/>
  <c r="AM34" i="29" s="1"/>
  <c r="AC31" i="29"/>
  <c r="AL31" i="29"/>
  <c r="AM31" i="29" s="1"/>
  <c r="AC28" i="29"/>
  <c r="AL28" i="29"/>
  <c r="AM28" i="29" s="1"/>
  <c r="AL35" i="29"/>
  <c r="AM35" i="29" s="1"/>
  <c r="AC35" i="29"/>
  <c r="AC29" i="29"/>
  <c r="AL29" i="29"/>
  <c r="AM29" i="29" s="1"/>
  <c r="AC22" i="29"/>
  <c r="AL22" i="29"/>
  <c r="AM22" i="29" s="1"/>
  <c r="AB66" i="29"/>
  <c r="AC21" i="29"/>
  <c r="AL21" i="29"/>
  <c r="AM21" i="29" s="1"/>
  <c r="AC32" i="29"/>
  <c r="AL32" i="29"/>
  <c r="AM32" i="29" s="1"/>
  <c r="AC48" i="29"/>
  <c r="AL48" i="29"/>
  <c r="AM48" i="29" s="1"/>
  <c r="AL43" i="29"/>
  <c r="AM43" i="29" s="1"/>
  <c r="AC43" i="29"/>
  <c r="AC41" i="29"/>
  <c r="AL41" i="29"/>
  <c r="AM41" i="29" s="1"/>
  <c r="AC49" i="29"/>
  <c r="AL49" i="29"/>
  <c r="AM49" i="29" s="1"/>
  <c r="AC33" i="29"/>
  <c r="AL33" i="29"/>
  <c r="AM33" i="29" s="1"/>
  <c r="AC45" i="29"/>
  <c r="AL45" i="29"/>
  <c r="AM45" i="29" s="1"/>
  <c r="AC27" i="29"/>
  <c r="AL27" i="29"/>
  <c r="AM27" i="29" s="1"/>
  <c r="AC24" i="29"/>
  <c r="AL24" i="29"/>
  <c r="AM24" i="29" s="1"/>
  <c r="AI22" i="29"/>
  <c r="AH66" i="29"/>
  <c r="AC57" i="29"/>
  <c r="AL57" i="29"/>
  <c r="AM57" i="29" s="1"/>
  <c r="AL50" i="29"/>
  <c r="AM50" i="29" s="1"/>
  <c r="AC50" i="29"/>
  <c r="AD66" i="29"/>
  <c r="AC58" i="29"/>
  <c r="AL58" i="29"/>
  <c r="AM58" i="29" s="1"/>
  <c r="AG21" i="29"/>
  <c r="AF66" i="29"/>
  <c r="AC26" i="29"/>
  <c r="AL26" i="29"/>
  <c r="AM26" i="29" s="1"/>
  <c r="AK56" i="29"/>
  <c r="AL56" i="29"/>
  <c r="AM56" i="29" s="1"/>
  <c r="Y56" i="29"/>
  <c r="Z56" i="29" s="1"/>
  <c r="AL37" i="29"/>
  <c r="AM37" i="29" s="1"/>
  <c r="AC37" i="29"/>
  <c r="AK21" i="29"/>
  <c r="AJ66" i="29"/>
  <c r="AL39" i="29"/>
  <c r="AM39" i="29" s="1"/>
  <c r="AC39" i="29"/>
  <c r="AC30" i="29"/>
  <c r="AL30" i="29"/>
  <c r="AM30" i="29" s="1"/>
  <c r="AE52" i="29"/>
  <c r="AL52" i="29"/>
  <c r="AM52" i="29" s="1"/>
  <c r="AC42" i="29"/>
  <c r="AL42" i="29"/>
  <c r="AM42" i="29" s="1"/>
  <c r="AL47" i="29"/>
  <c r="AM47" i="29" s="1"/>
  <c r="AC47" i="29"/>
  <c r="AC46" i="29"/>
  <c r="AL46" i="29"/>
  <c r="AM46" i="29" s="1"/>
  <c r="L25" i="29"/>
  <c r="L33" i="29"/>
  <c r="L58" i="29"/>
  <c r="L47" i="29"/>
  <c r="L41" i="29"/>
  <c r="Y35" i="29"/>
  <c r="Z35" i="29" s="1"/>
  <c r="L31" i="29"/>
  <c r="Y48" i="29"/>
  <c r="Z48" i="29" s="1"/>
  <c r="Y25" i="29"/>
  <c r="Z25" i="29" s="1"/>
  <c r="Y57" i="29"/>
  <c r="Z57" i="29" s="1"/>
  <c r="Y49" i="29"/>
  <c r="Z49" i="29" s="1"/>
  <c r="Y22" i="29"/>
  <c r="Z22" i="29" s="1"/>
  <c r="Y34" i="29"/>
  <c r="Z34" i="29" s="1"/>
  <c r="Y39" i="29"/>
  <c r="Z39" i="29" s="1"/>
  <c r="Y52" i="29"/>
  <c r="Z52" i="29" s="1"/>
  <c r="Y58" i="29"/>
  <c r="Z58" i="29" s="1"/>
  <c r="Y26" i="29"/>
  <c r="Z26" i="29" s="1"/>
  <c r="L22" i="29"/>
  <c r="M22" i="29" s="1"/>
  <c r="L24" i="29"/>
  <c r="L23" i="29"/>
  <c r="M23" i="29" s="1"/>
  <c r="L57" i="29"/>
  <c r="L49" i="29"/>
  <c r="Y36" i="29"/>
  <c r="Z36" i="29" s="1"/>
  <c r="Y30" i="29"/>
  <c r="Z30" i="29" s="1"/>
  <c r="Y23" i="29"/>
  <c r="Z23" i="29" s="1"/>
  <c r="Y24" i="29"/>
  <c r="Z24" i="29" s="1"/>
  <c r="P27" i="29"/>
  <c r="Y27" i="29"/>
  <c r="Z27" i="29" s="1"/>
  <c r="L50" i="29"/>
  <c r="L46" i="29"/>
  <c r="L30" i="29"/>
  <c r="L44" i="29"/>
  <c r="L32" i="29"/>
  <c r="L35" i="29"/>
  <c r="Y44" i="29"/>
  <c r="Z44" i="29" s="1"/>
  <c r="L34" i="29"/>
  <c r="L39" i="29"/>
  <c r="L36" i="29"/>
  <c r="L52" i="29"/>
  <c r="L21" i="29"/>
  <c r="M21" i="29" s="1"/>
  <c r="L48" i="29"/>
  <c r="Y33" i="29"/>
  <c r="Z33" i="29" s="1"/>
  <c r="Y31" i="29"/>
  <c r="Z31" i="29" s="1"/>
  <c r="Y28" i="29"/>
  <c r="Z28" i="29" s="1"/>
  <c r="Y32" i="29"/>
  <c r="Z32" i="29" s="1"/>
  <c r="Y41" i="29"/>
  <c r="Z41" i="29" s="1"/>
  <c r="Y46" i="29"/>
  <c r="Z46" i="29" s="1"/>
  <c r="Y29" i="29"/>
  <c r="Z29" i="29" s="1"/>
  <c r="P44" i="29"/>
  <c r="P26" i="29"/>
  <c r="P37" i="29"/>
  <c r="X21" i="29"/>
  <c r="P36" i="29"/>
  <c r="P30" i="29"/>
  <c r="V22" i="29"/>
  <c r="U66" i="29"/>
  <c r="P23" i="29"/>
  <c r="P38" i="29"/>
  <c r="T21" i="29"/>
  <c r="P24" i="29"/>
  <c r="X56" i="29"/>
  <c r="P39" i="29"/>
  <c r="P58" i="29"/>
  <c r="P43" i="29"/>
  <c r="R21" i="29"/>
  <c r="Q66" i="29"/>
  <c r="P33" i="29"/>
  <c r="P31" i="29"/>
  <c r="P28" i="29"/>
  <c r="X27" i="29"/>
  <c r="P21" i="29"/>
  <c r="P32" i="29"/>
  <c r="R48" i="29"/>
  <c r="P41" i="29"/>
  <c r="P50" i="29"/>
  <c r="P46" i="29"/>
  <c r="R34" i="29"/>
  <c r="P29" i="29"/>
  <c r="P45" i="29"/>
  <c r="P52" i="29"/>
  <c r="P35" i="29"/>
  <c r="P22" i="29"/>
  <c r="P25" i="29"/>
  <c r="R57" i="29"/>
  <c r="P49" i="29"/>
  <c r="K56" i="29"/>
  <c r="C31" i="29"/>
  <c r="C32" i="29"/>
  <c r="C57" i="29"/>
  <c r="G22" i="29"/>
  <c r="C36" i="29"/>
  <c r="C52" i="29"/>
  <c r="C43" i="29"/>
  <c r="C21" i="29"/>
  <c r="C23" i="29"/>
  <c r="C41" i="29"/>
  <c r="C49" i="29"/>
  <c r="C37" i="29"/>
  <c r="C50" i="29"/>
  <c r="C34" i="29"/>
  <c r="C45" i="29"/>
  <c r="C30" i="29"/>
  <c r="C35" i="29"/>
  <c r="H66" i="29"/>
  <c r="I22" i="29"/>
  <c r="C47" i="29"/>
  <c r="C46" i="29"/>
  <c r="C22" i="29"/>
  <c r="C25" i="29"/>
  <c r="C33" i="29"/>
  <c r="C39" i="29"/>
  <c r="C27" i="29"/>
  <c r="C58" i="29"/>
  <c r="C24" i="29"/>
  <c r="C44" i="29"/>
  <c r="C48" i="29"/>
  <c r="W42" i="29" l="1"/>
  <c r="X42" i="29" s="1"/>
  <c r="O47" i="29"/>
  <c r="P47" i="29" s="1"/>
  <c r="W47" i="29"/>
  <c r="X47" i="29" s="1"/>
  <c r="O42" i="29"/>
  <c r="AO69" i="29"/>
  <c r="AP69" i="29" s="1"/>
  <c r="AP66" i="29"/>
  <c r="AY66" i="29"/>
  <c r="AX66" i="29"/>
  <c r="AW69" i="29"/>
  <c r="AX69" i="29" s="1"/>
  <c r="AV66" i="29"/>
  <c r="AU69" i="29"/>
  <c r="AV69" i="29" s="1"/>
  <c r="AR66" i="29"/>
  <c r="AQ69" i="29"/>
  <c r="AR69" i="29" s="1"/>
  <c r="AT66" i="29"/>
  <c r="AS69" i="29"/>
  <c r="AT69" i="29" s="1"/>
  <c r="AK66" i="29"/>
  <c r="AJ69" i="29"/>
  <c r="AK69" i="29" s="1"/>
  <c r="AB69" i="29"/>
  <c r="AC69" i="29" s="1"/>
  <c r="AL66" i="29"/>
  <c r="AC66" i="29"/>
  <c r="AI66" i="29"/>
  <c r="AH69" i="29"/>
  <c r="AI69" i="29" s="1"/>
  <c r="AG66" i="29"/>
  <c r="AF69" i="29"/>
  <c r="AG69" i="29" s="1"/>
  <c r="AE66" i="29"/>
  <c r="AD69" i="29"/>
  <c r="AE69" i="29" s="1"/>
  <c r="V66" i="29"/>
  <c r="U69" i="29"/>
  <c r="V69" i="29" s="1"/>
  <c r="R66" i="29"/>
  <c r="Q69" i="29"/>
  <c r="R69" i="29" s="1"/>
  <c r="I66" i="29"/>
  <c r="H69" i="29"/>
  <c r="I69" i="29" s="1"/>
  <c r="M24" i="29"/>
  <c r="M25" i="29"/>
  <c r="Y42" i="29" l="1"/>
  <c r="Z42" i="29" s="1"/>
  <c r="Y47" i="29"/>
  <c r="Z47" i="29" s="1"/>
  <c r="W66" i="29"/>
  <c r="O66" i="29"/>
  <c r="P66" i="29" s="1"/>
  <c r="P42" i="29"/>
  <c r="AZ66" i="29"/>
  <c r="AY69" i="29"/>
  <c r="AZ69" i="29" s="1"/>
  <c r="AM66" i="29"/>
  <c r="AL69" i="29"/>
  <c r="AM69" i="29" s="1"/>
  <c r="X66" i="29" l="1"/>
  <c r="W69" i="29"/>
  <c r="X69" i="29" s="1"/>
  <c r="O69" i="29"/>
  <c r="P69" i="29" s="1"/>
  <c r="S43" i="29"/>
  <c r="S45" i="29"/>
  <c r="S38" i="29"/>
  <c r="S37" i="29"/>
  <c r="T43" i="29" l="1"/>
  <c r="Y43" i="29"/>
  <c r="Z43" i="29" s="1"/>
  <c r="T37" i="29"/>
  <c r="Y37" i="29"/>
  <c r="Z37" i="29" s="1"/>
  <c r="S66" i="29"/>
  <c r="T45" i="29"/>
  <c r="Y45" i="29"/>
  <c r="Z45" i="29" s="1"/>
  <c r="T38" i="29"/>
  <c r="Y38" i="29"/>
  <c r="Z38" i="29" s="1"/>
  <c r="M34" i="29"/>
  <c r="D28" i="29"/>
  <c r="F27" i="29" l="1"/>
  <c r="L27" i="29" s="1"/>
  <c r="M27" i="29" s="1"/>
  <c r="B29" i="29"/>
  <c r="L29" i="29" s="1"/>
  <c r="M29" i="29" s="1"/>
  <c r="E28" i="29"/>
  <c r="D66" i="29"/>
  <c r="T66" i="29"/>
  <c r="S69" i="29"/>
  <c r="T69" i="29" s="1"/>
  <c r="Y66" i="29"/>
  <c r="M30" i="29"/>
  <c r="G27" i="29" l="1"/>
  <c r="C29" i="29"/>
  <c r="B26" i="29"/>
  <c r="L26" i="29" s="1"/>
  <c r="M26" i="29" s="1"/>
  <c r="B28" i="29"/>
  <c r="L28" i="29" s="1"/>
  <c r="M28" i="29" s="1"/>
  <c r="Y69" i="29"/>
  <c r="Z69" i="29" s="1"/>
  <c r="Z66" i="29"/>
  <c r="E66" i="29"/>
  <c r="D69" i="29"/>
  <c r="E69" i="29" s="1"/>
  <c r="M31" i="29"/>
  <c r="M32" i="29"/>
  <c r="C26" i="29" l="1"/>
  <c r="C28" i="29"/>
  <c r="M35" i="29"/>
  <c r="M33" i="29"/>
  <c r="M36" i="29" l="1"/>
  <c r="M50" i="29" l="1"/>
  <c r="M39" i="29" l="1"/>
  <c r="U12" i="9"/>
  <c r="M40" i="29" l="1"/>
  <c r="M41" i="29" l="1"/>
  <c r="M44" i="29" l="1"/>
  <c r="E12" i="9"/>
  <c r="E151" i="9" s="1"/>
  <c r="J12" i="9" l="1"/>
  <c r="K12" i="9"/>
  <c r="K151" i="9" s="1"/>
  <c r="J151" i="9" l="1"/>
  <c r="L12" i="9"/>
  <c r="L151" i="9" s="1"/>
  <c r="F45" i="29"/>
  <c r="G45" i="29" s="1"/>
  <c r="M46" i="29"/>
  <c r="O12" i="9" l="1"/>
  <c r="L45" i="29"/>
  <c r="M45" i="29" s="1"/>
  <c r="M47" i="29"/>
  <c r="M51" i="29" l="1"/>
  <c r="M52" i="29" l="1"/>
  <c r="M53" i="29" l="1"/>
  <c r="M54" i="29" l="1"/>
  <c r="M55" i="29" l="1"/>
  <c r="M56" i="29" l="1"/>
  <c r="M57" i="29" l="1"/>
  <c r="M58" i="29" l="1"/>
  <c r="E4" i="10"/>
  <c r="E5" i="10"/>
  <c r="E6" i="10"/>
  <c r="E7" i="10"/>
  <c r="E8" i="10"/>
  <c r="E9" i="10"/>
  <c r="E10" i="10"/>
  <c r="E11" i="10"/>
  <c r="E12" i="10"/>
  <c r="E3" i="10"/>
  <c r="M48" i="29" l="1"/>
  <c r="S1" i="9"/>
  <c r="A536" i="1"/>
  <c r="S147" i="9" l="1"/>
  <c r="S149" i="9"/>
  <c r="R146" i="9"/>
  <c r="R148" i="9"/>
  <c r="R150" i="9"/>
  <c r="R147" i="9"/>
  <c r="S146" i="9"/>
  <c r="S148" i="9"/>
  <c r="S150" i="9"/>
  <c r="R149" i="9"/>
  <c r="S131" i="9"/>
  <c r="S133" i="9"/>
  <c r="S135" i="9"/>
  <c r="S137" i="9"/>
  <c r="S139" i="9"/>
  <c r="S141" i="9"/>
  <c r="S143" i="9"/>
  <c r="R140" i="9"/>
  <c r="R137" i="9"/>
  <c r="R141" i="9"/>
  <c r="R132" i="9"/>
  <c r="R134" i="9"/>
  <c r="R136" i="9"/>
  <c r="R138" i="9"/>
  <c r="R142" i="9"/>
  <c r="R144" i="9"/>
  <c r="R139" i="9"/>
  <c r="S132" i="9"/>
  <c r="S134" i="9"/>
  <c r="S136" i="9"/>
  <c r="S138" i="9"/>
  <c r="S140" i="9"/>
  <c r="S142" i="9"/>
  <c r="S144" i="9"/>
  <c r="R131" i="9"/>
  <c r="R133" i="9"/>
  <c r="R135" i="9"/>
  <c r="R143" i="9"/>
  <c r="S145" i="9"/>
  <c r="R145" i="9"/>
  <c r="S112" i="9"/>
  <c r="S114" i="9"/>
  <c r="S116" i="9"/>
  <c r="R113" i="9"/>
  <c r="R117" i="9"/>
  <c r="S113" i="9"/>
  <c r="S115" i="9"/>
  <c r="S117" i="9"/>
  <c r="R112" i="9"/>
  <c r="R114" i="9"/>
  <c r="R116" i="9"/>
  <c r="R115" i="9"/>
  <c r="S118" i="9"/>
  <c r="S120" i="9"/>
  <c r="S122" i="9"/>
  <c r="S124" i="9"/>
  <c r="S126" i="9"/>
  <c r="R123" i="9"/>
  <c r="R127" i="9"/>
  <c r="S119" i="9"/>
  <c r="S121" i="9"/>
  <c r="S123" i="9"/>
  <c r="S125" i="9"/>
  <c r="S127" i="9"/>
  <c r="R121" i="9"/>
  <c r="R118" i="9"/>
  <c r="R120" i="9"/>
  <c r="R122" i="9"/>
  <c r="R124" i="9"/>
  <c r="R126" i="9"/>
  <c r="R119" i="9"/>
  <c r="R125" i="9"/>
  <c r="S128" i="9"/>
  <c r="S129" i="9"/>
  <c r="R128" i="9"/>
  <c r="R129" i="9"/>
  <c r="S95" i="9"/>
  <c r="S97" i="9"/>
  <c r="S99" i="9"/>
  <c r="S101" i="9"/>
  <c r="S103" i="9"/>
  <c r="S105" i="9"/>
  <c r="S107" i="9"/>
  <c r="S109" i="9"/>
  <c r="R97" i="9"/>
  <c r="R101" i="9"/>
  <c r="R107" i="9"/>
  <c r="R109" i="9"/>
  <c r="R96" i="9"/>
  <c r="R98" i="9"/>
  <c r="R104" i="9"/>
  <c r="R106" i="9"/>
  <c r="R108" i="9"/>
  <c r="S96" i="9"/>
  <c r="S98" i="9"/>
  <c r="S100" i="9"/>
  <c r="S102" i="9"/>
  <c r="S104" i="9"/>
  <c r="S106" i="9"/>
  <c r="S108" i="9"/>
  <c r="S110" i="9"/>
  <c r="R95" i="9"/>
  <c r="R99" i="9"/>
  <c r="R103" i="9"/>
  <c r="R105" i="9"/>
  <c r="R100" i="9"/>
  <c r="R102" i="9"/>
  <c r="R110" i="9"/>
  <c r="S111" i="9"/>
  <c r="S130" i="9"/>
  <c r="R111" i="9"/>
  <c r="R130" i="9"/>
  <c r="R77" i="9"/>
  <c r="S77" i="9"/>
  <c r="R78" i="9"/>
  <c r="S78" i="9"/>
  <c r="R80" i="9"/>
  <c r="S80" i="9"/>
  <c r="R79" i="9"/>
  <c r="S79" i="9"/>
  <c r="R81" i="9"/>
  <c r="S81" i="9"/>
  <c r="R85" i="9"/>
  <c r="S85" i="9"/>
  <c r="S84" i="9"/>
  <c r="R88" i="9"/>
  <c r="R82" i="9"/>
  <c r="S82" i="9"/>
  <c r="R86" i="9"/>
  <c r="S86" i="9"/>
  <c r="R84" i="9"/>
  <c r="S88" i="9"/>
  <c r="R83" i="9"/>
  <c r="S83" i="9"/>
  <c r="R87" i="9"/>
  <c r="S87" i="9"/>
  <c r="R89" i="9"/>
  <c r="S89" i="9"/>
  <c r="R90" i="9"/>
  <c r="S90" i="9"/>
  <c r="R91" i="9"/>
  <c r="S91" i="9"/>
  <c r="R92" i="9"/>
  <c r="S92" i="9"/>
  <c r="S73" i="9"/>
  <c r="R74" i="9"/>
  <c r="S74" i="9"/>
  <c r="R73" i="9"/>
  <c r="S75" i="9"/>
  <c r="S93" i="9"/>
  <c r="R76" i="9"/>
  <c r="R94" i="9"/>
  <c r="R93" i="9"/>
  <c r="S76" i="9"/>
  <c r="S94" i="9"/>
  <c r="R75" i="9"/>
  <c r="S54" i="9"/>
  <c r="S56" i="9"/>
  <c r="S58" i="9"/>
  <c r="S60" i="9"/>
  <c r="S62" i="9"/>
  <c r="S64" i="9"/>
  <c r="S66" i="9"/>
  <c r="S68" i="9"/>
  <c r="S70" i="9"/>
  <c r="R56" i="9"/>
  <c r="R58" i="9"/>
  <c r="R55" i="9"/>
  <c r="R57" i="9"/>
  <c r="R59" i="9"/>
  <c r="R61" i="9"/>
  <c r="R63" i="9"/>
  <c r="R65" i="9"/>
  <c r="R67" i="9"/>
  <c r="R69" i="9"/>
  <c r="R71" i="9"/>
  <c r="R54" i="9"/>
  <c r="R60" i="9"/>
  <c r="R64" i="9"/>
  <c r="R66" i="9"/>
  <c r="R68" i="9"/>
  <c r="S55" i="9"/>
  <c r="S57" i="9"/>
  <c r="S59" i="9"/>
  <c r="S61" i="9"/>
  <c r="S63" i="9"/>
  <c r="S65" i="9"/>
  <c r="S67" i="9"/>
  <c r="S69" i="9"/>
  <c r="S71" i="9"/>
  <c r="R62" i="9"/>
  <c r="R70" i="9"/>
  <c r="R72" i="9"/>
  <c r="S72" i="9"/>
  <c r="S43" i="9"/>
  <c r="S45" i="9"/>
  <c r="S47" i="9"/>
  <c r="S49" i="9"/>
  <c r="R44" i="9"/>
  <c r="R46" i="9"/>
  <c r="R48" i="9"/>
  <c r="R47" i="9"/>
  <c r="S44" i="9"/>
  <c r="S46" i="9"/>
  <c r="S48" i="9"/>
  <c r="R43" i="9"/>
  <c r="R45" i="9"/>
  <c r="R49" i="9"/>
  <c r="R50" i="9"/>
  <c r="S50" i="9"/>
  <c r="S21" i="9"/>
  <c r="S23" i="9"/>
  <c r="S25" i="9"/>
  <c r="S27" i="9"/>
  <c r="S29" i="9"/>
  <c r="S31" i="9"/>
  <c r="S33" i="9"/>
  <c r="S35" i="9"/>
  <c r="S37" i="9"/>
  <c r="S39" i="9"/>
  <c r="S41" i="9"/>
  <c r="S51" i="9"/>
  <c r="S36" i="9"/>
  <c r="S38" i="9"/>
  <c r="S40" i="9"/>
  <c r="R21" i="9"/>
  <c r="R25" i="9"/>
  <c r="R27" i="9"/>
  <c r="R29" i="9"/>
  <c r="R33" i="9"/>
  <c r="R35" i="9"/>
  <c r="R37" i="9"/>
  <c r="R39" i="9"/>
  <c r="R51" i="9"/>
  <c r="R22" i="9"/>
  <c r="R24" i="9"/>
  <c r="R26" i="9"/>
  <c r="R28" i="9"/>
  <c r="R30" i="9"/>
  <c r="R32" i="9"/>
  <c r="R34" i="9"/>
  <c r="R36" i="9"/>
  <c r="R38" i="9"/>
  <c r="R40" i="9"/>
  <c r="R42" i="9"/>
  <c r="S22" i="9"/>
  <c r="S24" i="9"/>
  <c r="S26" i="9"/>
  <c r="S28" i="9"/>
  <c r="S30" i="9"/>
  <c r="S32" i="9"/>
  <c r="S34" i="9"/>
  <c r="S42" i="9"/>
  <c r="R23" i="9"/>
  <c r="R31" i="9"/>
  <c r="R41" i="9"/>
  <c r="S52" i="9"/>
  <c r="R52" i="9"/>
  <c r="S13" i="9"/>
  <c r="S15" i="9"/>
  <c r="S17" i="9"/>
  <c r="S19" i="9"/>
  <c r="S16" i="9"/>
  <c r="S18" i="9"/>
  <c r="S20" i="9"/>
  <c r="R13" i="9"/>
  <c r="R17" i="9"/>
  <c r="R14" i="9"/>
  <c r="R16" i="9"/>
  <c r="R18" i="9"/>
  <c r="R20" i="9"/>
  <c r="S14" i="9"/>
  <c r="R15" i="9"/>
  <c r="R19" i="9"/>
  <c r="S53" i="9"/>
  <c r="R53" i="9"/>
  <c r="S5" i="9"/>
  <c r="S7" i="9"/>
  <c r="S9" i="9"/>
  <c r="S4" i="9"/>
  <c r="S8" i="9"/>
  <c r="S10" i="9"/>
  <c r="R5" i="9"/>
  <c r="R7" i="9"/>
  <c r="R4" i="9"/>
  <c r="R6" i="9"/>
  <c r="R8" i="9"/>
  <c r="R10" i="9"/>
  <c r="S6" i="9"/>
  <c r="R9" i="9"/>
  <c r="S11" i="9"/>
  <c r="R11" i="9"/>
  <c r="M49" i="29"/>
  <c r="R12" i="9"/>
  <c r="S12" i="9"/>
  <c r="M59" i="29" l="1"/>
  <c r="M60" i="29" l="1"/>
  <c r="M61" i="29" l="1"/>
  <c r="M62" i="29" l="1"/>
  <c r="F43" i="29" l="1"/>
  <c r="G43" i="29" s="1"/>
  <c r="F37" i="29"/>
  <c r="G37" i="29" s="1"/>
  <c r="F38" i="29"/>
  <c r="L38" i="29" s="1"/>
  <c r="M38" i="29" s="1"/>
  <c r="M63" i="29"/>
  <c r="L43" i="29" l="1"/>
  <c r="M43" i="29" s="1"/>
  <c r="L37" i="29"/>
  <c r="M37" i="29" s="1"/>
  <c r="F66" i="29"/>
  <c r="G66" i="29" s="1"/>
  <c r="G38" i="29"/>
  <c r="M64" i="29"/>
  <c r="F69" i="29" l="1"/>
  <c r="G69" i="29" s="1"/>
  <c r="M65" i="29"/>
  <c r="J42" i="29" l="1"/>
  <c r="K42" i="29" s="1"/>
  <c r="B42" i="29"/>
  <c r="D3" i="8"/>
  <c r="D4" i="8"/>
  <c r="D5" i="8"/>
  <c r="D6" i="8"/>
  <c r="D7" i="8"/>
  <c r="D8" i="8"/>
  <c r="D9" i="8"/>
  <c r="D10" i="8"/>
  <c r="D11" i="8"/>
  <c r="D12" i="8"/>
  <c r="D13" i="8"/>
  <c r="D14" i="8"/>
  <c r="D15" i="8"/>
  <c r="D16" i="8"/>
  <c r="D17" i="8"/>
  <c r="D18" i="8"/>
  <c r="J66" i="29" l="1"/>
  <c r="K66" i="29" s="1"/>
  <c r="L42" i="29"/>
  <c r="M42" i="29" s="1"/>
  <c r="C42" i="29"/>
  <c r="B66" i="29"/>
  <c r="D16" i="12"/>
  <c r="D17" i="12"/>
  <c r="D18" i="12"/>
  <c r="D19" i="12"/>
  <c r="D20" i="12"/>
  <c r="D21" i="12"/>
  <c r="D22" i="12"/>
  <c r="D23" i="12"/>
  <c r="D24" i="12"/>
  <c r="D27" i="12"/>
  <c r="D28" i="12"/>
  <c r="D29" i="12"/>
  <c r="D30" i="12"/>
  <c r="D31" i="12"/>
  <c r="D32" i="12"/>
  <c r="D33" i="12"/>
  <c r="J69" i="29" l="1"/>
  <c r="K69" i="29" s="1"/>
  <c r="B69" i="29"/>
  <c r="C69" i="29" s="1"/>
  <c r="C66" i="29"/>
  <c r="L66" i="29"/>
  <c r="L69" i="29" l="1"/>
  <c r="M69" i="29" s="1"/>
  <c r="M66" i="29"/>
  <c r="D2" i="9"/>
  <c r="B18" i="8"/>
  <c r="B17" i="8"/>
  <c r="B16" i="8"/>
  <c r="B15" i="8"/>
  <c r="B14" i="8"/>
  <c r="B13" i="8"/>
  <c r="B12" i="8"/>
  <c r="B11" i="8"/>
  <c r="B10" i="8"/>
  <c r="B9" i="8"/>
  <c r="B8" i="8"/>
  <c r="B7" i="8"/>
  <c r="B6" i="8"/>
  <c r="B5" i="8"/>
  <c r="B4" i="8"/>
  <c r="B3" i="8"/>
  <c r="K1" i="8"/>
  <c r="A541" i="1"/>
  <c r="A540" i="1"/>
  <c r="A539" i="1"/>
  <c r="A538" i="1"/>
  <c r="A537" i="1"/>
  <c r="H854" i="5"/>
  <c r="H853" i="5"/>
  <c r="H852" i="5"/>
  <c r="H851" i="5"/>
  <c r="H850" i="5"/>
  <c r="H849" i="5"/>
  <c r="H848" i="5"/>
  <c r="H847" i="5"/>
  <c r="H846" i="5"/>
  <c r="H845" i="5"/>
  <c r="H844" i="5"/>
  <c r="H843" i="5"/>
  <c r="H842" i="5"/>
  <c r="H841" i="5"/>
  <c r="H840" i="5"/>
  <c r="H839" i="5"/>
  <c r="H838" i="5"/>
  <c r="H837" i="5"/>
  <c r="H836" i="5"/>
  <c r="H835" i="5"/>
  <c r="H834" i="5"/>
  <c r="H833" i="5"/>
  <c r="H832" i="5"/>
  <c r="H831" i="5"/>
  <c r="H830" i="5"/>
  <c r="H829" i="5"/>
  <c r="H828" i="5"/>
  <c r="H827" i="5"/>
  <c r="H826" i="5"/>
  <c r="H825" i="5"/>
  <c r="H824" i="5"/>
  <c r="H823" i="5"/>
  <c r="H822" i="5"/>
  <c r="H821" i="5"/>
  <c r="H820" i="5"/>
  <c r="H819" i="5"/>
  <c r="H818" i="5"/>
  <c r="H817" i="5"/>
  <c r="H816" i="5"/>
  <c r="H815" i="5"/>
  <c r="H814" i="5"/>
  <c r="H813" i="5"/>
  <c r="H812" i="5"/>
  <c r="H811" i="5"/>
  <c r="H810" i="5"/>
  <c r="H809" i="5"/>
  <c r="H808" i="5"/>
  <c r="H807" i="5"/>
  <c r="H806" i="5"/>
  <c r="H805" i="5"/>
  <c r="H804" i="5"/>
  <c r="H803" i="5"/>
  <c r="H802" i="5"/>
  <c r="H801" i="5"/>
  <c r="H800" i="5"/>
  <c r="H799" i="5"/>
  <c r="H798" i="5"/>
  <c r="H797" i="5"/>
  <c r="H796" i="5"/>
  <c r="H795" i="5"/>
  <c r="H794" i="5"/>
  <c r="H793" i="5"/>
  <c r="H792" i="5"/>
  <c r="H791" i="5"/>
  <c r="H790" i="5"/>
  <c r="H789" i="5"/>
  <c r="H788" i="5"/>
  <c r="H787" i="5"/>
  <c r="H786" i="5"/>
  <c r="H785" i="5"/>
  <c r="H784" i="5"/>
  <c r="H783" i="5"/>
  <c r="H782" i="5"/>
  <c r="H781" i="5"/>
  <c r="H780" i="5"/>
  <c r="H779" i="5"/>
  <c r="H778" i="5"/>
  <c r="H777" i="5"/>
  <c r="H776" i="5"/>
  <c r="H775" i="5"/>
  <c r="H774" i="5"/>
  <c r="H773" i="5"/>
  <c r="H772" i="5"/>
  <c r="H771" i="5"/>
  <c r="H770" i="5"/>
  <c r="H769" i="5"/>
  <c r="H768" i="5"/>
  <c r="H767" i="5"/>
  <c r="H766" i="5"/>
  <c r="H765" i="5"/>
  <c r="H764" i="5"/>
  <c r="H763" i="5"/>
  <c r="H762" i="5"/>
  <c r="H761" i="5"/>
  <c r="H760" i="5"/>
  <c r="H759" i="5"/>
  <c r="H758" i="5"/>
  <c r="H757" i="5"/>
  <c r="H756" i="5"/>
  <c r="H755" i="5"/>
  <c r="H754" i="5"/>
  <c r="H753" i="5"/>
  <c r="H752" i="5"/>
  <c r="H751" i="5"/>
  <c r="H750" i="5"/>
  <c r="H749" i="5"/>
  <c r="H748" i="5"/>
  <c r="H747" i="5"/>
  <c r="H746" i="5"/>
  <c r="H745" i="5"/>
  <c r="H744" i="5"/>
  <c r="H743" i="5"/>
  <c r="H742" i="5"/>
  <c r="H741" i="5"/>
  <c r="H740" i="5"/>
  <c r="H739" i="5"/>
  <c r="H738" i="5"/>
  <c r="H737" i="5"/>
  <c r="H736" i="5"/>
  <c r="H735" i="5"/>
  <c r="H734" i="5"/>
  <c r="H733" i="5"/>
  <c r="H732" i="5"/>
  <c r="H731" i="5"/>
  <c r="H730" i="5"/>
  <c r="H729" i="5"/>
  <c r="H728" i="5"/>
  <c r="H727" i="5"/>
  <c r="H726" i="5"/>
  <c r="H725" i="5"/>
  <c r="H724" i="5"/>
  <c r="H723" i="5"/>
  <c r="H722" i="5"/>
  <c r="H721" i="5"/>
  <c r="H720" i="5"/>
  <c r="H719" i="5"/>
  <c r="H718" i="5"/>
  <c r="H717" i="5"/>
  <c r="H716" i="5"/>
  <c r="H715" i="5"/>
  <c r="H714" i="5"/>
  <c r="H713" i="5"/>
  <c r="H712" i="5"/>
  <c r="H711" i="5"/>
  <c r="H710" i="5"/>
  <c r="H709" i="5"/>
  <c r="H708" i="5"/>
  <c r="H707" i="5"/>
  <c r="H706" i="5"/>
  <c r="H705" i="5"/>
  <c r="H704" i="5"/>
  <c r="H703" i="5"/>
  <c r="H702" i="5"/>
  <c r="H701" i="5"/>
  <c r="H700" i="5"/>
  <c r="H699" i="5"/>
  <c r="H698" i="5"/>
  <c r="H697" i="5"/>
  <c r="H696" i="5"/>
  <c r="H695" i="5"/>
  <c r="H694" i="5"/>
  <c r="H693" i="5"/>
  <c r="H692" i="5"/>
  <c r="H691" i="5"/>
  <c r="H690" i="5"/>
  <c r="H689" i="5"/>
  <c r="H688" i="5"/>
  <c r="H687" i="5"/>
  <c r="H686" i="5"/>
  <c r="H685" i="5"/>
  <c r="H684" i="5"/>
  <c r="H683" i="5"/>
  <c r="H682" i="5"/>
  <c r="H681" i="5"/>
  <c r="H680" i="5"/>
  <c r="H679" i="5"/>
  <c r="H678" i="5"/>
  <c r="H677" i="5"/>
  <c r="H676" i="5"/>
  <c r="H675" i="5"/>
  <c r="H674" i="5"/>
  <c r="H673" i="5"/>
  <c r="H672" i="5"/>
  <c r="H671" i="5"/>
  <c r="H670" i="5"/>
  <c r="H669" i="5"/>
  <c r="H668" i="5"/>
  <c r="H667" i="5"/>
  <c r="H666" i="5"/>
  <c r="H665" i="5"/>
  <c r="H664" i="5"/>
  <c r="H663" i="5"/>
  <c r="H662" i="5"/>
  <c r="H661" i="5"/>
  <c r="H660" i="5"/>
  <c r="H659" i="5"/>
  <c r="H658" i="5"/>
  <c r="H657" i="5"/>
  <c r="H656" i="5"/>
  <c r="H655" i="5"/>
  <c r="H654" i="5"/>
  <c r="H653" i="5"/>
  <c r="H652" i="5"/>
  <c r="H651" i="5"/>
  <c r="H650" i="5"/>
  <c r="H649" i="5"/>
  <c r="H648" i="5"/>
  <c r="H647" i="5"/>
  <c r="H646" i="5"/>
  <c r="H645" i="5"/>
  <c r="H644" i="5"/>
  <c r="H643" i="5"/>
  <c r="H642" i="5"/>
  <c r="H641" i="5"/>
  <c r="H640" i="5"/>
  <c r="H639" i="5"/>
  <c r="H638" i="5"/>
  <c r="H637" i="5"/>
  <c r="H636" i="5"/>
  <c r="H635" i="5"/>
  <c r="H634" i="5"/>
  <c r="H633" i="5"/>
  <c r="H632" i="5"/>
  <c r="H631" i="5"/>
  <c r="H630" i="5"/>
  <c r="H629" i="5"/>
  <c r="H628" i="5"/>
  <c r="H627" i="5"/>
  <c r="H626" i="5"/>
  <c r="H625" i="5"/>
  <c r="H624" i="5"/>
  <c r="H623" i="5"/>
  <c r="H622" i="5"/>
  <c r="H621" i="5"/>
  <c r="H620" i="5"/>
  <c r="H619" i="5"/>
  <c r="H618" i="5"/>
  <c r="H617" i="5"/>
  <c r="H616" i="5"/>
  <c r="H615" i="5"/>
  <c r="H614" i="5"/>
  <c r="H613" i="5"/>
  <c r="H612" i="5"/>
  <c r="H611" i="5"/>
  <c r="H610" i="5"/>
  <c r="H609" i="5"/>
  <c r="H608" i="5"/>
  <c r="H607" i="5"/>
  <c r="H606" i="5"/>
  <c r="H605" i="5"/>
  <c r="H604" i="5"/>
  <c r="H603" i="5"/>
  <c r="H602" i="5"/>
  <c r="H601" i="5"/>
  <c r="H600" i="5"/>
  <c r="H599" i="5"/>
  <c r="H598" i="5"/>
  <c r="H597" i="5"/>
  <c r="H596" i="5"/>
  <c r="H595" i="5"/>
  <c r="H594" i="5"/>
  <c r="H593" i="5"/>
  <c r="H592" i="5"/>
  <c r="H591" i="5"/>
  <c r="H590" i="5"/>
  <c r="H589" i="5"/>
  <c r="H588" i="5"/>
  <c r="H587" i="5"/>
  <c r="H586" i="5"/>
  <c r="H585" i="5"/>
  <c r="H584" i="5"/>
  <c r="H583" i="5"/>
  <c r="H582" i="5"/>
  <c r="H581" i="5"/>
  <c r="H580" i="5"/>
  <c r="H579" i="5"/>
  <c r="H578" i="5"/>
  <c r="H577" i="5"/>
  <c r="H576" i="5"/>
  <c r="H575" i="5"/>
  <c r="H574" i="5"/>
  <c r="H573" i="5"/>
  <c r="H572" i="5"/>
  <c r="H571" i="5"/>
  <c r="H570" i="5"/>
  <c r="H569" i="5"/>
  <c r="H568" i="5"/>
  <c r="H567" i="5"/>
  <c r="H566" i="5"/>
  <c r="H565" i="5"/>
  <c r="H564" i="5"/>
  <c r="H563" i="5"/>
  <c r="H562" i="5"/>
  <c r="H561" i="5"/>
  <c r="H560" i="5"/>
  <c r="H559" i="5"/>
  <c r="H558" i="5"/>
  <c r="H557" i="5"/>
  <c r="H556" i="5"/>
  <c r="H555" i="5"/>
  <c r="H554" i="5"/>
  <c r="H553" i="5"/>
  <c r="H552" i="5"/>
  <c r="H551" i="5"/>
  <c r="H550" i="5"/>
  <c r="H549" i="5"/>
  <c r="H548" i="5"/>
  <c r="H547" i="5"/>
  <c r="H546" i="5"/>
  <c r="H545" i="5"/>
  <c r="H544" i="5"/>
  <c r="H543" i="5"/>
  <c r="H542" i="5"/>
  <c r="H541" i="5"/>
  <c r="H540" i="5"/>
  <c r="H539" i="5"/>
  <c r="H538" i="5"/>
  <c r="H537" i="5"/>
  <c r="H536" i="5"/>
  <c r="H535" i="5"/>
  <c r="H534" i="5"/>
  <c r="H533" i="5"/>
  <c r="H532" i="5"/>
  <c r="H531" i="5"/>
  <c r="H530" i="5"/>
  <c r="H529" i="5"/>
  <c r="H528" i="5"/>
  <c r="H527" i="5"/>
  <c r="H526" i="5"/>
  <c r="H525" i="5"/>
  <c r="H524" i="5"/>
  <c r="H523" i="5"/>
  <c r="H522" i="5"/>
  <c r="H521" i="5"/>
  <c r="H520" i="5"/>
  <c r="H519" i="5"/>
  <c r="H518" i="5"/>
  <c r="H517" i="5"/>
  <c r="H516" i="5"/>
  <c r="H515" i="5"/>
  <c r="H514" i="5"/>
  <c r="H513" i="5"/>
  <c r="H512" i="5"/>
  <c r="H511" i="5"/>
  <c r="H510" i="5"/>
  <c r="H509" i="5"/>
  <c r="H508" i="5"/>
  <c r="H507" i="5"/>
  <c r="H506" i="5"/>
  <c r="H505" i="5"/>
  <c r="H504" i="5"/>
  <c r="H503" i="5"/>
  <c r="H502" i="5"/>
  <c r="H501" i="5"/>
  <c r="H500" i="5"/>
  <c r="H499" i="5"/>
  <c r="H498" i="5"/>
  <c r="H497" i="5"/>
  <c r="H496" i="5"/>
  <c r="H495" i="5"/>
  <c r="H494" i="5"/>
  <c r="H493" i="5"/>
  <c r="H492" i="5"/>
  <c r="H491" i="5"/>
  <c r="H490" i="5"/>
  <c r="H489" i="5"/>
  <c r="H488" i="5"/>
  <c r="H487" i="5"/>
  <c r="H486" i="5"/>
  <c r="H485" i="5"/>
  <c r="H484" i="5"/>
  <c r="H483" i="5"/>
  <c r="H482" i="5"/>
  <c r="H481" i="5"/>
  <c r="H480" i="5"/>
  <c r="H479" i="5"/>
  <c r="H478" i="5"/>
  <c r="H477" i="5"/>
  <c r="H476" i="5"/>
  <c r="H475" i="5"/>
  <c r="H474" i="5"/>
  <c r="H473" i="5"/>
  <c r="H472" i="5"/>
  <c r="H471" i="5"/>
  <c r="H470" i="5"/>
  <c r="H469" i="5"/>
  <c r="H468" i="5"/>
  <c r="H467" i="5"/>
  <c r="H466" i="5"/>
  <c r="H465" i="5"/>
  <c r="H464" i="5"/>
  <c r="H463" i="5"/>
  <c r="H462" i="5"/>
  <c r="H461" i="5"/>
  <c r="H460" i="5"/>
  <c r="H459" i="5"/>
  <c r="H458" i="5"/>
  <c r="H457" i="5"/>
  <c r="H456" i="5"/>
  <c r="H455" i="5"/>
  <c r="H454" i="5"/>
  <c r="H453" i="5"/>
  <c r="H452" i="5"/>
  <c r="H451" i="5"/>
  <c r="H450" i="5"/>
  <c r="H449" i="5"/>
  <c r="H448" i="5"/>
  <c r="H447" i="5"/>
  <c r="H446" i="5"/>
  <c r="H445" i="5"/>
  <c r="H444" i="5"/>
  <c r="H443" i="5"/>
  <c r="H442" i="5"/>
  <c r="H441" i="5"/>
  <c r="H440" i="5"/>
  <c r="H439" i="5"/>
  <c r="H438" i="5"/>
  <c r="H437" i="5"/>
  <c r="H436" i="5"/>
  <c r="H435" i="5"/>
  <c r="H434" i="5"/>
  <c r="H433" i="5"/>
  <c r="H432" i="5"/>
  <c r="H431" i="5"/>
  <c r="H430" i="5"/>
  <c r="H429" i="5"/>
  <c r="H428" i="5"/>
  <c r="H427" i="5"/>
  <c r="H426" i="5"/>
  <c r="H425" i="5"/>
  <c r="H424" i="5"/>
  <c r="H423" i="5"/>
  <c r="H422" i="5"/>
  <c r="H421" i="5"/>
  <c r="H420" i="5"/>
  <c r="H419" i="5"/>
  <c r="H418" i="5"/>
  <c r="H417" i="5"/>
  <c r="H416" i="5"/>
  <c r="H415" i="5"/>
  <c r="H414" i="5"/>
  <c r="H413" i="5"/>
  <c r="H412" i="5"/>
  <c r="H411" i="5"/>
  <c r="H410" i="5"/>
  <c r="H409" i="5"/>
  <c r="H408" i="5"/>
  <c r="H407" i="5"/>
  <c r="H406" i="5"/>
  <c r="H405" i="5"/>
  <c r="H404" i="5"/>
  <c r="H403" i="5"/>
  <c r="H402" i="5"/>
  <c r="H401" i="5"/>
  <c r="H400" i="5"/>
  <c r="H399" i="5"/>
  <c r="H398" i="5"/>
  <c r="H397" i="5"/>
  <c r="H396" i="5"/>
  <c r="H395" i="5"/>
  <c r="H394" i="5"/>
  <c r="H393" i="5"/>
  <c r="H392" i="5"/>
  <c r="H391" i="5"/>
  <c r="H390" i="5"/>
  <c r="H389" i="5"/>
  <c r="H388" i="5"/>
  <c r="H387" i="5"/>
  <c r="H386" i="5"/>
  <c r="H385" i="5"/>
  <c r="H384" i="5"/>
  <c r="H383" i="5"/>
  <c r="H382" i="5"/>
  <c r="H381" i="5"/>
  <c r="H380" i="5"/>
  <c r="H379" i="5"/>
  <c r="H378" i="5"/>
  <c r="H377" i="5"/>
  <c r="H376" i="5"/>
  <c r="H375" i="5"/>
  <c r="H374" i="5"/>
  <c r="H373" i="5"/>
  <c r="H372" i="5"/>
  <c r="H371" i="5"/>
  <c r="H370" i="5"/>
  <c r="H369" i="5"/>
  <c r="H368" i="5"/>
  <c r="H367" i="5"/>
  <c r="H366" i="5"/>
  <c r="H365" i="5"/>
  <c r="H364" i="5"/>
  <c r="H363" i="5"/>
  <c r="H362" i="5"/>
  <c r="H361" i="5"/>
  <c r="H360" i="5"/>
  <c r="H359" i="5"/>
  <c r="H358" i="5"/>
  <c r="H357" i="5"/>
  <c r="H356" i="5"/>
  <c r="H355" i="5"/>
  <c r="H354" i="5"/>
  <c r="H353" i="5"/>
  <c r="H352" i="5"/>
  <c r="H351" i="5"/>
  <c r="H350" i="5"/>
  <c r="H349" i="5"/>
  <c r="H348" i="5"/>
  <c r="H347" i="5"/>
  <c r="H346" i="5"/>
  <c r="H345" i="5"/>
  <c r="H344" i="5"/>
  <c r="H343" i="5"/>
  <c r="H342" i="5"/>
  <c r="H341" i="5"/>
  <c r="H340" i="5"/>
  <c r="H339" i="5"/>
  <c r="H338" i="5"/>
  <c r="H337" i="5"/>
  <c r="H336" i="5"/>
  <c r="H335" i="5"/>
  <c r="H334" i="5"/>
  <c r="H333" i="5"/>
  <c r="H332" i="5"/>
  <c r="H331" i="5"/>
  <c r="H330" i="5"/>
  <c r="H329" i="5"/>
  <c r="H328" i="5"/>
  <c r="H327" i="5"/>
  <c r="H326" i="5"/>
  <c r="H325" i="5"/>
  <c r="H324" i="5"/>
  <c r="H323" i="5"/>
  <c r="H322" i="5"/>
  <c r="H321" i="5"/>
  <c r="H320" i="5"/>
  <c r="H319" i="5"/>
  <c r="H318" i="5"/>
  <c r="H317" i="5"/>
  <c r="H316" i="5"/>
  <c r="H315" i="5"/>
  <c r="H314" i="5"/>
  <c r="H313" i="5"/>
  <c r="H312" i="5"/>
  <c r="H311" i="5"/>
  <c r="H310" i="5"/>
  <c r="H309" i="5"/>
  <c r="H308" i="5"/>
  <c r="H307" i="5"/>
  <c r="H306" i="5"/>
  <c r="H305" i="5"/>
  <c r="H304" i="5"/>
  <c r="H303" i="5"/>
  <c r="H302" i="5"/>
  <c r="H301" i="5"/>
  <c r="H300" i="5"/>
  <c r="H299" i="5"/>
  <c r="H298" i="5"/>
  <c r="H297" i="5"/>
  <c r="H296" i="5"/>
  <c r="H295" i="5"/>
  <c r="H294" i="5"/>
  <c r="H293" i="5"/>
  <c r="H292" i="5"/>
  <c r="H291" i="5"/>
  <c r="H290" i="5"/>
  <c r="H289" i="5"/>
  <c r="H288" i="5"/>
  <c r="H287" i="5"/>
  <c r="H286" i="5"/>
  <c r="H285" i="5"/>
  <c r="H284" i="5"/>
  <c r="H283" i="5"/>
  <c r="H282" i="5"/>
  <c r="H281" i="5"/>
  <c r="H280" i="5"/>
  <c r="H279" i="5"/>
  <c r="H278" i="5"/>
  <c r="H277" i="5"/>
  <c r="H276" i="5"/>
  <c r="H275" i="5"/>
  <c r="H274" i="5"/>
  <c r="H273" i="5"/>
  <c r="H272" i="5"/>
  <c r="H271" i="5"/>
  <c r="H270" i="5"/>
  <c r="H269" i="5"/>
  <c r="H268" i="5"/>
  <c r="H267" i="5"/>
  <c r="H266" i="5"/>
  <c r="H265" i="5"/>
  <c r="H264" i="5"/>
  <c r="H263" i="5"/>
  <c r="H262" i="5"/>
  <c r="H261" i="5"/>
  <c r="H260" i="5"/>
  <c r="H259" i="5"/>
  <c r="H258" i="5"/>
  <c r="H257" i="5"/>
  <c r="H256" i="5"/>
  <c r="H255" i="5"/>
  <c r="H254" i="5"/>
  <c r="H253" i="5"/>
  <c r="H252" i="5"/>
  <c r="H251" i="5"/>
  <c r="H250" i="5"/>
  <c r="H249" i="5"/>
  <c r="H248" i="5"/>
  <c r="H247" i="5"/>
  <c r="H246" i="5"/>
  <c r="H245" i="5"/>
  <c r="H244" i="5"/>
  <c r="H243" i="5"/>
  <c r="H242" i="5"/>
  <c r="H241" i="5"/>
  <c r="H240" i="5"/>
  <c r="H239" i="5"/>
  <c r="H238" i="5"/>
  <c r="H237" i="5"/>
  <c r="H236" i="5"/>
  <c r="H235" i="5"/>
  <c r="H234" i="5"/>
  <c r="H233" i="5"/>
  <c r="H232" i="5"/>
  <c r="H231" i="5"/>
  <c r="H230" i="5"/>
  <c r="H229" i="5"/>
  <c r="H228" i="5"/>
  <c r="H227" i="5"/>
  <c r="H226" i="5"/>
  <c r="H225" i="5"/>
  <c r="H224" i="5"/>
  <c r="H223" i="5"/>
  <c r="H222" i="5"/>
  <c r="H221" i="5"/>
  <c r="H220" i="5"/>
  <c r="H219" i="5"/>
  <c r="H218" i="5"/>
  <c r="H217" i="5"/>
  <c r="H216" i="5"/>
  <c r="H215" i="5"/>
  <c r="H214" i="5"/>
  <c r="H213" i="5"/>
  <c r="H212" i="5"/>
  <c r="H211" i="5"/>
  <c r="H210" i="5"/>
  <c r="H209" i="5"/>
  <c r="H208" i="5"/>
  <c r="H207" i="5"/>
  <c r="H206" i="5"/>
  <c r="H205" i="5"/>
  <c r="H204" i="5"/>
  <c r="H203" i="5"/>
  <c r="H202" i="5"/>
  <c r="H201"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A4" i="5"/>
  <c r="A5" i="5" s="1"/>
  <c r="H5" i="4"/>
  <c r="H665" i="4"/>
  <c r="H664" i="4"/>
  <c r="H545" i="4"/>
  <c r="H435" i="4"/>
  <c r="H434" i="4"/>
  <c r="H433" i="4"/>
  <c r="H432" i="4"/>
  <c r="H431" i="4"/>
  <c r="H430" i="4"/>
  <c r="H429" i="4"/>
  <c r="H428" i="4"/>
  <c r="H426" i="4"/>
  <c r="H425" i="4"/>
  <c r="H424" i="4"/>
  <c r="H423" i="4"/>
  <c r="H422" i="4"/>
  <c r="H421" i="4"/>
  <c r="H420" i="4"/>
  <c r="H419" i="4"/>
  <c r="H418" i="4"/>
  <c r="H417" i="4"/>
  <c r="H416" i="4"/>
  <c r="H415" i="4"/>
  <c r="H414" i="4"/>
  <c r="H413" i="4"/>
  <c r="H412" i="4"/>
  <c r="H411" i="4"/>
  <c r="H410" i="4"/>
  <c r="H409" i="4"/>
  <c r="H408" i="4"/>
  <c r="H407" i="4"/>
  <c r="H406" i="4"/>
  <c r="H405" i="4"/>
  <c r="H404" i="4"/>
  <c r="H403" i="4"/>
  <c r="H402" i="4"/>
  <c r="H401" i="4"/>
  <c r="H400" i="4"/>
  <c r="H399" i="4"/>
  <c r="H398" i="4"/>
  <c r="H397" i="4"/>
  <c r="H396" i="4"/>
  <c r="H395" i="4"/>
  <c r="H394" i="4"/>
  <c r="H393" i="4"/>
  <c r="H392" i="4"/>
  <c r="H391" i="4"/>
  <c r="H390" i="4"/>
  <c r="H389" i="4"/>
  <c r="H387" i="4"/>
  <c r="H386" i="4"/>
  <c r="H385" i="4"/>
  <c r="H384" i="4"/>
  <c r="H383" i="4"/>
  <c r="H382" i="4"/>
  <c r="H381" i="4"/>
  <c r="H380" i="4"/>
  <c r="H379" i="4"/>
  <c r="H378" i="4"/>
  <c r="H377" i="4"/>
  <c r="H376" i="4"/>
  <c r="H375" i="4"/>
  <c r="H374" i="4"/>
  <c r="H373" i="4"/>
  <c r="H371" i="4"/>
  <c r="H370" i="4"/>
  <c r="H369" i="4"/>
  <c r="H368" i="4"/>
  <c r="H367" i="4"/>
  <c r="H366" i="4"/>
  <c r="H365" i="4"/>
  <c r="H364" i="4"/>
  <c r="H363" i="4"/>
  <c r="H362" i="4"/>
  <c r="H361" i="4"/>
  <c r="H360" i="4"/>
  <c r="H359" i="4"/>
  <c r="H358" i="4"/>
  <c r="H357" i="4"/>
  <c r="H356" i="4"/>
  <c r="H355" i="4"/>
  <c r="H354" i="4"/>
  <c r="H353" i="4"/>
  <c r="H352" i="4"/>
  <c r="H351" i="4"/>
  <c r="H350" i="4"/>
  <c r="H349" i="4"/>
  <c r="H348" i="4"/>
  <c r="H347" i="4"/>
  <c r="H346" i="4"/>
  <c r="H345" i="4"/>
  <c r="H344" i="4"/>
  <c r="H343" i="4"/>
  <c r="H342" i="4"/>
  <c r="H341" i="4"/>
  <c r="H340" i="4"/>
  <c r="H339" i="4"/>
  <c r="H338" i="4"/>
  <c r="H337" i="4"/>
  <c r="H336" i="4"/>
  <c r="H335" i="4"/>
  <c r="H334" i="4"/>
  <c r="H333" i="4"/>
  <c r="H332" i="4"/>
  <c r="H331" i="4"/>
  <c r="H330" i="4"/>
  <c r="H329" i="4"/>
  <c r="H328" i="4"/>
  <c r="H327" i="4"/>
  <c r="H326" i="4"/>
  <c r="H325" i="4"/>
  <c r="H324" i="4"/>
  <c r="H323" i="4"/>
  <c r="H322" i="4"/>
  <c r="H321" i="4"/>
  <c r="H320" i="4"/>
  <c r="H319" i="4"/>
  <c r="H318" i="4"/>
  <c r="H317" i="4"/>
  <c r="H316" i="4"/>
  <c r="H315" i="4"/>
  <c r="H314" i="4"/>
  <c r="H313" i="4"/>
  <c r="H312" i="4"/>
  <c r="H311" i="4"/>
  <c r="H310" i="4"/>
  <c r="H309" i="4"/>
  <c r="H308" i="4"/>
  <c r="H307" i="4"/>
  <c r="H306" i="4"/>
  <c r="H305" i="4"/>
  <c r="H304" i="4"/>
  <c r="H303" i="4"/>
  <c r="H302" i="4"/>
  <c r="H301" i="4"/>
  <c r="H300" i="4"/>
  <c r="H299" i="4"/>
  <c r="H298" i="4"/>
  <c r="H297" i="4"/>
  <c r="H296" i="4"/>
  <c r="H295" i="4"/>
  <c r="H294" i="4"/>
  <c r="H293" i="4"/>
  <c r="H292" i="4"/>
  <c r="H291" i="4"/>
  <c r="H290" i="4"/>
  <c r="H289" i="4"/>
  <c r="H288" i="4"/>
  <c r="H287" i="4"/>
  <c r="H286" i="4"/>
  <c r="H285" i="4"/>
  <c r="H284" i="4"/>
  <c r="H283" i="4"/>
  <c r="H282" i="4"/>
  <c r="H281" i="4"/>
  <c r="H280" i="4"/>
  <c r="H279" i="4"/>
  <c r="H278" i="4"/>
  <c r="H277" i="4"/>
  <c r="H276" i="4"/>
  <c r="H275" i="4"/>
  <c r="H274" i="4"/>
  <c r="H273" i="4"/>
  <c r="H272" i="4"/>
  <c r="H271" i="4"/>
  <c r="H270" i="4"/>
  <c r="H269" i="4"/>
  <c r="H268" i="4"/>
  <c r="H267" i="4"/>
  <c r="H266" i="4"/>
  <c r="H265" i="4"/>
  <c r="H264" i="4"/>
  <c r="H263" i="4"/>
  <c r="H262" i="4"/>
  <c r="H261" i="4"/>
  <c r="H260" i="4"/>
  <c r="H259" i="4"/>
  <c r="H258" i="4"/>
  <c r="H257" i="4"/>
  <c r="H256" i="4"/>
  <c r="H255" i="4"/>
  <c r="H254" i="4"/>
  <c r="H253" i="4"/>
  <c r="H252" i="4"/>
  <c r="H251" i="4"/>
  <c r="H250" i="4"/>
  <c r="H249" i="4"/>
  <c r="H248" i="4"/>
  <c r="H247" i="4"/>
  <c r="H246" i="4"/>
  <c r="H245" i="4"/>
  <c r="H244" i="4"/>
  <c r="H243" i="4"/>
  <c r="H242" i="4"/>
  <c r="H241" i="4"/>
  <c r="H240" i="4"/>
  <c r="H239" i="4"/>
  <c r="H238" i="4"/>
  <c r="H237" i="4"/>
  <c r="H236" i="4"/>
  <c r="H235" i="4"/>
  <c r="H234" i="4"/>
  <c r="H233" i="4"/>
  <c r="H232" i="4"/>
  <c r="H231" i="4"/>
  <c r="H230" i="4"/>
  <c r="H228" i="4"/>
  <c r="H227" i="4"/>
  <c r="H226" i="4"/>
  <c r="H225" i="4"/>
  <c r="H224" i="4"/>
  <c r="H223" i="4"/>
  <c r="H222" i="4"/>
  <c r="H221" i="4"/>
  <c r="H220" i="4"/>
  <c r="H219" i="4"/>
  <c r="H218" i="4"/>
  <c r="H217" i="4"/>
  <c r="H216" i="4"/>
  <c r="H215" i="4"/>
  <c r="H214" i="4"/>
  <c r="H213" i="4"/>
  <c r="H212" i="4"/>
  <c r="H211" i="4"/>
  <c r="H210" i="4"/>
  <c r="H209" i="4"/>
  <c r="H208" i="4"/>
  <c r="H207" i="4"/>
  <c r="H206" i="4"/>
  <c r="H205" i="4"/>
  <c r="H204" i="4"/>
  <c r="H203" i="4"/>
  <c r="H202" i="4"/>
  <c r="H201" i="4"/>
  <c r="H200" i="4"/>
  <c r="H199" i="4"/>
  <c r="H198" i="4"/>
  <c r="H197" i="4"/>
  <c r="H196" i="4"/>
  <c r="H195" i="4"/>
  <c r="H194" i="4"/>
  <c r="H193" i="4"/>
  <c r="H192" i="4"/>
  <c r="H191" i="4"/>
  <c r="H190" i="4"/>
  <c r="H189" i="4"/>
  <c r="H188" i="4"/>
  <c r="H186" i="4"/>
  <c r="H185" i="4"/>
  <c r="H184" i="4"/>
  <c r="H183" i="4"/>
  <c r="H182" i="4"/>
  <c r="H180" i="4"/>
  <c r="H179" i="4"/>
  <c r="H178" i="4"/>
  <c r="H177" i="4"/>
  <c r="H176" i="4"/>
  <c r="H175" i="4"/>
  <c r="H174" i="4"/>
  <c r="H173" i="4"/>
  <c r="H172" i="4"/>
  <c r="H171" i="4"/>
  <c r="H170" i="4"/>
  <c r="H169" i="4"/>
  <c r="H168" i="4"/>
  <c r="H167" i="4"/>
  <c r="H166" i="4"/>
  <c r="H165" i="4"/>
  <c r="H164" i="4"/>
  <c r="H163" i="4"/>
  <c r="H162" i="4"/>
  <c r="H161" i="4"/>
  <c r="H160" i="4"/>
  <c r="H158" i="4"/>
  <c r="H157" i="4"/>
  <c r="H156" i="4"/>
  <c r="H155" i="4"/>
  <c r="H154" i="4"/>
  <c r="H153" i="4"/>
  <c r="H152" i="4"/>
  <c r="H151" i="4"/>
  <c r="H150" i="4"/>
  <c r="H149" i="4"/>
  <c r="H148" i="4"/>
  <c r="H147" i="4"/>
  <c r="H146" i="4"/>
  <c r="H145" i="4"/>
  <c r="H144" i="4"/>
  <c r="H143" i="4"/>
  <c r="H142" i="4"/>
  <c r="H141" i="4"/>
  <c r="H140" i="4"/>
  <c r="H139" i="4"/>
  <c r="H138" i="4"/>
  <c r="H137" i="4"/>
  <c r="H136" i="4"/>
  <c r="H135" i="4"/>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8" i="4"/>
  <c r="H7" i="4"/>
  <c r="H6" i="4"/>
  <c r="H4" i="4"/>
  <c r="A4" i="4"/>
  <c r="A5" i="4" s="1"/>
  <c r="A6" i="4" s="1"/>
  <c r="A7" i="4" s="1"/>
  <c r="A8" i="4" s="1"/>
  <c r="A9" i="4" s="1"/>
  <c r="A10" i="4" s="1"/>
  <c r="A11" i="4" s="1"/>
  <c r="A12" i="4" s="1"/>
  <c r="A13" i="4" s="1"/>
  <c r="A14" i="4" s="1"/>
  <c r="A15" i="4" s="1"/>
  <c r="A16" i="4" s="1"/>
  <c r="A17" i="4" s="1"/>
  <c r="A18" i="4" s="1"/>
  <c r="A545" i="1" l="1"/>
  <c r="E4" i="12" l="1"/>
  <c r="J2" i="9"/>
  <c r="K2" i="9"/>
  <c r="E2" i="9"/>
  <c r="L2" i="9" l="1"/>
  <c r="A19" i="4" l="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l="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l="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1" i="4" s="1"/>
  <c r="A272" i="4" s="1"/>
  <c r="A273" i="4" s="1"/>
  <c r="A274"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A296" i="4" s="1"/>
  <c r="A297" i="4" s="1"/>
  <c r="A298" i="4" s="1"/>
  <c r="A299" i="4" s="1"/>
  <c r="A300" i="4" s="1"/>
  <c r="A301" i="4" s="1"/>
  <c r="A302" i="4" s="1"/>
  <c r="A303" i="4" s="1"/>
  <c r="A304" i="4" s="1"/>
  <c r="A305" i="4" s="1"/>
  <c r="A306" i="4" s="1"/>
  <c r="A307" i="4" s="1"/>
  <c r="A308" i="4" s="1"/>
  <c r="A309" i="4" s="1"/>
  <c r="A310" i="4" s="1"/>
  <c r="A311" i="4" s="1"/>
  <c r="A312" i="4" s="1"/>
  <c r="A313" i="4" s="1"/>
  <c r="A314" i="4" s="1"/>
  <c r="A315" i="4" s="1"/>
  <c r="A316" i="4" s="1"/>
  <c r="A317" i="4" s="1"/>
  <c r="A318" i="4" s="1"/>
  <c r="A319" i="4" s="1"/>
  <c r="A320" i="4" s="1"/>
  <c r="A321" i="4" s="1"/>
  <c r="A322" i="4" s="1"/>
  <c r="A323" i="4" s="1"/>
  <c r="A324" i="4" s="1"/>
  <c r="A325" i="4" s="1"/>
  <c r="A326" i="4" s="1"/>
  <c r="A327" i="4" s="1"/>
  <c r="A328" i="4" s="1"/>
  <c r="A329" i="4" s="1"/>
  <c r="A330" i="4" s="1"/>
  <c r="A331" i="4" s="1"/>
  <c r="A332" i="4" s="1"/>
  <c r="A333" i="4" s="1"/>
  <c r="A334" i="4" s="1"/>
  <c r="A335" i="4" s="1"/>
  <c r="A336" i="4" s="1"/>
  <c r="A337" i="4" s="1"/>
  <c r="A338" i="4" s="1"/>
  <c r="A339" i="4" s="1"/>
  <c r="A340" i="4" s="1"/>
  <c r="A341" i="4" s="1"/>
  <c r="A342" i="4" s="1"/>
  <c r="A343" i="4" s="1"/>
  <c r="A344" i="4" s="1"/>
  <c r="A345" i="4" s="1"/>
  <c r="A346" i="4" s="1"/>
  <c r="A347" i="4" s="1"/>
  <c r="A348" i="4" s="1"/>
  <c r="A349" i="4" s="1"/>
  <c r="A350" i="4" s="1"/>
  <c r="A351" i="4" s="1"/>
  <c r="A352" i="4" s="1"/>
  <c r="A353" i="4" s="1"/>
  <c r="A354" i="4" s="1"/>
  <c r="A355" i="4" s="1"/>
  <c r="A356" i="4" s="1"/>
  <c r="A357" i="4" s="1"/>
  <c r="A358" i="4" s="1"/>
  <c r="A359" i="4" s="1"/>
  <c r="A360" i="4" s="1"/>
  <c r="A361" i="4" s="1"/>
  <c r="A362" i="4" s="1"/>
  <c r="A363" i="4" s="1"/>
  <c r="A364" i="4" s="1"/>
  <c r="A365" i="4" s="1"/>
  <c r="A366" i="4" s="1"/>
  <c r="A367" i="4" s="1"/>
  <c r="A368" i="4" s="1"/>
  <c r="A369" i="4" s="1"/>
  <c r="A370" i="4" s="1"/>
  <c r="A371" i="4" s="1"/>
  <c r="A372" i="4" s="1"/>
  <c r="A373" i="4" s="1"/>
  <c r="A374" i="4" s="1"/>
  <c r="A375" i="4" s="1"/>
  <c r="A376" i="4" s="1"/>
  <c r="A377" i="4" s="1"/>
  <c r="A378" i="4" s="1"/>
  <c r="A379" i="4" s="1"/>
  <c r="A380" i="4" s="1"/>
  <c r="A381" i="4" s="1"/>
  <c r="A382" i="4" s="1"/>
  <c r="A383" i="4" s="1"/>
  <c r="A384" i="4" s="1"/>
  <c r="A385" i="4" s="1"/>
  <c r="A386" i="4" s="1"/>
  <c r="A387" i="4" s="1"/>
  <c r="A388" i="4" s="1"/>
  <c r="A389" i="4" s="1"/>
  <c r="A390" i="4" s="1"/>
  <c r="A391" i="4" s="1"/>
  <c r="A392" i="4" s="1"/>
  <c r="A393" i="4" s="1"/>
  <c r="A394" i="4" s="1"/>
  <c r="A395" i="4" s="1"/>
  <c r="A396" i="4" s="1"/>
  <c r="A397" i="4" s="1"/>
  <c r="A398" i="4" s="1"/>
  <c r="A399" i="4" s="1"/>
  <c r="A400" i="4" s="1"/>
  <c r="A401" i="4" s="1"/>
  <c r="A402" i="4" s="1"/>
  <c r="A403" i="4" s="1"/>
  <c r="A404" i="4" s="1"/>
  <c r="A405" i="4" s="1"/>
  <c r="A406" i="4" s="1"/>
  <c r="A407" i="4" s="1"/>
  <c r="A408" i="4" s="1"/>
  <c r="A409" i="4" s="1"/>
  <c r="A410" i="4" s="1"/>
  <c r="A411" i="4" s="1"/>
  <c r="A412" i="4" s="1"/>
  <c r="A413" i="4" s="1"/>
  <c r="A414" i="4" s="1"/>
  <c r="A415" i="4" s="1"/>
  <c r="A416" i="4" s="1"/>
  <c r="A417" i="4" s="1"/>
  <c r="A418" i="4" s="1"/>
  <c r="A419" i="4" s="1"/>
  <c r="A420" i="4" s="1"/>
  <c r="A421" i="4" s="1"/>
  <c r="A422" i="4" s="1"/>
  <c r="A423" i="4" s="1"/>
  <c r="A424" i="4" s="1"/>
  <c r="A425" i="4" s="1"/>
  <c r="A426" i="4" s="1"/>
  <c r="A427" i="4" s="1"/>
  <c r="A428" i="4" s="1"/>
  <c r="A429" i="4" s="1"/>
  <c r="A430" i="4" s="1"/>
  <c r="A431" i="4" s="1"/>
  <c r="A432" i="4" s="1"/>
  <c r="A433" i="4" s="1"/>
  <c r="A434" i="4" s="1"/>
  <c r="A435" i="4" s="1"/>
  <c r="A436" i="4" s="1"/>
  <c r="A437" i="4" s="1"/>
  <c r="A438" i="4" s="1"/>
  <c r="A439" i="4" s="1"/>
  <c r="A440" i="4" s="1"/>
  <c r="A441" i="4" s="1"/>
  <c r="A442" i="4" s="1"/>
  <c r="A443" i="4" s="1"/>
  <c r="A444" i="4" s="1"/>
  <c r="A445" i="4" s="1"/>
  <c r="A446" i="4" s="1"/>
  <c r="A447" i="4" s="1"/>
  <c r="A448" i="4" s="1"/>
  <c r="A449" i="4" s="1"/>
  <c r="A450" i="4" s="1"/>
  <c r="A451" i="4" s="1"/>
  <c r="A452" i="4" s="1"/>
  <c r="A453" i="4" s="1"/>
  <c r="A454" i="4" s="1"/>
  <c r="A455" i="4" s="1"/>
  <c r="A456" i="4" s="1"/>
  <c r="A457" i="4" s="1"/>
  <c r="A458" i="4" s="1"/>
  <c r="A459" i="4" s="1"/>
  <c r="A460" i="4" s="1"/>
  <c r="A461" i="4" s="1"/>
  <c r="A462" i="4" s="1"/>
  <c r="A463" i="4" s="1"/>
  <c r="A464" i="4" s="1"/>
  <c r="A465" i="4" s="1"/>
  <c r="A466" i="4" s="1"/>
  <c r="A467" i="4" s="1"/>
  <c r="A468" i="4" s="1"/>
  <c r="A469" i="4" s="1"/>
  <c r="A470" i="4" s="1"/>
  <c r="A471" i="4" s="1"/>
  <c r="A472" i="4" s="1"/>
  <c r="A473" i="4" s="1"/>
  <c r="A474" i="4" s="1"/>
  <c r="A475" i="4" s="1"/>
  <c r="A476" i="4" s="1"/>
  <c r="A477" i="4" s="1"/>
  <c r="A478" i="4" s="1"/>
  <c r="A479" i="4" s="1"/>
  <c r="A480" i="4" s="1"/>
  <c r="A481" i="4" s="1"/>
  <c r="A482" i="4" s="1"/>
  <c r="A483" i="4" s="1"/>
  <c r="A484" i="4" s="1"/>
  <c r="A485" i="4" s="1"/>
  <c r="A486" i="4" s="1"/>
  <c r="A487" i="4" s="1"/>
  <c r="A488" i="4" s="1"/>
  <c r="A489" i="4" s="1"/>
  <c r="A490" i="4" s="1"/>
  <c r="A491" i="4" s="1"/>
  <c r="A492" i="4" s="1"/>
  <c r="A493" i="4" s="1"/>
  <c r="A494" i="4" s="1"/>
  <c r="A495" i="4" s="1"/>
  <c r="A496" i="4" s="1"/>
  <c r="A497" i="4" s="1"/>
  <c r="A498" i="4" s="1"/>
  <c r="A499" i="4" s="1"/>
  <c r="A500" i="4" s="1"/>
  <c r="A501" i="4" s="1"/>
  <c r="A502" i="4" s="1"/>
  <c r="A503" i="4" s="1"/>
  <c r="A504" i="4" s="1"/>
  <c r="A505" i="4" s="1"/>
  <c r="A506" i="4" s="1"/>
  <c r="A507" i="4" s="1"/>
  <c r="A508" i="4" s="1"/>
  <c r="A509" i="4" s="1"/>
  <c r="A510" i="4" s="1"/>
  <c r="A511" i="4" s="1"/>
  <c r="A512" i="4" s="1"/>
  <c r="A513" i="4" s="1"/>
  <c r="A514" i="4" s="1"/>
  <c r="A515" i="4" s="1"/>
  <c r="A516" i="4" s="1"/>
  <c r="A517" i="4" s="1"/>
  <c r="A518" i="4" s="1"/>
  <c r="A519" i="4" s="1"/>
  <c r="A520" i="4" s="1"/>
  <c r="A521" i="4" l="1"/>
  <c r="A522" i="4" s="1"/>
  <c r="A523" i="4" s="1"/>
  <c r="A524" i="4" s="1"/>
  <c r="A525" i="4" s="1"/>
  <c r="A526" i="4" s="1"/>
  <c r="A527" i="4" s="1"/>
  <c r="A528" i="4" s="1"/>
  <c r="A529" i="4" s="1"/>
  <c r="A530" i="4" s="1"/>
  <c r="A531" i="4" s="1"/>
  <c r="A532" i="4" s="1"/>
  <c r="A533" i="4" s="1"/>
  <c r="A534" i="4" s="1"/>
  <c r="A535" i="4" s="1"/>
  <c r="A536" i="4" s="1"/>
  <c r="A537" i="4" s="1"/>
  <c r="A539" i="4" s="1"/>
  <c r="A540" i="4" s="1"/>
  <c r="A541" i="4" s="1"/>
  <c r="A538" i="4" s="1"/>
  <c r="A542" i="4" s="1"/>
  <c r="I12" i="9"/>
  <c r="G2" i="9"/>
  <c r="A543" i="4" l="1"/>
  <c r="N2" i="9"/>
  <c r="I2" i="9"/>
  <c r="A544" i="4" l="1"/>
  <c r="A545" i="4" s="1"/>
  <c r="A546" i="4" s="1"/>
  <c r="A547" i="4" s="1"/>
  <c r="A548" i="4" s="1"/>
  <c r="A549" i="4" s="1"/>
  <c r="A550" i="4" s="1"/>
  <c r="A551" i="4" s="1"/>
  <c r="A552" i="4" s="1"/>
  <c r="A553" i="4" s="1"/>
  <c r="A554" i="4" s="1"/>
  <c r="A555" i="4" s="1"/>
  <c r="A556" i="4" s="1"/>
  <c r="A557" i="4" s="1"/>
  <c r="A558" i="4" s="1"/>
  <c r="A559" i="4" s="1"/>
  <c r="A560" i="4" s="1"/>
  <c r="A561" i="4" s="1"/>
  <c r="A562" i="4" s="1"/>
  <c r="A563" i="4" s="1"/>
  <c r="A564" i="4" s="1"/>
  <c r="A565" i="4" s="1"/>
  <c r="A566" i="4" s="1"/>
  <c r="A567" i="4" s="1"/>
  <c r="A568" i="4" s="1"/>
  <c r="A569" i="4" s="1"/>
  <c r="A570" i="4" s="1"/>
  <c r="A571" i="4" s="1"/>
  <c r="A572" i="4" s="1"/>
  <c r="A6" i="5"/>
  <c r="A7" i="5" s="1"/>
  <c r="A8" i="5" s="1"/>
  <c r="A9" i="5" s="1"/>
  <c r="A10" i="5" s="1"/>
  <c r="A11" i="5" s="1"/>
  <c r="A12" i="5" s="1"/>
  <c r="A13" i="5" s="1"/>
  <c r="A14" i="5" s="1"/>
  <c r="A573" i="4" l="1"/>
  <c r="A574" i="4" s="1"/>
  <c r="A575" i="4" s="1"/>
  <c r="A576" i="4" s="1"/>
  <c r="A577" i="4" s="1"/>
  <c r="A578" i="4" s="1"/>
  <c r="A579" i="4" s="1"/>
  <c r="A580" i="4" s="1"/>
  <c r="A581" i="4" s="1"/>
  <c r="A582" i="4" s="1"/>
  <c r="A583" i="4" s="1"/>
  <c r="A584" i="4" s="1"/>
  <c r="A585" i="4" s="1"/>
  <c r="A586" i="4" s="1"/>
  <c r="A587" i="4" s="1"/>
  <c r="A588" i="4" s="1"/>
  <c r="A589" i="4" s="1"/>
  <c r="A590" i="4" s="1"/>
  <c r="A591" i="4" s="1"/>
  <c r="A592" i="4" s="1"/>
  <c r="A593" i="4" s="1"/>
  <c r="A594" i="4" s="1"/>
  <c r="A595" i="4" s="1"/>
  <c r="A596" i="4" s="1"/>
  <c r="A597" i="4" s="1"/>
  <c r="A598" i="4" s="1"/>
  <c r="A599" i="4" s="1"/>
  <c r="A600" i="4" s="1"/>
  <c r="A601" i="4" s="1"/>
  <c r="A602" i="4" s="1"/>
  <c r="A603" i="4" s="1"/>
  <c r="A604" i="4" s="1"/>
  <c r="A605" i="4" s="1"/>
  <c r="A606" i="4" s="1"/>
  <c r="A607" i="4" s="1"/>
  <c r="A608" i="4" s="1"/>
  <c r="A609" i="4" s="1"/>
  <c r="A610" i="4" s="1"/>
  <c r="A611" i="4" s="1"/>
  <c r="A612" i="4" s="1"/>
  <c r="A613" i="4" s="1"/>
  <c r="A614" i="4" s="1"/>
  <c r="A615" i="4" s="1"/>
  <c r="A616" i="4" s="1"/>
  <c r="A617" i="4" s="1"/>
  <c r="A618" i="4" s="1"/>
  <c r="A619" i="4" s="1"/>
  <c r="A620" i="4" s="1"/>
  <c r="A621" i="4" s="1"/>
  <c r="A622" i="4" s="1"/>
  <c r="A623" i="4" s="1"/>
  <c r="A15" i="5"/>
  <c r="A16" i="5" s="1"/>
  <c r="A17" i="5" s="1"/>
  <c r="A18" i="5" s="1"/>
  <c r="A19" i="5" s="1"/>
  <c r="A20" i="5" s="1"/>
  <c r="A21" i="5" s="1"/>
  <c r="U80" i="9"/>
  <c r="O80" i="9"/>
  <c r="A624" i="4" l="1"/>
  <c r="A625" i="4" s="1"/>
  <c r="A626" i="4" s="1"/>
  <c r="A627" i="4" s="1"/>
  <c r="A628" i="4" s="1"/>
  <c r="A629" i="4" s="1"/>
  <c r="A630" i="4" s="1"/>
  <c r="A631" i="4" s="1"/>
  <c r="A632" i="4" s="1"/>
  <c r="A633" i="4" s="1"/>
  <c r="A634" i="4" s="1"/>
  <c r="A635" i="4" s="1"/>
  <c r="A636" i="4" s="1"/>
  <c r="A637" i="4" s="1"/>
  <c r="A638" i="4" s="1"/>
  <c r="A639" i="4" s="1"/>
  <c r="A640" i="4" s="1"/>
  <c r="A641" i="4" s="1"/>
  <c r="A642" i="4" s="1"/>
  <c r="A643" i="4" s="1"/>
  <c r="A644" i="4" s="1"/>
  <c r="A645" i="4" s="1"/>
  <c r="A646" i="4" s="1"/>
  <c r="A647" i="4" s="1"/>
  <c r="A648" i="4" s="1"/>
  <c r="A649" i="4" s="1"/>
  <c r="A650" i="4" s="1"/>
  <c r="A651" i="4" s="1"/>
  <c r="A652" i="4" s="1"/>
  <c r="A653" i="4" s="1"/>
  <c r="A654" i="4" s="1"/>
  <c r="A655" i="4" s="1"/>
  <c r="A656" i="4" s="1"/>
  <c r="A657" i="4" s="1"/>
  <c r="A658" i="4" s="1"/>
  <c r="A659" i="4" s="1"/>
  <c r="A660" i="4" s="1"/>
  <c r="A661" i="4" s="1"/>
  <c r="A662" i="4" s="1"/>
  <c r="A663" i="4" s="1"/>
  <c r="A664" i="4" s="1"/>
  <c r="A665" i="4" s="1"/>
  <c r="A22" i="5"/>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1" i="4" l="1"/>
  <c r="B5" i="12" s="1"/>
  <c r="M2" i="9"/>
  <c r="U91" i="9"/>
  <c r="O91" i="9"/>
  <c r="O151" i="9" s="1"/>
  <c r="O2" i="9" s="1"/>
  <c r="D15" i="12"/>
  <c r="F14" i="12" s="1"/>
  <c r="P1" i="1"/>
  <c r="Q1" i="1"/>
  <c r="R4" i="1" l="1"/>
  <c r="R5" i="1" l="1"/>
  <c r="R6" i="1" s="1"/>
  <c r="R7" i="1" s="1"/>
  <c r="R8" i="1" s="1"/>
  <c r="R9" i="1" s="1"/>
  <c r="R10" i="1" s="1"/>
  <c r="R11" i="1" s="1"/>
  <c r="R12" i="1" s="1"/>
  <c r="R13" i="1" s="1"/>
  <c r="R14" i="1" s="1"/>
  <c r="R15" i="1" s="1"/>
  <c r="R16" i="1" s="1"/>
  <c r="R17" i="1" s="1"/>
  <c r="R18" i="1" s="1"/>
  <c r="R19" i="1" s="1"/>
  <c r="R20" i="1" s="1"/>
  <c r="R21" i="1" s="1"/>
  <c r="R22" i="1" s="1"/>
  <c r="R23" i="1" s="1"/>
  <c r="R24" i="1" s="1"/>
  <c r="R25" i="1" s="1"/>
  <c r="R26" i="1" s="1"/>
  <c r="R27" i="1" s="1"/>
  <c r="R28" i="1" s="1"/>
  <c r="R29" i="1" s="1"/>
  <c r="R30" i="1" s="1"/>
  <c r="R31" i="1" s="1"/>
  <c r="R32" i="1" s="1"/>
  <c r="R33" i="1" s="1"/>
  <c r="R34" i="1" s="1"/>
  <c r="R35" i="1" s="1"/>
  <c r="R36" i="1" s="1"/>
  <c r="R37" i="1" s="1"/>
  <c r="R38" i="1" s="1"/>
  <c r="R39" i="1" s="1"/>
  <c r="R40" i="1" s="1"/>
  <c r="R41" i="1" s="1"/>
  <c r="R42" i="1" s="1"/>
  <c r="R43" i="1" s="1"/>
  <c r="R44" i="1" s="1"/>
  <c r="R45" i="1" s="1"/>
  <c r="R46" i="1" s="1"/>
  <c r="R47" i="1" s="1"/>
  <c r="R48" i="1" s="1"/>
  <c r="R49" i="1" s="1"/>
  <c r="R50" i="1" s="1"/>
  <c r="R51" i="1" s="1"/>
  <c r="R52" i="1" s="1"/>
  <c r="R53" i="1" s="1"/>
  <c r="R54" i="1" s="1"/>
  <c r="R55" i="1" s="1"/>
  <c r="R56" i="1" s="1"/>
  <c r="R57" i="1" s="1"/>
  <c r="R58" i="1" s="1"/>
  <c r="R59" i="1" s="1"/>
  <c r="R60" i="1" s="1"/>
  <c r="R61" i="1" s="1"/>
  <c r="R62" i="1" s="1"/>
  <c r="R63" i="1" s="1"/>
  <c r="R64" i="1" s="1"/>
  <c r="R65" i="1" s="1"/>
  <c r="R66" i="1" s="1"/>
  <c r="R67" i="1" s="1"/>
  <c r="R68" i="1" s="1"/>
  <c r="R69" i="1" s="1"/>
  <c r="R70" i="1" s="1"/>
  <c r="R71" i="1" s="1"/>
  <c r="R72" i="1" s="1"/>
  <c r="R73" i="1" s="1"/>
  <c r="R74" i="1" s="1"/>
  <c r="R75" i="1" s="1"/>
  <c r="R76" i="1" s="1"/>
  <c r="R77" i="1" s="1"/>
  <c r="R78" i="1" s="1"/>
  <c r="R79" i="1" s="1"/>
  <c r="R80" i="1" s="1"/>
  <c r="R81" i="1" s="1"/>
  <c r="R82" i="1" s="1"/>
  <c r="R83" i="1" s="1"/>
  <c r="R84" i="1" s="1"/>
  <c r="R85" i="1" s="1"/>
  <c r="R86" i="1" s="1"/>
  <c r="R87" i="1" s="1"/>
  <c r="R88" i="1" s="1"/>
  <c r="R89" i="1" s="1"/>
  <c r="R90" i="1" s="1"/>
  <c r="R91" i="1" s="1"/>
  <c r="R92" i="1" s="1"/>
  <c r="R93" i="1" s="1"/>
  <c r="R94" i="1" s="1"/>
  <c r="R95" i="1" s="1"/>
  <c r="R96" i="1" s="1"/>
  <c r="R97" i="1" s="1"/>
  <c r="R98" i="1" s="1"/>
  <c r="R99" i="1" s="1"/>
  <c r="R100" i="1" s="1"/>
  <c r="R101" i="1" s="1"/>
  <c r="R102" i="1" s="1"/>
  <c r="R103" i="1" s="1"/>
  <c r="R104" i="1" s="1"/>
  <c r="R105" i="1" s="1"/>
  <c r="R106" i="1" s="1"/>
  <c r="R107" i="1" s="1"/>
  <c r="R108" i="1" s="1"/>
  <c r="R109" i="1" s="1"/>
  <c r="R110" i="1" s="1"/>
  <c r="R111" i="1" s="1"/>
  <c r="R112" i="1" s="1"/>
  <c r="R113" i="1" s="1"/>
  <c r="R114" i="1" s="1"/>
  <c r="R115" i="1" s="1"/>
  <c r="R116" i="1" s="1"/>
  <c r="R117" i="1" s="1"/>
  <c r="R118" i="1" s="1"/>
  <c r="R119" i="1" s="1"/>
  <c r="R120" i="1" s="1"/>
  <c r="R121" i="1" s="1"/>
  <c r="R122" i="1" s="1"/>
  <c r="R123" i="1" s="1"/>
  <c r="R124" i="1" s="1"/>
  <c r="R125" i="1" s="1"/>
  <c r="R126" i="1" s="1"/>
  <c r="R127" i="1" s="1"/>
  <c r="R128" i="1" s="1"/>
  <c r="R129" i="1" s="1"/>
  <c r="R130" i="1" s="1"/>
  <c r="R131" i="1" s="1"/>
  <c r="R132" i="1" s="1"/>
  <c r="R133" i="1" s="1"/>
  <c r="R134" i="1" s="1"/>
  <c r="R135" i="1" s="1"/>
  <c r="R136" i="1" s="1"/>
  <c r="R137" i="1" s="1"/>
  <c r="R138" i="1" s="1"/>
  <c r="R139" i="1" s="1"/>
  <c r="R140" i="1" s="1"/>
  <c r="R141" i="1" s="1"/>
  <c r="R142" i="1" s="1"/>
  <c r="R143" i="1" s="1"/>
  <c r="R144" i="1" s="1"/>
  <c r="R145" i="1" s="1"/>
  <c r="R146" i="1" s="1"/>
  <c r="R147" i="1" s="1"/>
  <c r="R148" i="1" s="1"/>
  <c r="R149" i="1" s="1"/>
  <c r="R150" i="1" s="1"/>
  <c r="R151" i="1" s="1"/>
  <c r="R152" i="1" s="1"/>
  <c r="R153" i="1" s="1"/>
  <c r="R154" i="1" s="1"/>
  <c r="R155" i="1" s="1"/>
  <c r="R156" i="1" s="1"/>
  <c r="R157" i="1" s="1"/>
  <c r="R158" i="1" s="1"/>
  <c r="R159" i="1" s="1"/>
  <c r="R160" i="1" s="1"/>
  <c r="R161" i="1" s="1"/>
  <c r="R162" i="1" s="1"/>
  <c r="R163" i="1" s="1"/>
  <c r="R164" i="1" s="1"/>
  <c r="R165" i="1" s="1"/>
  <c r="R166" i="1" s="1"/>
  <c r="R167" i="1" s="1"/>
  <c r="R168" i="1" s="1"/>
  <c r="R169" i="1" s="1"/>
  <c r="R170" i="1" s="1"/>
  <c r="R171" i="1" s="1"/>
  <c r="R172" i="1" s="1"/>
  <c r="R173" i="1" s="1"/>
  <c r="R174" i="1" s="1"/>
  <c r="R175" i="1" s="1"/>
  <c r="R176" i="1" s="1"/>
  <c r="R177" i="1" s="1"/>
  <c r="R178" i="1" s="1"/>
  <c r="R179" i="1" s="1"/>
  <c r="R180" i="1" s="1"/>
  <c r="R181" i="1" s="1"/>
  <c r="R182" i="1" s="1"/>
  <c r="R183" i="1" s="1"/>
  <c r="R184" i="1" s="1"/>
  <c r="R185" i="1" s="1"/>
  <c r="R186" i="1" s="1"/>
  <c r="R187" i="1" s="1"/>
  <c r="R188" i="1" s="1"/>
  <c r="R189" i="1" s="1"/>
  <c r="R190" i="1" s="1"/>
  <c r="R191" i="1" s="1"/>
  <c r="R192" i="1" s="1"/>
  <c r="R193" i="1" s="1"/>
  <c r="R194" i="1" s="1"/>
  <c r="R195" i="1" s="1"/>
  <c r="R196" i="1" s="1"/>
  <c r="R197" i="1" s="1"/>
  <c r="R198" i="1" s="1"/>
  <c r="R199" i="1" s="1"/>
  <c r="R200" i="1" s="1"/>
  <c r="R201" i="1" s="1"/>
  <c r="R202" i="1" s="1"/>
  <c r="R203" i="1" s="1"/>
  <c r="R204" i="1" s="1"/>
  <c r="R205" i="1" s="1"/>
  <c r="R206" i="1" s="1"/>
  <c r="R207" i="1" s="1"/>
  <c r="R208" i="1" s="1"/>
  <c r="R209" i="1" s="1"/>
  <c r="R210" i="1" s="1"/>
  <c r="R211" i="1" s="1"/>
  <c r="R212" i="1" s="1"/>
  <c r="R213" i="1" s="1"/>
  <c r="R214" i="1" s="1"/>
  <c r="R215" i="1" s="1"/>
  <c r="R216" i="1" s="1"/>
  <c r="R217" i="1" s="1"/>
  <c r="R218" i="1" s="1"/>
  <c r="R219" i="1" s="1"/>
  <c r="R220" i="1" s="1"/>
  <c r="R221" i="1" s="1"/>
  <c r="R222" i="1" s="1"/>
  <c r="R223" i="1" s="1"/>
  <c r="R224" i="1" s="1"/>
  <c r="R225" i="1" s="1"/>
  <c r="R226" i="1" s="1"/>
  <c r="R227" i="1" s="1"/>
  <c r="R228" i="1" s="1"/>
  <c r="R229" i="1" s="1"/>
  <c r="R230" i="1" s="1"/>
  <c r="R231" i="1" s="1"/>
  <c r="R232" i="1" s="1"/>
  <c r="R233" i="1" s="1"/>
  <c r="R234" i="1" s="1"/>
  <c r="R235" i="1" s="1"/>
  <c r="R236" i="1" s="1"/>
  <c r="R237" i="1" s="1"/>
  <c r="R238" i="1" s="1"/>
  <c r="R239" i="1" s="1"/>
  <c r="R240" i="1" s="1"/>
  <c r="R241" i="1" s="1"/>
  <c r="R242" i="1" s="1"/>
  <c r="R243" i="1" s="1"/>
  <c r="R244" i="1" s="1"/>
  <c r="R245" i="1" s="1"/>
  <c r="R246" i="1" s="1"/>
  <c r="R247" i="1" s="1"/>
  <c r="R248" i="1" s="1"/>
  <c r="R249" i="1" s="1"/>
  <c r="R250" i="1" s="1"/>
  <c r="R251" i="1" s="1"/>
  <c r="R252" i="1" s="1"/>
  <c r="R253" i="1" s="1"/>
  <c r="R254" i="1" s="1"/>
  <c r="R255" i="1" s="1"/>
  <c r="R256" i="1" s="1"/>
  <c r="R257" i="1" s="1"/>
  <c r="R258" i="1" s="1"/>
  <c r="R259" i="1" s="1"/>
  <c r="R260" i="1" s="1"/>
  <c r="R261" i="1" s="1"/>
  <c r="R262" i="1" s="1"/>
  <c r="R263" i="1" s="1"/>
  <c r="R264" i="1" s="1"/>
  <c r="R265" i="1" s="1"/>
  <c r="R266" i="1" s="1"/>
  <c r="R267" i="1" s="1"/>
  <c r="R268" i="1" s="1"/>
  <c r="R269" i="1" s="1"/>
  <c r="R270" i="1" s="1"/>
  <c r="R271" i="1" s="1"/>
  <c r="R272" i="1" s="1"/>
  <c r="R273" i="1" s="1"/>
  <c r="R274" i="1" s="1"/>
  <c r="R275" i="1" s="1"/>
  <c r="R276" i="1" s="1"/>
  <c r="R277" i="1" s="1"/>
  <c r="R278" i="1" s="1"/>
  <c r="R279" i="1" s="1"/>
  <c r="R280" i="1" s="1"/>
  <c r="R281" i="1" s="1"/>
  <c r="R282" i="1" s="1"/>
  <c r="R283" i="1" s="1"/>
  <c r="R284" i="1" s="1"/>
  <c r="R285" i="1" s="1"/>
  <c r="R286" i="1" s="1"/>
  <c r="R287" i="1" s="1"/>
  <c r="R288" i="1" s="1"/>
  <c r="R289" i="1" s="1"/>
  <c r="R290" i="1" s="1"/>
  <c r="R291" i="1" s="1"/>
  <c r="R292" i="1" s="1"/>
  <c r="R293" i="1" s="1"/>
  <c r="R294" i="1" s="1"/>
  <c r="R295" i="1" s="1"/>
  <c r="R296" i="1" s="1"/>
  <c r="R297" i="1" s="1"/>
  <c r="R298" i="1" s="1"/>
  <c r="R299" i="1" s="1"/>
  <c r="R300" i="1" s="1"/>
  <c r="R301" i="1" s="1"/>
  <c r="R302" i="1" s="1"/>
  <c r="R303" i="1" s="1"/>
  <c r="R304" i="1" s="1"/>
  <c r="R305" i="1" s="1"/>
  <c r="R306" i="1" s="1"/>
  <c r="R307" i="1" s="1"/>
  <c r="R308" i="1" s="1"/>
  <c r="R309" i="1" s="1"/>
  <c r="R310" i="1" s="1"/>
  <c r="R311" i="1" s="1"/>
  <c r="R312" i="1" s="1"/>
  <c r="R313" i="1" s="1"/>
  <c r="R314" i="1" s="1"/>
  <c r="R315" i="1" s="1"/>
  <c r="R316" i="1" s="1"/>
  <c r="R317" i="1" s="1"/>
  <c r="R318" i="1" s="1"/>
  <c r="R319" i="1" s="1"/>
  <c r="R320" i="1" s="1"/>
  <c r="R321" i="1" s="1"/>
  <c r="R322" i="1" s="1"/>
  <c r="R323" i="1" s="1"/>
  <c r="R324" i="1" s="1"/>
  <c r="R325" i="1" s="1"/>
  <c r="R326" i="1" s="1"/>
  <c r="R327" i="1" s="1"/>
  <c r="R328" i="1" s="1"/>
  <c r="R329" i="1" s="1"/>
  <c r="R330" i="1" s="1"/>
  <c r="R331" i="1" s="1"/>
  <c r="R332" i="1" s="1"/>
  <c r="R333" i="1" s="1"/>
  <c r="R334" i="1" s="1"/>
  <c r="R335" i="1" s="1"/>
  <c r="R336" i="1" s="1"/>
  <c r="R337" i="1" s="1"/>
  <c r="R338" i="1" s="1"/>
  <c r="R339" i="1" s="1"/>
  <c r="R340" i="1" s="1"/>
  <c r="R341" i="1" s="1"/>
  <c r="R342" i="1" s="1"/>
  <c r="R343" i="1" s="1"/>
  <c r="R344" i="1" s="1"/>
  <c r="R345" i="1" s="1"/>
  <c r="R346" i="1" s="1"/>
  <c r="R347" i="1" s="1"/>
  <c r="R348" i="1" s="1"/>
  <c r="R349" i="1" s="1"/>
  <c r="R350" i="1" s="1"/>
  <c r="R351" i="1" s="1"/>
  <c r="R352" i="1" s="1"/>
  <c r="R353" i="1" s="1"/>
  <c r="R354" i="1" s="1"/>
  <c r="R355" i="1" s="1"/>
  <c r="R356" i="1" s="1"/>
  <c r="R357" i="1" s="1"/>
  <c r="R358" i="1" s="1"/>
  <c r="R359" i="1" s="1"/>
  <c r="R360" i="1" s="1"/>
  <c r="R361" i="1" s="1"/>
  <c r="R362" i="1" s="1"/>
  <c r="R363" i="1" s="1"/>
  <c r="R364" i="1" s="1"/>
  <c r="R365" i="1" s="1"/>
  <c r="R366" i="1" s="1"/>
  <c r="R367" i="1" s="1"/>
  <c r="R368" i="1" s="1"/>
  <c r="R369" i="1" s="1"/>
  <c r="R370" i="1" s="1"/>
  <c r="R371" i="1" s="1"/>
  <c r="R372" i="1" s="1"/>
  <c r="R373" i="1" s="1"/>
  <c r="R374" i="1" s="1"/>
  <c r="R375" i="1" s="1"/>
  <c r="R376" i="1" s="1"/>
  <c r="R377" i="1" s="1"/>
  <c r="R378" i="1" s="1"/>
  <c r="R379" i="1" s="1"/>
  <c r="R380" i="1" s="1"/>
  <c r="R381" i="1" s="1"/>
  <c r="R382" i="1" s="1"/>
  <c r="R383" i="1" s="1"/>
  <c r="R384" i="1" s="1"/>
  <c r="R385" i="1" s="1"/>
  <c r="R386" i="1" s="1"/>
  <c r="R387" i="1" s="1"/>
  <c r="R388" i="1" s="1"/>
  <c r="R389" i="1" s="1"/>
  <c r="R390" i="1" s="1"/>
  <c r="R391" i="1" s="1"/>
  <c r="R392" i="1" s="1"/>
  <c r="R393" i="1" s="1"/>
  <c r="R394" i="1" s="1"/>
  <c r="R395" i="1" s="1"/>
  <c r="R396" i="1" s="1"/>
  <c r="R397" i="1" s="1"/>
  <c r="R398" i="1" s="1"/>
  <c r="R399" i="1" s="1"/>
  <c r="R400" i="1" s="1"/>
  <c r="R401" i="1" s="1"/>
  <c r="R402" i="1" s="1"/>
  <c r="R403" i="1" s="1"/>
  <c r="R404" i="1" s="1"/>
  <c r="R405" i="1" s="1"/>
  <c r="R406" i="1" s="1"/>
  <c r="R407" i="1" s="1"/>
  <c r="R408" i="1" s="1"/>
  <c r="R409" i="1" s="1"/>
  <c r="R410" i="1" s="1"/>
  <c r="R411" i="1" s="1"/>
  <c r="R412" i="1" s="1"/>
  <c r="R413" i="1" s="1"/>
  <c r="R414" i="1" s="1"/>
  <c r="R415" i="1" s="1"/>
  <c r="R416" i="1" s="1"/>
  <c r="R417" i="1" s="1"/>
  <c r="R418" i="1" s="1"/>
  <c r="R419" i="1" s="1"/>
  <c r="R420" i="1" s="1"/>
  <c r="R421" i="1" s="1"/>
  <c r="R422" i="1" s="1"/>
  <c r="R423" i="1" s="1"/>
  <c r="R424" i="1" s="1"/>
  <c r="R425" i="1" s="1"/>
  <c r="R426" i="1" s="1"/>
  <c r="R427" i="1" s="1"/>
  <c r="R428" i="1" s="1"/>
  <c r="R429" i="1" s="1"/>
  <c r="R430" i="1" s="1"/>
  <c r="R431" i="1" s="1"/>
  <c r="R432" i="1" s="1"/>
  <c r="R433" i="1" s="1"/>
  <c r="R434" i="1" s="1"/>
  <c r="R435" i="1" s="1"/>
  <c r="R436" i="1" s="1"/>
  <c r="R437" i="1" s="1"/>
  <c r="R438" i="1" s="1"/>
  <c r="R439" i="1" s="1"/>
  <c r="R440" i="1" s="1"/>
  <c r="R441" i="1" s="1"/>
  <c r="R442" i="1" s="1"/>
  <c r="R443" i="1" s="1"/>
  <c r="R444" i="1" s="1"/>
  <c r="R445" i="1" s="1"/>
  <c r="R446" i="1" s="1"/>
  <c r="R447" i="1" s="1"/>
  <c r="R448" i="1" s="1"/>
  <c r="R449" i="1" s="1"/>
  <c r="R450" i="1" s="1"/>
  <c r="R451" i="1" s="1"/>
  <c r="R452" i="1" s="1"/>
  <c r="R453" i="1" s="1"/>
  <c r="R454" i="1" s="1"/>
  <c r="R455" i="1" s="1"/>
  <c r="R456" i="1" s="1"/>
  <c r="R457" i="1" s="1"/>
  <c r="R458" i="1" s="1"/>
  <c r="R459" i="1" s="1"/>
  <c r="R460" i="1" s="1"/>
  <c r="R461" i="1" s="1"/>
  <c r="R462" i="1" s="1"/>
  <c r="R463" i="1" s="1"/>
  <c r="R464" i="1" s="1"/>
  <c r="R465" i="1" s="1"/>
  <c r="R466" i="1" s="1"/>
  <c r="R467" i="1" s="1"/>
  <c r="R468" i="1" s="1"/>
  <c r="R469" i="1" s="1"/>
  <c r="R470" i="1" s="1"/>
  <c r="R471" i="1" s="1"/>
  <c r="R472" i="1" s="1"/>
  <c r="R473" i="1" s="1"/>
  <c r="R474" i="1" s="1"/>
  <c r="R475" i="1" s="1"/>
  <c r="R476" i="1" s="1"/>
  <c r="R477" i="1" s="1"/>
  <c r="R478" i="1" s="1"/>
  <c r="R479" i="1" s="1"/>
  <c r="R480" i="1" s="1"/>
  <c r="R481" i="1" s="1"/>
  <c r="R482" i="1" s="1"/>
  <c r="R483" i="1" s="1"/>
  <c r="R484" i="1" s="1"/>
  <c r="R485" i="1" s="1"/>
  <c r="R486" i="1" s="1"/>
  <c r="R487" i="1" s="1"/>
  <c r="R488" i="1" s="1"/>
  <c r="R489" i="1" s="1"/>
  <c r="R490" i="1" s="1"/>
  <c r="R491" i="1" s="1"/>
  <c r="R492" i="1" s="1"/>
  <c r="R493" i="1" s="1"/>
  <c r="R494" i="1" s="1"/>
  <c r="R495" i="1" s="1"/>
  <c r="R496" i="1" s="1"/>
  <c r="R497" i="1" s="1"/>
  <c r="R498" i="1" s="1"/>
  <c r="R499" i="1" s="1"/>
  <c r="R500" i="1" s="1"/>
  <c r="R501" i="1" s="1"/>
  <c r="R502" i="1" s="1"/>
  <c r="R503" i="1" s="1"/>
  <c r="R504" i="1" s="1"/>
  <c r="R505" i="1" s="1"/>
  <c r="R506" i="1" s="1"/>
  <c r="R507" i="1" s="1"/>
  <c r="R508" i="1" s="1"/>
  <c r="R509" i="1" s="1"/>
  <c r="R510" i="1" s="1"/>
  <c r="R511" i="1" s="1"/>
  <c r="R512" i="1" s="1"/>
  <c r="R513" i="1" s="1"/>
  <c r="R514" i="1" s="1"/>
  <c r="R515" i="1" s="1"/>
  <c r="R516" i="1" s="1"/>
  <c r="R517" i="1" s="1"/>
  <c r="R518" i="1" s="1"/>
  <c r="R519" i="1" s="1"/>
  <c r="R520" i="1" s="1"/>
  <c r="R521" i="1" s="1"/>
  <c r="R522" i="1" s="1"/>
  <c r="R523" i="1" s="1"/>
  <c r="R524" i="1" s="1"/>
  <c r="R525" i="1" s="1"/>
  <c r="R526" i="1" s="1"/>
  <c r="R527" i="1" s="1"/>
  <c r="R528" i="1" s="1"/>
  <c r="R529" i="1" s="1"/>
  <c r="R530" i="1" s="1"/>
  <c r="R531" i="1" s="1"/>
  <c r="R532" i="1" s="1"/>
  <c r="R533" i="1" s="1"/>
  <c r="R534" i="1" s="1"/>
  <c r="D34" i="12"/>
  <c r="F31" i="12" s="1"/>
  <c r="F35" i="12" l="1"/>
  <c r="D48" i="12" l="1"/>
  <c r="D69" i="12" l="1"/>
  <c r="D26" i="12"/>
  <c r="F18" i="12" s="1"/>
  <c r="G14" i="12" s="1"/>
  <c r="C69" i="12"/>
  <c r="A1" i="5"/>
  <c r="C5" i="12" s="1"/>
  <c r="B12" i="12" s="1"/>
  <c r="K5" i="7" l="1"/>
  <c r="K1" i="7" s="1"/>
  <c r="E7" i="12" l="1"/>
  <c r="I1" i="7"/>
  <c r="A547" i="1" s="1"/>
  <c r="E6" i="12" l="1"/>
  <c r="E12" i="12" s="1"/>
  <c r="A554" i="1"/>
  <c r="A556" i="1" s="1"/>
  <c r="C556" i="1" l="1"/>
  <c r="S1" i="1" s="1"/>
  <c r="R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Rania Mohamed</author>
    <author>Mai Ashraf</author>
  </authors>
  <commentList>
    <comment ref="O253" authorId="0" shapeId="0" xr:uid="{11024ADC-2182-4BB6-BCD9-E26E4BCF09A8}">
      <text>
        <r>
          <rPr>
            <b/>
            <sz val="9"/>
            <color indexed="81"/>
            <rFont val="Tahoma"/>
            <family val="2"/>
          </rPr>
          <t>Rania Mohamed:
وسيلة - كريدى رايت اوف</t>
        </r>
        <r>
          <rPr>
            <sz val="9"/>
            <color indexed="81"/>
            <rFont val="Tahoma"/>
            <family val="2"/>
          </rPr>
          <t xml:space="preserve"> - 
</t>
        </r>
      </text>
    </comment>
    <comment ref="O257" authorId="0" shapeId="0" xr:uid="{3B5E10FB-1B65-4271-8641-16FCA0CDBD9F}">
      <text>
        <r>
          <rPr>
            <b/>
            <sz val="9"/>
            <color indexed="81"/>
            <rFont val="Tahoma"/>
            <family val="2"/>
          </rPr>
          <t>Rania Mohamed:
وسيلة - كريدى رايت اوف</t>
        </r>
        <r>
          <rPr>
            <sz val="9"/>
            <color indexed="81"/>
            <rFont val="Tahoma"/>
            <family val="2"/>
          </rPr>
          <t xml:space="preserve"> - 
</t>
        </r>
      </text>
    </comment>
    <comment ref="O265" authorId="1" shapeId="0" xr:uid="{D8E19196-597B-4D54-BA8B-8640CAE45878}">
      <text>
        <r>
          <rPr>
            <b/>
            <sz val="9"/>
            <color indexed="81"/>
            <rFont val="Tahoma"/>
            <family val="2"/>
          </rPr>
          <t>Mai Ashraf:</t>
        </r>
        <r>
          <rPr>
            <sz val="9"/>
            <color indexed="81"/>
            <rFont val="Tahoma"/>
            <family val="2"/>
          </rPr>
          <t xml:space="preserve">
مانى-ميد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tc={B3F7EB26-828F-43CC-B4A5-410289FA40B4}</author>
    <author>tc={C9C1409D-37DA-4F45-84D3-F655847F6974}</author>
  </authors>
  <commentList>
    <comment ref="C25" authorId="0" shapeId="0" xr:uid="{B3F7EB26-828F-43CC-B4A5-410289FA40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فلوس معلقة
تم تقديم شكوى بتاريخ 21/1
رقم الشكوى 1-5657147265</t>
        </r>
      </text>
    </comment>
    <comment ref="C236" authorId="1" shapeId="0" xr:uid="{C9C1409D-37DA-4F45-84D3-F655847F697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تم عمل شكوى وتم الرد يوم 1/6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tc={76759B7C-17E6-4B26-B870-73E3F0325D52}</author>
  </authors>
  <commentList>
    <comment ref="C237" authorId="0" shapeId="0" xr:uid="{76759B7C-17E6-4B26-B870-73E3F0325D5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تم عمل شكوى وتم الرد يوم 1/6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tc={CD1E45EB-BDA7-44C4-8663-392F8138507F}</author>
  </authors>
  <commentList>
    <comment ref="C237" authorId="0" shapeId="0" xr:uid="{CD1E45EB-BDA7-44C4-8663-392F8138507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تم عمل شكوى وتم الرد يوم 1/6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tc={9718F3C5-F474-4E91-A0A7-E191A31B3BB0}</author>
    <author>tc={80123448-1EF9-4E76-9198-9BC683BEF156}</author>
    <author>tc={9D0A35A7-9409-471A-BB85-B7CD7D118C8F}</author>
    <author>tc={E01B4C69-096E-48DF-B38B-6B6935EF86BA}</author>
  </authors>
  <commentList>
    <comment ref="K3" authorId="0" shapeId="0" xr:uid="{07AECAD1-9459-4B16-8100-D42E0153A457}">
      <text>
        <r>
          <rPr>
            <b/>
            <sz val="9"/>
            <color indexed="81"/>
            <rFont val="Tahoma"/>
            <family val="2"/>
          </rPr>
          <t xml:space="preserve">Author:
</t>
        </r>
      </text>
    </comment>
    <comment ref="B31" authorId="1" shapeId="0" xr:uid="{9718F3C5-F474-4E91-A0A7-E191A31B3B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5000 راتب شهر مايو 2023</t>
        </r>
      </text>
    </comment>
    <comment ref="C31" authorId="2" shapeId="0" xr:uid="{80123448-1EF9-4E76-9198-9BC683BEF15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5000 راتب شهر مايو 2023
</t>
        </r>
      </text>
    </comment>
    <comment ref="E31" authorId="3" shapeId="0" xr:uid="{9D0A35A7-9409-471A-BB85-B7CD7D118C8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5000 راتب شهر مايو 2023
</t>
        </r>
      </text>
    </comment>
    <comment ref="B33" authorId="4" shapeId="0" xr:uid="{E01B4C69-096E-48DF-B38B-6B6935EF86B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تسويه</t>
        </r>
      </text>
    </comment>
  </commentList>
</comments>
</file>

<file path=xl/sharedStrings.xml><?xml version="1.0" encoding="utf-8"?>
<sst xmlns="http://schemas.openxmlformats.org/spreadsheetml/2006/main" count="7912" uniqueCount="1685">
  <si>
    <t xml:space="preserve">التاريخ </t>
  </si>
  <si>
    <t xml:space="preserve">الشهر </t>
  </si>
  <si>
    <t xml:space="preserve">البيان </t>
  </si>
  <si>
    <t xml:space="preserve">المنصرف اليه </t>
  </si>
  <si>
    <t xml:space="preserve">نوع المصروف </t>
  </si>
  <si>
    <t xml:space="preserve">رقم الفاتورة / كود موظف </t>
  </si>
  <si>
    <t xml:space="preserve">الفرع </t>
  </si>
  <si>
    <t xml:space="preserve">التصنيف </t>
  </si>
  <si>
    <t xml:space="preserve">القسم </t>
  </si>
  <si>
    <t xml:space="preserve">الوارد </t>
  </si>
  <si>
    <t xml:space="preserve">المنصرف </t>
  </si>
  <si>
    <t xml:space="preserve">الرصيد </t>
  </si>
  <si>
    <t xml:space="preserve">ملاحظات </t>
  </si>
  <si>
    <t xml:space="preserve">رصيد اول المدة </t>
  </si>
  <si>
    <t>Total</t>
  </si>
  <si>
    <t>الرصيد</t>
  </si>
  <si>
    <t>دائن</t>
  </si>
  <si>
    <t>مدين</t>
  </si>
  <si>
    <t>التاريخ</t>
  </si>
  <si>
    <t>تاريخ التسجيل</t>
  </si>
  <si>
    <t>تاريخ الحق</t>
  </si>
  <si>
    <t>البيـــــان</t>
  </si>
  <si>
    <t>Balance</t>
  </si>
  <si>
    <t>Credit</t>
  </si>
  <si>
    <t>Debit</t>
  </si>
  <si>
    <t>Date</t>
  </si>
  <si>
    <t>Posted Date</t>
  </si>
  <si>
    <t>Value Date</t>
  </si>
  <si>
    <t>Description</t>
  </si>
  <si>
    <t xml:space="preserve">النوع </t>
  </si>
  <si>
    <t>الفرع</t>
  </si>
  <si>
    <t>Column1</t>
  </si>
  <si>
    <t>بنك الإسكندرية</t>
  </si>
  <si>
    <t xml:space="preserve">الرصيد الإجمالي </t>
  </si>
  <si>
    <t xml:space="preserve">رقم إيصال الصرف/ استلام </t>
  </si>
  <si>
    <t>الكود</t>
  </si>
  <si>
    <t>اسم الموظف</t>
  </si>
  <si>
    <t xml:space="preserve">السلفه </t>
  </si>
  <si>
    <t xml:space="preserve">اجمالي السلف </t>
  </si>
  <si>
    <t>Grand Total</t>
  </si>
  <si>
    <t>سلفه / سداد</t>
  </si>
  <si>
    <t>طريق السداد</t>
  </si>
  <si>
    <t xml:space="preserve"> السلفه </t>
  </si>
  <si>
    <t xml:space="preserve">الاجمالي النقدي </t>
  </si>
  <si>
    <t>اجمالي العهد</t>
  </si>
  <si>
    <t>فورى</t>
  </si>
  <si>
    <t xml:space="preserve">الاجمالي </t>
  </si>
  <si>
    <t xml:space="preserve">الفرق </t>
  </si>
  <si>
    <t xml:space="preserve">الإجمالي </t>
  </si>
  <si>
    <t>العهدة  / سداد</t>
  </si>
  <si>
    <t xml:space="preserve">العهدة </t>
  </si>
  <si>
    <t xml:space="preserve">مستحقات لدي الغير </t>
  </si>
  <si>
    <t xml:space="preserve">العميل </t>
  </si>
  <si>
    <t xml:space="preserve">تاريخ اصدار الفاتورة </t>
  </si>
  <si>
    <t>الاجمالي بالضريبه 14%</t>
  </si>
  <si>
    <t>الاجمالي بدون الضريبه14%</t>
  </si>
  <si>
    <t xml:space="preserve">المطلوب تحويله </t>
  </si>
  <si>
    <t>المبلغ المسدد</t>
  </si>
  <si>
    <t xml:space="preserve">مصروفات </t>
  </si>
  <si>
    <t xml:space="preserve">المستحق </t>
  </si>
  <si>
    <t>تاريخ السداد</t>
  </si>
  <si>
    <t xml:space="preserve">رقم التسجيل </t>
  </si>
  <si>
    <t>المورد</t>
  </si>
  <si>
    <t xml:space="preserve">العنوان </t>
  </si>
  <si>
    <t>الجارحى للاستيراد والتصدير</t>
  </si>
  <si>
    <t xml:space="preserve">الهرم </t>
  </si>
  <si>
    <t>مشتريات</t>
  </si>
  <si>
    <t>جملة ماركت</t>
  </si>
  <si>
    <t xml:space="preserve">العبور </t>
  </si>
  <si>
    <t xml:space="preserve">شركه اتصالات مصر </t>
  </si>
  <si>
    <t xml:space="preserve">التجمع الخامس </t>
  </si>
  <si>
    <t>ديجتال اوفيس للتوريدات</t>
  </si>
  <si>
    <t>باب الشعريه</t>
  </si>
  <si>
    <t>نيرجان للتجارة</t>
  </si>
  <si>
    <t>الاسكندريه</t>
  </si>
  <si>
    <t>مانى فيللوز لتكنولوجيا المعلومات وادارة المشروعات</t>
  </si>
  <si>
    <t>ق44الحي الاول التجمع الخامس القاهره الجديده</t>
  </si>
  <si>
    <t xml:space="preserve">مبيعات </t>
  </si>
  <si>
    <t>سيمبل للحلول والتكنولوجيا المالية</t>
  </si>
  <si>
    <t>الشيخ زايد</t>
  </si>
  <si>
    <t>شركه رايه للالكترونيات</t>
  </si>
  <si>
    <t>قسم أول 6 أكتوبر, الجيزه, EG</t>
  </si>
  <si>
    <t xml:space="preserve">شارع قصر النيل </t>
  </si>
  <si>
    <t>بنك كريدي اجريكول مصر</t>
  </si>
  <si>
    <t>قسم التجمع الخامس (أول القاهرة الجديدة ), القاهرة, EG</t>
  </si>
  <si>
    <t>فاليو لخدمات البيع والتقسيط</t>
  </si>
  <si>
    <t xml:space="preserve">القرية الذكية ك 29 طريق ابورواش </t>
  </si>
  <si>
    <t>ام اس كيو M S Q للاستيراد والتصدير</t>
  </si>
  <si>
    <t>مدينة نقادة الزوايدة ,مركز قوص</t>
  </si>
  <si>
    <t>البنيان للتوريدات والتجارة العامة تريومف</t>
  </si>
  <si>
    <t>ترعة الجبل الزيتون</t>
  </si>
  <si>
    <t>ايتوال لصناعة وتجارة الحلوى إبراهيم رافت عبد الصادق وشركاة</t>
  </si>
  <si>
    <t>ش الحرية الزيتون ,قسم الزيتون</t>
  </si>
  <si>
    <t>ميد للتقسيط</t>
  </si>
  <si>
    <t>21 شارع جامعة الدول المهندسين</t>
  </si>
  <si>
    <t xml:space="preserve">الادراه العليا </t>
  </si>
  <si>
    <t xml:space="preserve">الادراه الماليه </t>
  </si>
  <si>
    <t>اداره الموارد البشريه</t>
  </si>
  <si>
    <t xml:space="preserve">الاداره القانونيه  </t>
  </si>
  <si>
    <t xml:space="preserve">شركه رايه - تحصيل </t>
  </si>
  <si>
    <t xml:space="preserve">شركه فاليو - تحصيل </t>
  </si>
  <si>
    <t xml:space="preserve">شركه بلنك - تحصيل </t>
  </si>
  <si>
    <t xml:space="preserve">شركه رايه - قانونيه </t>
  </si>
  <si>
    <t xml:space="preserve">شركه فاليو - قانونيه </t>
  </si>
  <si>
    <t xml:space="preserve">شركه بلنك - قانونيه </t>
  </si>
  <si>
    <t xml:space="preserve">شركه سمبيل - تحصيل </t>
  </si>
  <si>
    <t xml:space="preserve">بنك الاسكندريه - تحصيل </t>
  </si>
  <si>
    <t xml:space="preserve">بنك كريدي - تحصيل </t>
  </si>
  <si>
    <t xml:space="preserve">شركه ماني - تحصيل </t>
  </si>
  <si>
    <t xml:space="preserve">شركه ميد تقسيط - تحصيل </t>
  </si>
  <si>
    <t xml:space="preserve">القاهرة </t>
  </si>
  <si>
    <t xml:space="preserve">المنصورة </t>
  </si>
  <si>
    <t xml:space="preserve">القانونيه </t>
  </si>
  <si>
    <t xml:space="preserve">رصيد اول </t>
  </si>
  <si>
    <t xml:space="preserve">اصول </t>
  </si>
  <si>
    <t>ض 14%</t>
  </si>
  <si>
    <t>انتقالات</t>
  </si>
  <si>
    <t>صيانه</t>
  </si>
  <si>
    <t>ايجارات</t>
  </si>
  <si>
    <t xml:space="preserve">جاري شركاء </t>
  </si>
  <si>
    <t>رسوم</t>
  </si>
  <si>
    <t xml:space="preserve">سباكه </t>
  </si>
  <si>
    <t xml:space="preserve">انترنت </t>
  </si>
  <si>
    <t>بوفيه</t>
  </si>
  <si>
    <t>اكراميات</t>
  </si>
  <si>
    <t>تليفونات</t>
  </si>
  <si>
    <t xml:space="preserve">سلف </t>
  </si>
  <si>
    <t xml:space="preserve">ادوات مكتبيه </t>
  </si>
  <si>
    <t>ضيافه</t>
  </si>
  <si>
    <t xml:space="preserve">كهرباء </t>
  </si>
  <si>
    <t xml:space="preserve">نجارة </t>
  </si>
  <si>
    <t xml:space="preserve">مرتبات -اداره التحصيل </t>
  </si>
  <si>
    <t>مرتبات -الشئون القانونية</t>
  </si>
  <si>
    <t>عمولات</t>
  </si>
  <si>
    <t>استشارات</t>
  </si>
  <si>
    <t>رصيد</t>
  </si>
  <si>
    <t xml:space="preserve">تبرعات </t>
  </si>
  <si>
    <t xml:space="preserve">تمويل البنك </t>
  </si>
  <si>
    <t xml:space="preserve">تامين </t>
  </si>
  <si>
    <t xml:space="preserve">سمسره </t>
  </si>
  <si>
    <t xml:space="preserve">تمويل خزينه </t>
  </si>
  <si>
    <t>مكافات</t>
  </si>
  <si>
    <t xml:space="preserve">رقم البطاقه </t>
  </si>
  <si>
    <t xml:space="preserve">تاريخ التعين </t>
  </si>
  <si>
    <t xml:space="preserve">تاريخ الاستقاله </t>
  </si>
  <si>
    <t xml:space="preserve">سلفه </t>
  </si>
  <si>
    <t>سداد</t>
  </si>
  <si>
    <t>14%</t>
  </si>
  <si>
    <t>3%</t>
  </si>
  <si>
    <t xml:space="preserve"> المطلوب تحويله </t>
  </si>
  <si>
    <t xml:space="preserve"> المبلغ المسدد</t>
  </si>
  <si>
    <t xml:space="preserve">الإيرادات </t>
  </si>
  <si>
    <t>رصيد البنك</t>
  </si>
  <si>
    <t xml:space="preserve">مصر </t>
  </si>
  <si>
    <t>كريدي</t>
  </si>
  <si>
    <t xml:space="preserve">اجمالي </t>
  </si>
  <si>
    <t>رصيد الخزينه</t>
  </si>
  <si>
    <t>المصروفات الشهريه</t>
  </si>
  <si>
    <t>الإيجارات القاهرة 1</t>
  </si>
  <si>
    <t>الإيجارات القاهرة 2</t>
  </si>
  <si>
    <t>الإيجارات القاهرة 3</t>
  </si>
  <si>
    <t xml:space="preserve">الإيجارات المنصورة  </t>
  </si>
  <si>
    <t xml:space="preserve">عهدة فرع المنصورة </t>
  </si>
  <si>
    <t xml:space="preserve">كهرباء فرع القاهرة </t>
  </si>
  <si>
    <t xml:space="preserve">أدوات مكتبيه </t>
  </si>
  <si>
    <t xml:space="preserve">بوفيه </t>
  </si>
  <si>
    <t>نظافه</t>
  </si>
  <si>
    <t xml:space="preserve">تشغيل الشركه </t>
  </si>
  <si>
    <t xml:space="preserve">تامينات اجتماعيه </t>
  </si>
  <si>
    <t>المرتبات</t>
  </si>
  <si>
    <t xml:space="preserve">الاستشارات </t>
  </si>
  <si>
    <t>عمولات الاسكندريه</t>
  </si>
  <si>
    <t>عمولات كريدي</t>
  </si>
  <si>
    <t xml:space="preserve">عمولات ماني </t>
  </si>
  <si>
    <t>المبلغ</t>
  </si>
  <si>
    <t>المدفوع</t>
  </si>
  <si>
    <t xml:space="preserve">الباقي </t>
  </si>
  <si>
    <t>بنك مصر</t>
  </si>
  <si>
    <t xml:space="preserve">الاداره </t>
  </si>
  <si>
    <t xml:space="preserve">الوظيفه </t>
  </si>
  <si>
    <t xml:space="preserve">اسم الموظف المنصرف له </t>
  </si>
  <si>
    <t>اسم الشركه المنصرف لها</t>
  </si>
  <si>
    <t xml:space="preserve">رقم إيصال استلام </t>
  </si>
  <si>
    <t>رقم إيصال الصرف</t>
  </si>
  <si>
    <t xml:space="preserve">رقم الفاتورة </t>
  </si>
  <si>
    <t>كود موظف</t>
  </si>
  <si>
    <t>اليوم</t>
  </si>
  <si>
    <t>شركه رايه قانونى</t>
  </si>
  <si>
    <t>رصيد 31/12</t>
  </si>
  <si>
    <t>مرتبات -اداره الموارد البشرية</t>
  </si>
  <si>
    <t>مرتبات -الشئون الإدارية</t>
  </si>
  <si>
    <t>مرتبات -الخدمات المعاونة</t>
  </si>
  <si>
    <t>مرتبات -الادارة المالية</t>
  </si>
  <si>
    <t>تمويل خزينة سحب من ATM</t>
  </si>
  <si>
    <t>عهدة</t>
  </si>
  <si>
    <t>سداد ايجار الدور 15 عن شهر 1</t>
  </si>
  <si>
    <t>تامينات اجتماعية</t>
  </si>
  <si>
    <t xml:space="preserve"> المستحق </t>
  </si>
  <si>
    <t xml:space="preserve">تشغيل القاهره </t>
  </si>
  <si>
    <t xml:space="preserve">تشغيل المنصورة </t>
  </si>
  <si>
    <t>تاريخ الاستحقاق</t>
  </si>
  <si>
    <t xml:space="preserve">التاخير </t>
  </si>
  <si>
    <t>احمد شريف سليمان امين سليمان</t>
  </si>
  <si>
    <t>مشرف تحصيل</t>
  </si>
  <si>
    <t>التحصيل</t>
  </si>
  <si>
    <t>القاهرة</t>
  </si>
  <si>
    <t>وليد عبد الكريم عبد العليم</t>
  </si>
  <si>
    <t>مدير  تحصيل</t>
  </si>
  <si>
    <t>الادارى</t>
  </si>
  <si>
    <t>باسم صلاح عبد الله قوشتى</t>
  </si>
  <si>
    <t>المستشار القانوني</t>
  </si>
  <si>
    <t>الشئون القانونية</t>
  </si>
  <si>
    <t>نائب كبير مشرفى تحصيل</t>
  </si>
  <si>
    <t>فاليو</t>
  </si>
  <si>
    <t>سحر اوسامة احمد محمد</t>
  </si>
  <si>
    <t>منسق بيانات</t>
  </si>
  <si>
    <t>منسقى البيانات</t>
  </si>
  <si>
    <t>عبد العزيز صلاح عبد العزيز على حسن</t>
  </si>
  <si>
    <t>منى احمد طه احمد سعد</t>
  </si>
  <si>
    <t>خدمات معاونة</t>
  </si>
  <si>
    <t>الخدمات المعاونة</t>
  </si>
  <si>
    <t>محمود النادى أبو الحسن احمد</t>
  </si>
  <si>
    <t>كبير مشرفى تحصيل</t>
  </si>
  <si>
    <t>محمد مجدى ربيع عبد الغنى جاد</t>
  </si>
  <si>
    <t>رئيس فريق عمل</t>
  </si>
  <si>
    <t>وكيل تحصيل</t>
  </si>
  <si>
    <t>رحاب عبد الهادى احمد بدوى</t>
  </si>
  <si>
    <t>مروة مصطفى على جاد</t>
  </si>
  <si>
    <t>وكيل تحصيل هاتفى</t>
  </si>
  <si>
    <t>محمد مجدى السيد عبد الدايم</t>
  </si>
  <si>
    <t>تريز سامى رزق شحاته</t>
  </si>
  <si>
    <t>مدير موارد بشرية</t>
  </si>
  <si>
    <t>الموارد البشرية</t>
  </si>
  <si>
    <t>حبيبه احمد سلطان منصور عويس</t>
  </si>
  <si>
    <t>ندى محمد محمود عبد المقصود</t>
  </si>
  <si>
    <t>كريدى اجريكول</t>
  </si>
  <si>
    <t>امال كمال عبد الله عبد الحليم</t>
  </si>
  <si>
    <t>هدى حسن السيد على الضوى</t>
  </si>
  <si>
    <t xml:space="preserve">احمد عبد الباسط عبد السلام محمد </t>
  </si>
  <si>
    <t>محاسب</t>
  </si>
  <si>
    <t>المالية</t>
  </si>
  <si>
    <t xml:space="preserve">احمد مجدى بكر على </t>
  </si>
  <si>
    <t>ريم رضا سيد احمد إبراهيم المطراوى</t>
  </si>
  <si>
    <t>روان عادل محمد عبد الكريم</t>
  </si>
  <si>
    <t>عمرو صابر إبراهيم سيد محمد</t>
  </si>
  <si>
    <t>مريم محمد على سيد خطاب</t>
  </si>
  <si>
    <t>هبة خلف محمد احمد</t>
  </si>
  <si>
    <t xml:space="preserve">وكيل تحصيل </t>
  </si>
  <si>
    <t xml:space="preserve">اشرف محمد محروس محمود </t>
  </si>
  <si>
    <t xml:space="preserve">يوسف كامل  عبد الله صبحى غنيم </t>
  </si>
  <si>
    <t xml:space="preserve">الراتب </t>
  </si>
  <si>
    <t xml:space="preserve">اداره الخدمات  المعاونه </t>
  </si>
  <si>
    <t>امل صبرى</t>
  </si>
  <si>
    <t>علاء محمد عوض جاد الله</t>
  </si>
  <si>
    <t>احمد عوض عباس عوض كشك</t>
  </si>
  <si>
    <t>نانسى يوسف عزيز يوسف</t>
  </si>
  <si>
    <t>عبد الرحمن عوض عباس عوض كشك</t>
  </si>
  <si>
    <t>امانى طارق إبراهيم عبد الحميد</t>
  </si>
  <si>
    <t>نادين عماد منصور محمد</t>
  </si>
  <si>
    <t>بهاء محمد السيد صالح أبو حسين</t>
  </si>
  <si>
    <t>محمد وفيق إبراهيم عبد المعطى</t>
  </si>
  <si>
    <t>عمرو على سليم محمد السيد</t>
  </si>
  <si>
    <t>أسماء إبراهيم السيد عبد الله</t>
  </si>
  <si>
    <t>المنصورة</t>
  </si>
  <si>
    <t>كسب العمل</t>
  </si>
  <si>
    <t>الأمين تك عبد الله امين حسن</t>
  </si>
  <si>
    <t>قسم عابدين القاهرة</t>
  </si>
  <si>
    <t>518665143</t>
  </si>
  <si>
    <t>دوبيزل ليمتد</t>
  </si>
  <si>
    <t>756563542</t>
  </si>
  <si>
    <t>اتش ام اتش لمستلزمات الحاسبات والأدوات الكهربائية</t>
  </si>
  <si>
    <t>المعادى القاهرة</t>
  </si>
  <si>
    <t>754717062</t>
  </si>
  <si>
    <t>اس واى دى للمقاولات والتجارة والتوريدات العمومية</t>
  </si>
  <si>
    <t>التجمع الخامس</t>
  </si>
  <si>
    <t>بسام محمود محمد مصطفى</t>
  </si>
  <si>
    <t>752235184</t>
  </si>
  <si>
    <t>756449782</t>
  </si>
  <si>
    <t>ار يو كى للمقاولات والتوريدات العمومية والحديد</t>
  </si>
  <si>
    <t>755197658</t>
  </si>
  <si>
    <t>المتحدة للمقاولات والتوريدات</t>
  </si>
  <si>
    <t>مكرم عبيد</t>
  </si>
  <si>
    <t xml:space="preserve">راس المال من بداية النشاط </t>
  </si>
  <si>
    <t xml:space="preserve">باسم صلاح </t>
  </si>
  <si>
    <t>وليد عبد الكريم</t>
  </si>
  <si>
    <t xml:space="preserve">عبد المنعم مجدى </t>
  </si>
  <si>
    <t xml:space="preserve">علاء عوض </t>
  </si>
  <si>
    <t xml:space="preserve">مصاريف تاسيس </t>
  </si>
  <si>
    <t>31-12-2022</t>
  </si>
  <si>
    <t xml:space="preserve">تعديل </t>
  </si>
  <si>
    <t xml:space="preserve">راس المال </t>
  </si>
  <si>
    <t xml:space="preserve">صحيفة الأستثمار </t>
  </si>
  <si>
    <t>27/12/2022</t>
  </si>
  <si>
    <t>30/1/2023</t>
  </si>
  <si>
    <t>15/2/2023</t>
  </si>
  <si>
    <t>26/2/2023</t>
  </si>
  <si>
    <t>19/3/2023</t>
  </si>
  <si>
    <t>26-3-2023</t>
  </si>
  <si>
    <t xml:space="preserve">الأجمالى </t>
  </si>
  <si>
    <t>payment term</t>
  </si>
  <si>
    <t>الاستحقاق</t>
  </si>
  <si>
    <t xml:space="preserve">قيمه </t>
  </si>
  <si>
    <t>أدوات نظافة</t>
  </si>
  <si>
    <t>رصيد اول</t>
  </si>
  <si>
    <t>الخدمات القانونية</t>
  </si>
  <si>
    <t xml:space="preserve">انترنت -اتصلات-فودافون </t>
  </si>
  <si>
    <t>مصروفات بنكية</t>
  </si>
  <si>
    <t>مصروف</t>
  </si>
  <si>
    <t>الايراد الفعلي -14%</t>
  </si>
  <si>
    <t>اختام</t>
  </si>
  <si>
    <t>شركه رايه كوربت</t>
  </si>
  <si>
    <t xml:space="preserve">اداري </t>
  </si>
  <si>
    <t xml:space="preserve">عقود الإنتاج </t>
  </si>
  <si>
    <t>مرتبات -الادارة العليا</t>
  </si>
  <si>
    <t>غاز</t>
  </si>
  <si>
    <t>ATM Cash WithdrawalBM HUB BR.EG TOWERS TOUR2CAIRO         E</t>
  </si>
  <si>
    <t>دمغة بدون إيصال</t>
  </si>
  <si>
    <t>مصروفات نثرية</t>
  </si>
  <si>
    <t>فودافون كاش</t>
  </si>
  <si>
    <t>مياة</t>
  </si>
  <si>
    <t>Jan</t>
  </si>
  <si>
    <t>Feb</t>
  </si>
  <si>
    <t xml:space="preserve">اخري </t>
  </si>
  <si>
    <t>الإجمالي</t>
  </si>
  <si>
    <t xml:space="preserve">اجمالي المصروفات </t>
  </si>
  <si>
    <t>الربح</t>
  </si>
  <si>
    <t>الإيرادات -14%</t>
  </si>
  <si>
    <t>Mar</t>
  </si>
  <si>
    <t>شركة بلتون</t>
  </si>
  <si>
    <t>إسماعيل محمد على وشركاه</t>
  </si>
  <si>
    <t>ش كامل صدقى الفجالة الازبكية</t>
  </si>
  <si>
    <t>مينا أنور عطية بطرس</t>
  </si>
  <si>
    <t>شارع بركة الرطل باب الشعرية</t>
  </si>
  <si>
    <t>رسوم ماكينة فورى</t>
  </si>
  <si>
    <t>دعايا وإعلان</t>
  </si>
  <si>
    <t>اتصالات كاش</t>
  </si>
  <si>
    <t>امان</t>
  </si>
  <si>
    <t>فاليو قانونى</t>
  </si>
  <si>
    <t>إدارة التحصيل</t>
  </si>
  <si>
    <t>عبد الرحمن خالد عبد الفتاح محمد الرياش</t>
  </si>
  <si>
    <t>شركه رايه - كوربت</t>
  </si>
  <si>
    <t xml:space="preserve"> </t>
  </si>
  <si>
    <t>زينب محمود محمد محمود صالح</t>
  </si>
  <si>
    <t>المصرية للتمويل العقارى</t>
  </si>
  <si>
    <t>احمد عاطف محمد محمود</t>
  </si>
  <si>
    <t>سهولة</t>
  </si>
  <si>
    <t>مؤسسة سيد للتوريدات العمومية</t>
  </si>
  <si>
    <t>699480213</t>
  </si>
  <si>
    <t>الجيزة</t>
  </si>
  <si>
    <t>المصرية لنقل البيانات وى داتا</t>
  </si>
  <si>
    <t>القرية الذكية</t>
  </si>
  <si>
    <t>بلنك قانونى</t>
  </si>
  <si>
    <t>شركة سهولة</t>
  </si>
  <si>
    <t>ATM Cash WithdrawalBM HUB BR.EG TOWERS TOUR1CAIRO         E</t>
  </si>
  <si>
    <t>ميد قانونى</t>
  </si>
  <si>
    <t>رسوم غرامات</t>
  </si>
  <si>
    <t>عيدية</t>
  </si>
  <si>
    <t>زياد كرم عبد الفضيل عبد المجيد</t>
  </si>
  <si>
    <t>مصاريف علاج</t>
  </si>
  <si>
    <t xml:space="preserve">شركه ميد تقسيط - قانونية </t>
  </si>
  <si>
    <t>مرتبات -عقود الانتاج</t>
  </si>
  <si>
    <t>اعتماد</t>
  </si>
  <si>
    <t xml:space="preserve">عمولات رايه </t>
  </si>
  <si>
    <t xml:space="preserve"> 14% </t>
  </si>
  <si>
    <t xml:space="preserve">مكافات </t>
  </si>
  <si>
    <t>بدلات</t>
  </si>
  <si>
    <t>اتعاب مهنية</t>
  </si>
  <si>
    <t xml:space="preserve">طارق عصام فتوح حسن </t>
  </si>
  <si>
    <t>مرتبات وعمولات</t>
  </si>
  <si>
    <t>المساهمة التكافلية</t>
  </si>
  <si>
    <t xml:space="preserve">ملك رمضان يوسف عبده </t>
  </si>
  <si>
    <t>بريد و دمغة</t>
  </si>
  <si>
    <t>بى ام للتمويل الاستهلاكى</t>
  </si>
  <si>
    <t xml:space="preserve"> 118وان قطامية أبراج المرشدى</t>
  </si>
  <si>
    <t>شركة هيما بلاستيك</t>
  </si>
  <si>
    <t>محمد عبد السلام فرج أبو العلا سراج</t>
  </si>
  <si>
    <t>شركة وسيلة</t>
  </si>
  <si>
    <t>شيماء حمدى حسن ركابى حامد</t>
  </si>
  <si>
    <t>المؤسسة المصرية لمهمات المكاتب</t>
  </si>
  <si>
    <t>504380354</t>
  </si>
  <si>
    <t>ش محمد عبد الشافى امتداد شارع جيهان</t>
  </si>
  <si>
    <t>برج الشاعر ش جيهان</t>
  </si>
  <si>
    <t>212724223</t>
  </si>
  <si>
    <t>انستا باى</t>
  </si>
  <si>
    <t>ضريبة الخصم والاضافة</t>
  </si>
  <si>
    <t xml:space="preserve">لينك الفاتورة الالكترونية </t>
  </si>
  <si>
    <t>عبد الله كامل عبد الله صبحى غنيم</t>
  </si>
  <si>
    <t xml:space="preserve">إسماعيل سلامه إسماعيل بركات </t>
  </si>
  <si>
    <t>بلتون للتمويل الاستهلاكى سفن</t>
  </si>
  <si>
    <t>مجمع جاليريا40وحده304محور كريزي ووتر الشيخ زايد</t>
  </si>
  <si>
    <t>كريم مجدى ربيع</t>
  </si>
  <si>
    <t>محمد رضا سعد حسن الشرقاوى</t>
  </si>
  <si>
    <t>شركة تنمية</t>
  </si>
  <si>
    <t>أرباح مقدمة تخصم 5000 كل شهر</t>
  </si>
  <si>
    <t>Incoming Domestic TransferACH Transfer: Valu Company--</t>
  </si>
  <si>
    <t>عمرو حسن محمد عصران احمد</t>
  </si>
  <si>
    <t>تنميه لخدمات المشروعات متناهيه الصغر</t>
  </si>
  <si>
    <t>0 / 9 شياخه المعادى الجديده قسم البساتين شارع أحمد عبد ا</t>
  </si>
  <si>
    <t>ادهم رؤوف كمال كامل سعيد</t>
  </si>
  <si>
    <t>مسئول ادارى</t>
  </si>
  <si>
    <t>باسم ناجى سعد ابرهيم خلف</t>
  </si>
  <si>
    <t xml:space="preserve">عمولات تنمية </t>
  </si>
  <si>
    <t>أسماء عباس عثمان عباس</t>
  </si>
  <si>
    <t xml:space="preserve">سداد الجمعية </t>
  </si>
  <si>
    <t>TransferredBM HUB BR.EG TOWERS TOUR1CAIRO         E -   3880199000003181</t>
  </si>
  <si>
    <t>ملك يسرى عبد الشافى عبدربه محمد هلهل</t>
  </si>
  <si>
    <t>مصاريف قانونية لتنظير محمد مجدى</t>
  </si>
  <si>
    <t>مصاريف قانونية لتنظير عبد العزيز صلاح</t>
  </si>
  <si>
    <t>احمد اشرف محمد حسن</t>
  </si>
  <si>
    <t>سعيد عماد محمد عفيفي</t>
  </si>
  <si>
    <t xml:space="preserve"> ضريبة القيمة المضافة </t>
  </si>
  <si>
    <t>سفن</t>
  </si>
  <si>
    <t>حسام حسن محمد حسن</t>
  </si>
  <si>
    <t>محمد احمد ناجز سعيد</t>
  </si>
  <si>
    <t>مختار محمد محمد مختار</t>
  </si>
  <si>
    <t>(blank)</t>
  </si>
  <si>
    <t>#N/A</t>
  </si>
  <si>
    <t>اسامه محمد احمد عبد الحميد</t>
  </si>
  <si>
    <t>شركة جلوبال</t>
  </si>
  <si>
    <t>مصاريف قانونية لتنظير محمود الشابورى</t>
  </si>
  <si>
    <t>يوسف محمد مسعود ديوشى عمار</t>
  </si>
  <si>
    <t>شريهان كمال شفيق حسب الله</t>
  </si>
  <si>
    <t>بنك الإسكندرية / شركة وسيلة</t>
  </si>
  <si>
    <t xml:space="preserve">هند سيد السيد علي يونس </t>
  </si>
  <si>
    <t>ورد محمد احمد عبد الحميد شهده</t>
  </si>
  <si>
    <t>اى اف اس للتخصيم</t>
  </si>
  <si>
    <t>اور للتمويل الاستهلاكى -وسيلة</t>
  </si>
  <si>
    <t>أسماء عبد المنعم غنيمي علي</t>
  </si>
  <si>
    <t>استشارات مالية عن شهر 12 احمد توفيق</t>
  </si>
  <si>
    <t>استشارات IT عن شهر 12 حسام حسن</t>
  </si>
  <si>
    <t>تحويل باقى حساب نجارة فرع المنصورة</t>
  </si>
  <si>
    <t>02/01/2025</t>
  </si>
  <si>
    <t>01/01/2025</t>
  </si>
  <si>
    <t>تحويل محلي واردACH Transfer: CI consumer finance- souhoola-Qima November 2024 Payment-</t>
  </si>
  <si>
    <t xml:space="preserve">احمد سيد محمد ابوالخير سليمان </t>
  </si>
  <si>
    <t>بدل انتقال احمد سيد زيارات شركة وسيلة</t>
  </si>
  <si>
    <t>شراء ادابتور 12 فولت</t>
  </si>
  <si>
    <t>مصاريف قانونية لتنظير احمد منصور</t>
  </si>
  <si>
    <t>احمد منصور سليم</t>
  </si>
  <si>
    <t>بنك البركة</t>
  </si>
  <si>
    <t>سداد ايجار الأثاث للدور 15 عن شهر 1</t>
  </si>
  <si>
    <t>سداد ايجار الدور 12 عن شهر 1</t>
  </si>
  <si>
    <t>سداد صيانة الدور 12 عن شهر1</t>
  </si>
  <si>
    <t>سداد صيانة الدور 15 عن شهر1</t>
  </si>
  <si>
    <t>اكرامية عمال الامن والنظافة عن شهر 1</t>
  </si>
  <si>
    <t>سداد صيانة اليافطة الدور 15 عن شهر1</t>
  </si>
  <si>
    <t>سداد فاتورة فودافون عن شهر 12</t>
  </si>
  <si>
    <t>سداد الجمعية عن شهر يناير</t>
  </si>
  <si>
    <t>06/01/2025</t>
  </si>
  <si>
    <t>TransferredBM HUB BR.EG TOWERS TOUR2CAIRO         E -   3880199000003181</t>
  </si>
  <si>
    <t>08/01/2025</t>
  </si>
  <si>
    <t>07/01/2025</t>
  </si>
  <si>
    <t>LCY incoming swift inside Egypt- AUR CONSUMER FINANCE WASSELA CO - PAY 100./. OF PURCHASING 3 POWER - BL LIECNESE 10 MOTHES SUBSCRIPTION -  -</t>
  </si>
  <si>
    <t>عمولات سفن</t>
  </si>
  <si>
    <t>رد عدد 1 يوم من الراتب</t>
  </si>
  <si>
    <t>حسين احمد حسين محمود مرسى</t>
  </si>
  <si>
    <t>محمد عبدالمنعم عبدالحليم إبراهيم</t>
  </si>
  <si>
    <t>فاطمه محمد سيد محمد سيد</t>
  </si>
  <si>
    <t xml:space="preserve">زينب عبدالرحمن احمد عبدالرحمن </t>
  </si>
  <si>
    <t xml:space="preserve">عبله خالد سيد عبده امين </t>
  </si>
  <si>
    <t>ايمان محمد هلال الدسوقى</t>
  </si>
  <si>
    <t>عفاف إبراهيم محمد عبد المجيد</t>
  </si>
  <si>
    <t>منى يحيي على صادق</t>
  </si>
  <si>
    <t>عبير سليمان خلف</t>
  </si>
  <si>
    <t>جميلة اشرف محمد</t>
  </si>
  <si>
    <t>محمد محمود حسين محمود</t>
  </si>
  <si>
    <t>صفيه وائل محمد حسن سليمان</t>
  </si>
  <si>
    <t>امل حلمى مسعد فهيد</t>
  </si>
  <si>
    <t xml:space="preserve">محمد مدحت عبدالمنعم مصطفى حسن </t>
  </si>
  <si>
    <t xml:space="preserve">سلسبيل احمد جاد عبد المقصود </t>
  </si>
  <si>
    <t>شيماء السيد السيد شلبى شهده</t>
  </si>
  <si>
    <t>سعيد دياب حامد سعيد</t>
  </si>
  <si>
    <t>اسلام حسام مصطفى عبد العال</t>
  </si>
  <si>
    <t>عبد الرحمن فريد عبد المنعم محمد احمد</t>
  </si>
  <si>
    <t>ملك يوسف احمد سيد</t>
  </si>
  <si>
    <t>ياسمين عبد الحميد البكري عبد الحميد</t>
  </si>
  <si>
    <t>اشرقت وليد محمد  جودة</t>
  </si>
  <si>
    <t>ولاء عادل عبده التهامي</t>
  </si>
  <si>
    <t>مصطفي عطا فراج إبراهيم</t>
  </si>
  <si>
    <t>نورهان إبراهيم عطيه احمد</t>
  </si>
  <si>
    <t>لميس خالد محمد عبد العزيز</t>
  </si>
  <si>
    <t xml:space="preserve">نورهان اسامه جمعه علي </t>
  </si>
  <si>
    <t>احمد محمد احمد عبد الونيس</t>
  </si>
  <si>
    <t>مها احمد حسن محمد رزق</t>
  </si>
  <si>
    <t>حسين شعبان النوبى حسنين</t>
  </si>
  <si>
    <t>تغريد احمد سعد محمود رستم</t>
  </si>
  <si>
    <t>محمد طلال محمد المعصراوى</t>
  </si>
  <si>
    <t>فرح اشرف محمد محمد حسن</t>
  </si>
  <si>
    <t>ياسمين سيد عبدالله إبراهيم حسن نصار</t>
  </si>
  <si>
    <t>ندى نبيل محمد عبدالسلام</t>
  </si>
  <si>
    <t>امل زيدان فرج خيرى</t>
  </si>
  <si>
    <t>جورج صبحي جورجي ذكي سعد</t>
  </si>
  <si>
    <t>بسمه عبدالمنعم إبراهيم السيد</t>
  </si>
  <si>
    <t>زينب عبد الكريم عبد العليم الحفناوى</t>
  </si>
  <si>
    <t>عمرو عصام بدر الدين زكي</t>
  </si>
  <si>
    <t>عبد المنعم مجدى عبدربه محمد هلهل</t>
  </si>
  <si>
    <t>رحمة مصطفى خلف الله حسانين</t>
  </si>
  <si>
    <t>ندى محمد سعد محمد</t>
  </si>
  <si>
    <t>مصطفى جميل عبد الفتاح محمد شاهين</t>
  </si>
  <si>
    <t>حبيبة عادل بدرالدين احمد</t>
  </si>
  <si>
    <t xml:space="preserve">منار  سيد عثمان احمد </t>
  </si>
  <si>
    <t xml:space="preserve">يارا رمضان يوسف عبده </t>
  </si>
  <si>
    <t xml:space="preserve">هاجر شريف محمد عبد الرؤف </t>
  </si>
  <si>
    <t>هشام فتح الله عبدربه فرج</t>
  </si>
  <si>
    <t>صبرى عبد الهادى عبد الهادى</t>
  </si>
  <si>
    <t xml:space="preserve">مى سيد إبراهيم حنفي عقل </t>
  </si>
  <si>
    <t>نيرة محمد يوسف عبد المجيد غزى</t>
  </si>
  <si>
    <t>شوقية محمد عثمان احمد</t>
  </si>
  <si>
    <t>زياد احمد سيد محمد</t>
  </si>
  <si>
    <t>اميرة شعراوى ابراهيم  حامد على</t>
  </si>
  <si>
    <t>نرمين شعراوى إبراهيم حامد على</t>
  </si>
  <si>
    <t>دعاء محمد عثمان احمد</t>
  </si>
  <si>
    <t>يحي هاني نبيل  عبد التواب</t>
  </si>
  <si>
    <t>منه رضا فتحى سيد</t>
  </si>
  <si>
    <t>كرستينا مجدى محروس فؤاد</t>
  </si>
  <si>
    <t xml:space="preserve">عبدالله عماد محمد السيد </t>
  </si>
  <si>
    <t>احمد محمد محمود احمد أبو الدهب</t>
  </si>
  <si>
    <t>اسراء كمال الدين حسن محمد محمود الشافعى</t>
  </si>
  <si>
    <t>اسراء خالد محمود عبد الله</t>
  </si>
  <si>
    <t>عبد الحميد نبوى فهيم محمد</t>
  </si>
  <si>
    <t>حسين محمود حسين حسن</t>
  </si>
  <si>
    <t>اية حمدى رجب على غنيمة</t>
  </si>
  <si>
    <t>مصطفى احمد عبد الهادى محمود</t>
  </si>
  <si>
    <t>عبد الرحمن احمد عبد العليم السيد مرعى</t>
  </si>
  <si>
    <t>سامح ماجد الهجرسى الدسوقى</t>
  </si>
  <si>
    <t>ياسر عبد الحكيم حمزة أبو النيل</t>
  </si>
  <si>
    <t>اصالة مهدى محمد احمد</t>
  </si>
  <si>
    <t>سيف طارق محمد  إسماعيل</t>
  </si>
  <si>
    <t>هاني جمعه علي احمد</t>
  </si>
  <si>
    <t>احمد حمدى محمد سرور</t>
  </si>
  <si>
    <t>احمد رزق طاهر أبو الفتوح</t>
  </si>
  <si>
    <t>هدير رمضان مصطفي عبد العال</t>
  </si>
  <si>
    <t xml:space="preserve">سحر محمد علي سيد </t>
  </si>
  <si>
    <t>نورين محمود عبد السلام</t>
  </si>
  <si>
    <t>ياسمين ماهر زيدان محمود عبد الباقي</t>
  </si>
  <si>
    <t>كريم جمال السيد عبد الهادي</t>
  </si>
  <si>
    <t>رنيم إبراهيم محمد احمد مجاهد</t>
  </si>
  <si>
    <t>فاطمة محمود سلامة إبراهيم</t>
  </si>
  <si>
    <t>مى علاء السيد محمد غريب</t>
  </si>
  <si>
    <t>رحمه عاطف احمد علي</t>
  </si>
  <si>
    <t>احمد إبراهيم مبروك سعيد</t>
  </si>
  <si>
    <t>محمد السيد محمد الدسوقي</t>
  </si>
  <si>
    <t>مي اشرف صلاح الدين أبو زيد</t>
  </si>
  <si>
    <t xml:space="preserve">فاطمه شعبان محمد مصطفي </t>
  </si>
  <si>
    <t>حبيبه بدر  حنفي محمود</t>
  </si>
  <si>
    <t>ايمان رمضان السعيد مصطفي</t>
  </si>
  <si>
    <t>دينا محمد احمد الصاوي</t>
  </si>
  <si>
    <t>اسراء صبري رمضان احمد</t>
  </si>
  <si>
    <t>محمود رياض محمد رياض</t>
  </si>
  <si>
    <t>محمود محمد محمود محمد</t>
  </si>
  <si>
    <t>محمود عبد المنعم محمد إبراهيم</t>
  </si>
  <si>
    <t>عمرو خالد ياسين إبراهيم</t>
  </si>
  <si>
    <t>ياسمين وائل صلاح احمد</t>
  </si>
  <si>
    <t>هايدي هشام السيد امام</t>
  </si>
  <si>
    <t>رحاب عثمان محمود صالح</t>
  </si>
  <si>
    <t>اسلام احمد محمود علي</t>
  </si>
  <si>
    <t>بلال فريد شوقي احمد</t>
  </si>
  <si>
    <t>محمد حسن علي عباس</t>
  </si>
  <si>
    <t>مريم محمود غريب محمد</t>
  </si>
  <si>
    <t>كريم اشرف فاروق احمد</t>
  </si>
  <si>
    <t>مانى فيللوز</t>
  </si>
  <si>
    <t>ميد تقسيط - ماني فيللوز</t>
  </si>
  <si>
    <t>متعدد</t>
  </si>
  <si>
    <t>المدير العام</t>
  </si>
  <si>
    <t>شركة فاليو</t>
  </si>
  <si>
    <t>بنك الإسكندرية / شركة سهولة</t>
  </si>
  <si>
    <t>شركة راية</t>
  </si>
  <si>
    <t>بنك كريدى اجريكول</t>
  </si>
  <si>
    <t xml:space="preserve"> شركة ماني فيللوز </t>
  </si>
  <si>
    <t xml:space="preserve"> شركة ميد تقسيط</t>
  </si>
  <si>
    <t>بنك الاسكندرية</t>
  </si>
  <si>
    <t>شركة ميد تقسيط</t>
  </si>
  <si>
    <t xml:space="preserve">بنك الإسكندرية / شركة سهولة </t>
  </si>
  <si>
    <t xml:space="preserve">شركة سهولة </t>
  </si>
  <si>
    <t>شركة وسيله /بنك اسكندرية</t>
  </si>
  <si>
    <t>شركة سهولة / شركة راية</t>
  </si>
  <si>
    <t>تحصيل / شئون قانونية</t>
  </si>
  <si>
    <t>بنك كريدي/شركة وسيلة</t>
  </si>
  <si>
    <t>مانى فللوز /كريدى اجريكول</t>
  </si>
  <si>
    <t>بنك  الإسكندرية / شركة وسيلة</t>
  </si>
  <si>
    <t>بنك الإسكندرية / بنك كريدى اجريكول</t>
  </si>
  <si>
    <t>نائب مدير الإدارة القانونية</t>
  </si>
  <si>
    <t>مشرف قضائى</t>
  </si>
  <si>
    <t xml:space="preserve">وكيل تحصيل هاتفي </t>
  </si>
  <si>
    <t>مسئول موارد بشريه</t>
  </si>
  <si>
    <t>محامى</t>
  </si>
  <si>
    <t>مسئول تنفيذ</t>
  </si>
  <si>
    <t>13/11/2024</t>
  </si>
  <si>
    <t>17/12/2024</t>
  </si>
  <si>
    <t>14/11/2024</t>
  </si>
  <si>
    <t>18/11/2024</t>
  </si>
  <si>
    <t>20/11/2024</t>
  </si>
  <si>
    <t>21/11/2024</t>
  </si>
  <si>
    <t>23/11/2024</t>
  </si>
  <si>
    <t>26/11/2024</t>
  </si>
  <si>
    <t>27/11/2024</t>
  </si>
  <si>
    <t>18/12/2024</t>
  </si>
  <si>
    <t>24/11/2024</t>
  </si>
  <si>
    <t>25/11/2024</t>
  </si>
  <si>
    <t>13/12/2024</t>
  </si>
  <si>
    <t>15/12/2024</t>
  </si>
  <si>
    <t>09/01/2025</t>
  </si>
  <si>
    <t>Transferredto your account from5220001000021993</t>
  </si>
  <si>
    <t>Inquiry Fees</t>
  </si>
  <si>
    <t>ATM Cash WithdrawalBM ISLAMIC MANSOURA BR 5 MANSOURA      E</t>
  </si>
  <si>
    <t>ضيافة شركة قيمة</t>
  </si>
  <si>
    <t>مصاريف قانونية لتنظير أسامة محمد احمد</t>
  </si>
  <si>
    <t>صيانة سباكة فرع 25 ج</t>
  </si>
  <si>
    <t>انتقال لتسليم فاتورة ميد تقسيط</t>
  </si>
  <si>
    <t>بدل انتقال احمد حسين زيارات بنك كريدى</t>
  </si>
  <si>
    <t>بدل انتقال مصطفى جميل زيارات بنك كريدى</t>
  </si>
  <si>
    <t>تغيير انبوبة الدور 12</t>
  </si>
  <si>
    <t>TransferredBM HUB BR.EG TOWERS TOUR1CAIRO         E -   5220199000000582</t>
  </si>
  <si>
    <t>Incoming Domestic TransferACH Transfer: Valu Company-Qima-</t>
  </si>
  <si>
    <t>TransferredBM HUB BR.EG TOWERS TOUR2CAIRO         E -   5220199000000582</t>
  </si>
  <si>
    <t>12/01/2025</t>
  </si>
  <si>
    <t>11/01/2025</t>
  </si>
  <si>
    <t>ATM Cash WithdrawalBM HUB SALAH SALEM 2     CAIRO         E</t>
  </si>
  <si>
    <t>عمولات شهر نوفمبر 2024</t>
  </si>
  <si>
    <t>شراء 6 زجاجات مياة صغيرة</t>
  </si>
  <si>
    <t>رسوم استعلام عدد 124 عميل * 15 جنية</t>
  </si>
  <si>
    <t>تحويل لوكيل تحصيل فرع الأقصر</t>
  </si>
  <si>
    <t xml:space="preserve">بدل انتقال احمد حسين الى الاسكندرية زيارات بنك كريدى </t>
  </si>
  <si>
    <t xml:space="preserve">فاتورة أدوات النظافة </t>
  </si>
  <si>
    <t>إيداع عملاء شركة تنمية</t>
  </si>
  <si>
    <t xml:space="preserve"> ضريبة القيمة المضافة على فاتورة أدوات النظافة </t>
  </si>
  <si>
    <t>سداد كسب العمل عن شهر ديسمبر</t>
  </si>
  <si>
    <t>رسوم سداد كسب العمل عن شهر ديسمبر</t>
  </si>
  <si>
    <t>سداد الخصم والاضافة الفترة الرابعة</t>
  </si>
  <si>
    <t>رسوم سداد الخصم والاضافة الفترة الرابعة</t>
  </si>
  <si>
    <t>سداد التامينات الاجتماعية عن شهر 12</t>
  </si>
  <si>
    <t>رسوم سداد التامينات الاجتماعية عن شهر 12</t>
  </si>
  <si>
    <t>تصوير عدد 3 نسخ لعقد لشركة امان</t>
  </si>
  <si>
    <t>تحويل محلي واردACH Transfer: MID TAKSEET-سداد فاتورة قيمة للتحصيل شهر 11/202-4</t>
  </si>
  <si>
    <t>14/01/2025</t>
  </si>
  <si>
    <t>بدل انتقال محمد رضا لتسليم فاتورة بنك كريدى</t>
  </si>
  <si>
    <t>رسوم استعلام عدد 40 عميل * 15 &amp; 500 جنية</t>
  </si>
  <si>
    <t>بدل انتقال ا/منعم &amp; ا//وليد الى بنك الإسكندرية</t>
  </si>
  <si>
    <t>تحويل محلي واردACH Transfer: Valu Company-Qima-</t>
  </si>
  <si>
    <t xml:space="preserve">بنك الإسكندرية </t>
  </si>
  <si>
    <t>صيانة فرع 25 ج عن شهر 1</t>
  </si>
  <si>
    <t>فرق استهلاك الكهرباء والمياة عن شهر 1 فرع 25 ج</t>
  </si>
  <si>
    <t>اكرامية عمال الامن والنظافة عن شهر 1 فرع 25 ج</t>
  </si>
  <si>
    <t xml:space="preserve"> بدل انتقال احمد حسين زيارات بنك كريدى</t>
  </si>
  <si>
    <t>فاتورة الأدوات الكتابية من الفجالة</t>
  </si>
  <si>
    <t>انتقالات لشراء فاتورة الأدوات الكتابية</t>
  </si>
  <si>
    <t>ضريبة القيمة المضافة على فاتورة الأدوات الكتابية من الفجالة</t>
  </si>
  <si>
    <t>ضريبة الخصم والاضافة على فاتورة الأدوات الكتابية من الفجالة</t>
  </si>
  <si>
    <t>مؤسسة الرحاب التجارية</t>
  </si>
  <si>
    <t>فاتورة أدوات البوفية من جملة ماركت</t>
  </si>
  <si>
    <t>تاكسى عودة من جملة ماركت</t>
  </si>
  <si>
    <t>مصاريف قانونية لتنظير احمد عادل</t>
  </si>
  <si>
    <t>سداد فاتورة الانترنت عن شهر 1 فرع 25 ج</t>
  </si>
  <si>
    <t>رسوم سداد فاتورة الانترنت عن شهر 1 فرع 25 ج</t>
  </si>
  <si>
    <t>بدل انتقال مصطفى جميل مامورية الرحاب</t>
  </si>
  <si>
    <t>صرف عمولة احمد شريف عن شهر 12-2024</t>
  </si>
  <si>
    <t>محمد الظافر محمد رفعت احمد إبراهيم</t>
  </si>
  <si>
    <t>مصاريف قانونية لتنظير محمد الظافر</t>
  </si>
  <si>
    <t>رد جزء من تامينات زينب محمود</t>
  </si>
  <si>
    <t>سداد فاتورة انترنت الدور 15 عن شهر 1</t>
  </si>
  <si>
    <t>ضيافة شركة تنمية</t>
  </si>
  <si>
    <t>شراء ادوات النظافة</t>
  </si>
  <si>
    <t>انتقالات لشراء أدوات النظافة</t>
  </si>
  <si>
    <t>سداد فاتورة كهرباء الدور 15 عن شهر 1</t>
  </si>
  <si>
    <t>سداد فاتورة كهرباء الدور 12 عن شهر 1</t>
  </si>
  <si>
    <t>تحويل بدل انتقال لوكيل تحصيل بنى مزار</t>
  </si>
  <si>
    <t xml:space="preserve">مياده صلاح خالد عبدالعليم </t>
  </si>
  <si>
    <t>تمويل خزينة تسوية تحويل أستاذ وليد</t>
  </si>
  <si>
    <t>19/01/2025</t>
  </si>
  <si>
    <t>18/01/2025</t>
  </si>
  <si>
    <t>محولBM HUB BR.EG TOWERS TOUR2CAIRO         E -   5220199000000367</t>
  </si>
  <si>
    <t>20/01/2025</t>
  </si>
  <si>
    <t>متنوع عامم- عدد 2 كشف حساب من 01-01-2024 الى 31-12-2024 و لرقم حساب 5220199000000582 -</t>
  </si>
  <si>
    <t>تبرعات لجمعية رسالة &amp; مستشفى 57357</t>
  </si>
  <si>
    <t>سداد كهرباء فرع 25 ج عن شهر 1</t>
  </si>
  <si>
    <t>بدل انتقال احمد مجدى &amp;محمد مجدى الى اطفيح زيارات شركة فاليو</t>
  </si>
  <si>
    <t>سداد فاتورة التليفون الارضى</t>
  </si>
  <si>
    <t>شمال القاهرة لتوزيع الكهرباء</t>
  </si>
  <si>
    <t>0119320023800-01-01-2025</t>
  </si>
  <si>
    <t>0119320001200-01-01-2025</t>
  </si>
  <si>
    <t>مصاريف قانونية لتنظير اسامه محمد</t>
  </si>
  <si>
    <t>رسوم معاينة عقار طلعت حرب</t>
  </si>
  <si>
    <t>انتقالات لمعاينة عقار طلعت حرب</t>
  </si>
  <si>
    <t xml:space="preserve">سداد فاتورة اتصالات عن شهر 12 </t>
  </si>
  <si>
    <t xml:space="preserve">رسوم سداد فاتورة اتصالات عن شهر 12 </t>
  </si>
  <si>
    <t>بدل انتقال حسين احمد زيارات شركة فاليو الى المنوفية</t>
  </si>
  <si>
    <t>وجبة غذاء حسين احمد زيارات شركة فاليو الى المنوفية</t>
  </si>
  <si>
    <t>مكافاة تشجيعية لمحمد عبد المنعم</t>
  </si>
  <si>
    <t>شراء شريط لحام</t>
  </si>
  <si>
    <t>انتقال محمد رضا الى التامينات</t>
  </si>
  <si>
    <t>رسوم استخراج برنت تامينى</t>
  </si>
  <si>
    <t>شراء عدد 2 جركن صابون 16 لتر من جملة ماركت</t>
  </si>
  <si>
    <t>شراء كشاف لمطبخ فرع 25 ج</t>
  </si>
  <si>
    <t>انتقال محمد عبد المنعم لشراء الكشاف</t>
  </si>
  <si>
    <t>إيداع عملاء شركة فاليو</t>
  </si>
  <si>
    <t>تحويل محلي واردACH Transfer: ALEX BANK- PO 365099-</t>
  </si>
  <si>
    <t>21/01/2025</t>
  </si>
  <si>
    <t>ATM Cash WithdrawalBM SALAH SALEM BR 3      CAIRO         E</t>
  </si>
  <si>
    <t>تحويل محلي واردACH Transfer: 1/RAYA ELECTRONICS CO.-COLLECTION FEES-</t>
  </si>
  <si>
    <t>بدل انتقال اشرف محمد زيارات شركة فاليو</t>
  </si>
  <si>
    <t>فاتورة جملة ماركت مشتريات حفلة مانى فللوز</t>
  </si>
  <si>
    <t>صرف لحنان عادل محمد</t>
  </si>
  <si>
    <t xml:space="preserve">بدل انتقال حسين احمد زيارات شركة فاليو </t>
  </si>
  <si>
    <t>سداد فاتورة الانترنت للدور 12 عن شهر 1</t>
  </si>
  <si>
    <t>مصاريف قانونية لتنظير اسامه محمد متابعة تنفيذ بنك كريدى</t>
  </si>
  <si>
    <t>رسوم استخراج التوكيل القضائى</t>
  </si>
  <si>
    <t>تصوير أوراق لاستخراج التوكيل القضائى</t>
  </si>
  <si>
    <t>انتقالات عبد الحميد نبوى الى كفر الشيخ زيارات بنك كريدى</t>
  </si>
  <si>
    <t>شراء قطع غيار لصيانة لاب ا/علاء</t>
  </si>
  <si>
    <t>انتقال ذهاب وعودة الى مول البستان لشراء قطع الغيار</t>
  </si>
  <si>
    <t>انتقال ذهاب وعودة الى عبود لارسال توكيلات الى فرع المنصورة</t>
  </si>
  <si>
    <t>بدل انتقال إسماعيل سلامه الى الإسكندرية</t>
  </si>
  <si>
    <t>ضيافة بنك الإسكندرية</t>
  </si>
  <si>
    <t>إيداع لعميل شركة فاليو</t>
  </si>
  <si>
    <t>22/01/2025</t>
  </si>
  <si>
    <t>حركة تحميل ملفSettlementATMMEMO202501221-5657147265</t>
  </si>
  <si>
    <t>26/01/2025</t>
  </si>
  <si>
    <t>محولBM SALAH SALEM BR 3      CAIRO         E -   5220199000000582</t>
  </si>
  <si>
    <t>بدل انتقال محمد مدحت لاستلام عقد بنك كريدى</t>
  </si>
  <si>
    <t>بدل انتقال محمد مدحت لتسليم عقد بنك كريدى</t>
  </si>
  <si>
    <t>فاتورة جملة ماركت مشتريات بوفية</t>
  </si>
  <si>
    <t>تمويل خزينة استلام من ا/وليد سحب من بنك مصر</t>
  </si>
  <si>
    <t>تمويل خزينة تسوية سداد القيمة المضافة</t>
  </si>
  <si>
    <t>سداد ضريبة القيمة المضافة عن شهر ديسمبر 2024</t>
  </si>
  <si>
    <t>غداء احمد أبو الدهب ماموريات البحيرة بتاريخ 12 &amp; 20</t>
  </si>
  <si>
    <t>انتقالات احمد أبو الدهب ماموريات البحيرة بتاريخ 12 &amp; 20</t>
  </si>
  <si>
    <t>بدل انتقال محمد رضا الى التامينات &amp;شركة امان لتسليم العقد</t>
  </si>
  <si>
    <t>بدل انتقال عبد الحميد نبوى &amp; حسين محمود الى العاشر من رمضان</t>
  </si>
  <si>
    <t>عزت يوسف</t>
  </si>
  <si>
    <t>ساركى بدون إيصال</t>
  </si>
  <si>
    <t>27/01/2025</t>
  </si>
  <si>
    <t>خصم اموال محولهFund Transfer from - 5220001000021993 - to - 3880199000003181 -   3880199000003181</t>
  </si>
  <si>
    <t>خصم اموال محولهFund Transfer from - 5220001000021993 - to - 5140331000000667 -   5140331000000667</t>
  </si>
  <si>
    <t>خصم اموال محولهFund Transfer from - 5220001000021993 - to - 5220199000000367 -   5220199000000367</t>
  </si>
  <si>
    <t>خصم اموال محولهFund Transfer from - 5220001000021993 - to - 2080333000106820 -   2080333000106820</t>
  </si>
  <si>
    <t>CASH WITHDRAWALعلاء محمد عوض جاد الله -</t>
  </si>
  <si>
    <t>مصاريف تحويل داخل بنك مصرمصاريف تحويل داخل بنك مصر -</t>
  </si>
  <si>
    <t>28/01/2025</t>
  </si>
  <si>
    <t>CASH WITHDRAWALوليد عبدالكريم عبدالعليم الحفناوى -</t>
  </si>
  <si>
    <t>تمويل خزينة تسوية تحويل مرتبات الإدارة</t>
  </si>
  <si>
    <t>تمويل خزينة سحب ا/علاء عوض لفرع المنصورة</t>
  </si>
  <si>
    <t>سداد ايجار الفرع 25 ج عن شهر 2</t>
  </si>
  <si>
    <t>شراء شيكولاتات للترقية</t>
  </si>
  <si>
    <t>ضيافة شركة قيمة بفرع المنصورة</t>
  </si>
  <si>
    <t>بدل انتقال زياد كرم زيارات الرحاب وبنى سويف</t>
  </si>
  <si>
    <t>بدل انتقال حسين &amp;أبو الدهب زيارات البحيرة</t>
  </si>
  <si>
    <t>وجبة غداء حسين &amp;أبو الدهب زيارات البحيرة</t>
  </si>
  <si>
    <t>إيداع لعملاء بنك كريدى</t>
  </si>
  <si>
    <t xml:space="preserve">ضيافة بنك كريدى </t>
  </si>
  <si>
    <t>سداد لعملاء شركة تنمية</t>
  </si>
  <si>
    <t>عمولات وسيلة</t>
  </si>
  <si>
    <t>تحويل محلي واردACH Transfer: MID TAKSEET-سداد فاتورة قيمة الإجراءات القضائية-</t>
  </si>
  <si>
    <t>تحويل محلي واردACH Transfer: CI consumer finance- souhoola-Qima December 2024 Payment-</t>
  </si>
  <si>
    <t>29/01/2025</t>
  </si>
  <si>
    <t>تمويل خزينة تسوية تحويل عميل بنك كريدى</t>
  </si>
  <si>
    <t>سداد انترنت فرع 25 ج</t>
  </si>
  <si>
    <t>سداد فاتورة ارضى فرع 25 ج</t>
  </si>
  <si>
    <t>صرف راتب شهر ديسمبر</t>
  </si>
  <si>
    <t>رواتب شهر يناير 2025</t>
  </si>
  <si>
    <t>مصاريف قانونية لتنظير عمرو عصام</t>
  </si>
  <si>
    <t>صرف مكافاة تشجيعية لكلا من احمد عادل &amp; احمد منصور &amp;محمد الظافر</t>
  </si>
  <si>
    <t>صرف عمولة وسيلة شهر نوفمبر 2024</t>
  </si>
  <si>
    <t>بدل انتقال حسام حسن الى المنوفية زيارات شركة فاليو</t>
  </si>
  <si>
    <t>استشارات IT عن شهر 1 حسام حسن</t>
  </si>
  <si>
    <t>شراء عدد 6 شرشوبة &amp; 6 فوط</t>
  </si>
  <si>
    <t>بدل انتقال محمد رضا الى التامينات &amp; العتبة</t>
  </si>
  <si>
    <t>صيانة حمام الدور 15 &amp;شراء مستلزمات الصيانة</t>
  </si>
  <si>
    <t>عبد الرحمن منصور حسن أبو المجد</t>
  </si>
  <si>
    <t>الصعيد</t>
  </si>
  <si>
    <t xml:space="preserve">محمد احمد مرسى خليل </t>
  </si>
  <si>
    <t>محمد جمال شحاتة محمد سالم</t>
  </si>
  <si>
    <t xml:space="preserve">ضحى توفيق فؤاد توفيق </t>
  </si>
  <si>
    <t>احمد منصور سليم منصور سليم</t>
  </si>
  <si>
    <t>احمد عادل محمد احمد</t>
  </si>
  <si>
    <t>احمد حسين رمضان محمد ربيع</t>
  </si>
  <si>
    <t>مازن احمد عبدالحليم عبدالحميد المرسى</t>
  </si>
  <si>
    <t>اريج خالد العوضى الدسوقى السايح</t>
  </si>
  <si>
    <t xml:space="preserve">عاطف السيد شحاته السيد الشربينى </t>
  </si>
  <si>
    <t>صفيناز عبدالقادر علام عبدالقادر</t>
  </si>
  <si>
    <t xml:space="preserve">محمد احمد احمد محمد نصار </t>
  </si>
  <si>
    <t>نيره عادل محمد حسين حجازى</t>
  </si>
  <si>
    <t>اكرم امين على الوصال</t>
  </si>
  <si>
    <t>روان محمود محمد إبراهيم يوسف</t>
  </si>
  <si>
    <t>روان عماد الدين امين عبدالعزيز</t>
  </si>
  <si>
    <t xml:space="preserve">ايه محمد الفلاح عبدالقادر </t>
  </si>
  <si>
    <t>كريمه خليل محمد خليل</t>
  </si>
  <si>
    <t>محمد عبدالكريم عكاشه عكاشه يوسف</t>
  </si>
  <si>
    <t>it specialist</t>
  </si>
  <si>
    <t>عمار ياسر عبدالمنعم طلبه</t>
  </si>
  <si>
    <t>عبدالله جابر عبدالمجيد محمد الاكراشى</t>
  </si>
  <si>
    <t>ATM Cash WithdrawalBM SALAH SALEM BR 4      CAIRO         E</t>
  </si>
  <si>
    <t>30/01/2025</t>
  </si>
  <si>
    <t>ايجار الشركة فرع المنصورة شهر يناير 2025</t>
  </si>
  <si>
    <t>ضيافة عمال تركيب القايم والكاونتر (ممدوح)</t>
  </si>
  <si>
    <t xml:space="preserve">اكراميات الحارس والبواب </t>
  </si>
  <si>
    <t>راتب ندي جمال من أكتوبر 2024</t>
  </si>
  <si>
    <t xml:space="preserve">مكافاة تشجيعية من الشركة </t>
  </si>
  <si>
    <t xml:space="preserve">انتقالات تنمية </t>
  </si>
  <si>
    <t>شركه تنميه _ تحصيل</t>
  </si>
  <si>
    <t>شراء حنفية للسخان</t>
  </si>
  <si>
    <t xml:space="preserve">مشتريات من جملة ماركت </t>
  </si>
  <si>
    <t xml:space="preserve">ضريبة القيمة المضافة على فاتورة جملة ماركت </t>
  </si>
  <si>
    <t xml:space="preserve">انتقال صبري الي جملة ماركت والي الشركة </t>
  </si>
  <si>
    <t xml:space="preserve">سداد فاتورة الانترنت الأرضي </t>
  </si>
  <si>
    <t xml:space="preserve">انتقال صبري لسداد الانترنت والكهرباء </t>
  </si>
  <si>
    <t>شحن كارت الكهرباء</t>
  </si>
  <si>
    <t xml:space="preserve"> شمال الدلتا لتوزيع الكهرباء</t>
  </si>
  <si>
    <t>راتب احمد رزق طاهر من ديسمبر 2024</t>
  </si>
  <si>
    <t xml:space="preserve">انتقالات بهاء محمد السيد </t>
  </si>
  <si>
    <t>انتقالات عبدالله عماد لشركة تنمية</t>
  </si>
  <si>
    <t xml:space="preserve">انتقال محمد وفيق </t>
  </si>
  <si>
    <t xml:space="preserve">انتقالات كريم فاروق </t>
  </si>
  <si>
    <t xml:space="preserve">ورق طباعة </t>
  </si>
  <si>
    <t xml:space="preserve">انتقالات محمود عبدالمنعم  ل بنك كريدي </t>
  </si>
  <si>
    <t xml:space="preserve">انتقالات قانونية </t>
  </si>
  <si>
    <t>انتقالات قانونيه</t>
  </si>
  <si>
    <t xml:space="preserve">انتقالات </t>
  </si>
  <si>
    <t xml:space="preserve">شراء مفرش طاولة و زينة وحروف قيمة للحفل السنوي </t>
  </si>
  <si>
    <t xml:space="preserve">انتقال باسم سحب عهدتين </t>
  </si>
  <si>
    <t xml:space="preserve">عمولات نوفمبر مجمع 13 موظف </t>
  </si>
  <si>
    <t xml:space="preserve">راتب ياسر عبدالحكيم من ديسمبر 2025 و مكافاة ترشيح </t>
  </si>
  <si>
    <t>عمولة ياسر عبدالحكيم من نوفمبر 2024</t>
  </si>
  <si>
    <t>عمولة محمود عبدالمنعم من نوفمبر 2024</t>
  </si>
  <si>
    <t xml:space="preserve">عمولات نوفمبر2024 دعاء محمد عثمان </t>
  </si>
  <si>
    <t xml:space="preserve">عمولات نوفمبر 2024 فاطمة محمود سلامه </t>
  </si>
  <si>
    <t>سداد مياه وصرف الشركة  يناير 2025</t>
  </si>
  <si>
    <t xml:space="preserve">عمولات مي سيد إبراهيم </t>
  </si>
  <si>
    <t xml:space="preserve">انتقال صبري الي سكة سندوب لمعرفة أسعار غلاية لفرع القاهرة </t>
  </si>
  <si>
    <t xml:space="preserve">عمولة نوفمبر محمد السيد  محمد </t>
  </si>
  <si>
    <t xml:space="preserve">عمولة نوفمبر 2024 نيرة محمد يوسف </t>
  </si>
  <si>
    <t xml:space="preserve">عمولة نوفمبر 2024 هدير رمضان </t>
  </si>
  <si>
    <t>مرتب عبدالرحمن عوض عباس من ديسمبر 2024</t>
  </si>
  <si>
    <t xml:space="preserve">عمولة نوفمبر 2024 عبدالرحمن عوض </t>
  </si>
  <si>
    <t xml:space="preserve">انتقالات فرع القاهرة تقفيل الشهر باسم ناجي </t>
  </si>
  <si>
    <t xml:space="preserve">انتقال محمد وفيق الي  القاهرة </t>
  </si>
  <si>
    <t>عمولة نوفمبر 2024 أ /منار محمد احمد (عقود انتاج)</t>
  </si>
  <si>
    <t xml:space="preserve">عمولة نوفمبر 2024 هاني جمعة </t>
  </si>
  <si>
    <t>انتقالات (بنزين سيارة ) أ علاء عوض</t>
  </si>
  <si>
    <t xml:space="preserve">ضيافة بأذن أ /علاء عوض </t>
  </si>
  <si>
    <t xml:space="preserve">عمولة شهر نوفمبر  - احمد رزق طاهر </t>
  </si>
  <si>
    <t xml:space="preserve">انتقالات قانوينة  محكمة المنصورة </t>
  </si>
  <si>
    <t xml:space="preserve">انتقالات قانونية  - محكمة كفر الزيات - طنطا </t>
  </si>
  <si>
    <t xml:space="preserve">انتقالات قانونية - محكمة طنطا </t>
  </si>
  <si>
    <t xml:space="preserve">انتقالات قانونية  - تحديث محكمة السنبلاوين </t>
  </si>
  <si>
    <t xml:space="preserve">انتقالات قانونية - تحديث محكمة المحلة </t>
  </si>
  <si>
    <t xml:space="preserve">انتقالات قانوينة </t>
  </si>
  <si>
    <t xml:space="preserve">انتقالات قانونية  -ميت غمر </t>
  </si>
  <si>
    <t xml:space="preserve">انتقالات محمود عبدالمنعم   </t>
  </si>
  <si>
    <t xml:space="preserve">انتقالات قانونية شركة فاليو </t>
  </si>
  <si>
    <t xml:space="preserve">مكافاة تشجيعية من الإدارة القانوينة </t>
  </si>
  <si>
    <t xml:space="preserve">انتقالات شركة تنمية </t>
  </si>
  <si>
    <t>رسوم شركة فاليو</t>
  </si>
  <si>
    <t xml:space="preserve">انتقالات كريدي </t>
  </si>
  <si>
    <t xml:space="preserve">ضيافة موظف شركة تنمية </t>
  </si>
  <si>
    <t xml:space="preserve">انتقال باسم لسحب العهدة </t>
  </si>
  <si>
    <t xml:space="preserve">انتقال بهاء فرع القاهرة تكريم ماني فيللوز </t>
  </si>
  <si>
    <t xml:space="preserve">انتقالات ماني - بهاء محمد السيد </t>
  </si>
  <si>
    <t xml:space="preserve">انتقالات محمد وفيق  </t>
  </si>
  <si>
    <t>شركه سهوله_تحصيل</t>
  </si>
  <si>
    <t xml:space="preserve">انتقالات فاطمة محمود سلامة </t>
  </si>
  <si>
    <t xml:space="preserve">انتقالات شيماء السيد </t>
  </si>
  <si>
    <t xml:space="preserve">انتقالات لفرع المنصورة (بنزين سيارة ) </t>
  </si>
  <si>
    <t>سداد الغاز شهر يناير 2025</t>
  </si>
  <si>
    <t xml:space="preserve">انتقال صبري لسداد الكهرباء </t>
  </si>
  <si>
    <t xml:space="preserve">انتقالات محمود عبدالمنعم </t>
  </si>
  <si>
    <t xml:space="preserve">انتقالات الإدارة القانوينة </t>
  </si>
  <si>
    <t>بنك كريدي_قانونيه</t>
  </si>
  <si>
    <t xml:space="preserve">شيكولاته لعدد 10 موظفين  الترقيات </t>
  </si>
  <si>
    <t xml:space="preserve">انتقالات تنمية شيماء السيد </t>
  </si>
  <si>
    <t xml:space="preserve">اظرف للمرتبات </t>
  </si>
  <si>
    <t xml:space="preserve">انتقالات محمد جمال </t>
  </si>
  <si>
    <t>عمولة احمد حمدي نوفمبر 2024</t>
  </si>
  <si>
    <t>مرتبات مجمعة 36 موظف يناير 2025</t>
  </si>
  <si>
    <t>سلف شهر يناير 2025</t>
  </si>
  <si>
    <t xml:space="preserve">انتقالات باسم الي فودافون والي صراف بنك مصر يومين مختلفين </t>
  </si>
  <si>
    <t>راتب باسم ناجي يناير 2025</t>
  </si>
  <si>
    <t xml:space="preserve">تحويل مرتب منار محمد احمد (انتاج ) باذن أ / علاء عوض </t>
  </si>
  <si>
    <t>ضريبة القيمة المضافة على فاتورة أدوات البوفية من جملة ماركت</t>
  </si>
  <si>
    <t>فودافون</t>
  </si>
  <si>
    <t>رسوم سداد فاتورة فودافون عن شهر 12</t>
  </si>
  <si>
    <t>اتصالات مصر</t>
  </si>
  <si>
    <t>ضريبة القيمة المضافة على فاتورة جملة ماركت مشتريات بوفية</t>
  </si>
  <si>
    <t>انتقالات محمد رضا الى التامينات</t>
  </si>
  <si>
    <t>رسوم انتظار سيارة احمد مقيبل امام هيئة الاستثمار</t>
  </si>
  <si>
    <t>محولإلى حسابكم من  5220001000021993</t>
  </si>
  <si>
    <t>ATM Cash WithdrawalBM CAREFOUR MANSOURA     DAQHLYA       E</t>
  </si>
  <si>
    <t>ATM Cash WithdrawalBM ISLAMIC MANSOURA BR 3 MANSOURA      E</t>
  </si>
  <si>
    <t>ATM Cash WithdrawalBM ISLAMIC MANSOURA BR 2 MANSOURA      E</t>
  </si>
  <si>
    <t>31/01/2025</t>
  </si>
  <si>
    <t>عمولة الحد الادنى حساب جارى شركات</t>
  </si>
  <si>
    <t>تسوية سلفة عمرو حسن &amp;المتبقى من العهدة</t>
  </si>
  <si>
    <t>شراء مفصلة لباب غرفة الإدارة القانونية</t>
  </si>
  <si>
    <t>شراء طقم اكرة لغرفة IT &amp; كالون الومنيوم لغرفة HR</t>
  </si>
  <si>
    <t>مصنعية النجار لصيانة الأبواب</t>
  </si>
  <si>
    <t>رصيد شهر يناير 2025</t>
  </si>
  <si>
    <t>بدل انتقال عبد الحميد نبوى زيارات بنك كريدى</t>
  </si>
  <si>
    <t>مصروفات عبد الحميد نبوى زيارات بنك كريدى</t>
  </si>
  <si>
    <t>شركة امان</t>
  </si>
  <si>
    <t>سداد ايجار الأثاث للدور 15 عن شهر 2</t>
  </si>
  <si>
    <t>البنك المصرى لتنمية الصادرات</t>
  </si>
  <si>
    <t>سداد ايجار الدور 12 عن شهر 2</t>
  </si>
  <si>
    <t>سداد صيانة الدور 12 عن شهر2</t>
  </si>
  <si>
    <t>سداد صيانة الدور 15 عن شهر2</t>
  </si>
  <si>
    <t>اكرامية عمال الامن والنظافة عن شهر 2</t>
  </si>
  <si>
    <t>سداد صيانة اليافطة الدور 15 عن شهر2</t>
  </si>
  <si>
    <t>سداد ايجار الطابعتين</t>
  </si>
  <si>
    <t>ضريبة القيمة المضافة سداد ايجار الطابعتين</t>
  </si>
  <si>
    <t>ضريبة الخصم والاضافة سداد ايجار الطابعتين</t>
  </si>
  <si>
    <t>سداد الجمعية عن شهر 2</t>
  </si>
  <si>
    <t>استشارات مالية عن شهر يناير</t>
  </si>
  <si>
    <t>تبرعات طرف ا/علاء</t>
  </si>
  <si>
    <t>بدل انتقال اكرم امين الى العاشر من رمضان زيارات بنك كريدى</t>
  </si>
  <si>
    <t>سداد لعميل شركة تنمية</t>
  </si>
  <si>
    <t>سداد ايجار الدور 15 عن شهر 2</t>
  </si>
  <si>
    <t>بدل انتقال محمد رضا الى نقابة المحاميين</t>
  </si>
  <si>
    <t>05/02/2025</t>
  </si>
  <si>
    <t>محولBM HUB BR.EG TOWERS TOUR2CAIRO         E -   3880199000003181</t>
  </si>
  <si>
    <t>06/02/2025</t>
  </si>
  <si>
    <t>تحويل محلي واردACH Transfer: يو للتمويل الاستهلاكي-سداد فواتير لاغراض تجارية PAYMENT F-OR NON COMMERCIAL</t>
  </si>
  <si>
    <t>09/02/2025</t>
  </si>
  <si>
    <t>08/02/2025</t>
  </si>
  <si>
    <t>محولBM HUB BR.EG TOWERS TOUR2CAIRO         E -   5220199000000582</t>
  </si>
  <si>
    <t>محولBM SALAH SALEM BR 4      CAIRO         E -   5220199000000582</t>
  </si>
  <si>
    <t>شراء عدد 141 شنطة رمضان *200</t>
  </si>
  <si>
    <t>اكرامية لعمال تحميل شنط رمضان</t>
  </si>
  <si>
    <t>اجرة السيارة لنقل شنط رمضان</t>
  </si>
  <si>
    <t>سداد فاتورة فودافون عن شهر 1</t>
  </si>
  <si>
    <t>رسوم سداد فاتورة فودافون عن شهر 1</t>
  </si>
  <si>
    <t>انتقالات لشراء فاتورة الأدوات الكتابية من الفجالة</t>
  </si>
  <si>
    <t>عمولات شهر ديسمبر 2024</t>
  </si>
  <si>
    <t>مستحقات حبيبة عادل بدر الدين</t>
  </si>
  <si>
    <t xml:space="preserve">مستحقات زينب محمود </t>
  </si>
  <si>
    <t>شراء عدد 10 زجاجات مياة للادارة</t>
  </si>
  <si>
    <t>بدل انتقال محمد رضا لبنك كريدى لتسليم الفاتورة</t>
  </si>
  <si>
    <t>بدل انتقال محمد رضا الى المحلاوى لشراء شنط رمضان</t>
  </si>
  <si>
    <t>سداد لعميل كريدى</t>
  </si>
  <si>
    <t>تمويل خزينة سحب من ATM بنك كريدى</t>
  </si>
  <si>
    <t>إيداع شركة سهولة عن شهر 2</t>
  </si>
  <si>
    <t>10/02/2025</t>
  </si>
  <si>
    <t>11/02/2025</t>
  </si>
  <si>
    <t>null- AUR CONSUMER FINANCE WASSELA CO - COMPANY FEES INV 11-10 -  -  -</t>
  </si>
  <si>
    <t>مصر للأصول العقارية</t>
  </si>
  <si>
    <t>الشمس العقارية</t>
  </si>
  <si>
    <t>12/02/2025</t>
  </si>
  <si>
    <t>13/02/2025</t>
  </si>
  <si>
    <t>ATM Cash WithdrawalBM HUB SALAH SALEM 5     CAIRO         E</t>
  </si>
  <si>
    <t>BP Online CRIBM transfer for id IBM2502130011800 From 4680001000019264 to 5220001000021993 -</t>
  </si>
  <si>
    <t>تحويل محلي واردACH Transfer: CUI--</t>
  </si>
  <si>
    <t>تحويل محلي واردACH Transfer: MID TAKSEET-سداد فاتورة قيمة للتحصيل شهر 12/202-4</t>
  </si>
  <si>
    <t>16/02/2025</t>
  </si>
  <si>
    <t>17/02/2025</t>
  </si>
  <si>
    <t>18/02/2025</t>
  </si>
  <si>
    <t>تحويل محلي واردACH Transfer: ALEXBANK.-PO 480568-</t>
  </si>
  <si>
    <t>شركة فورى</t>
  </si>
  <si>
    <t>20/02/2025</t>
  </si>
  <si>
    <t>23/02/2025</t>
  </si>
  <si>
    <t>CASH WITHDRAWAL-وليد عبد الكلريم عبد العلبم -</t>
  </si>
  <si>
    <t>BP Online CRIBM transfer for id IBM2502230007416 From 4680001000019264 to 5220001000021993 -</t>
  </si>
  <si>
    <t>شهرى للتمويل الاستهلاكى</t>
  </si>
  <si>
    <t>24/02/2025</t>
  </si>
  <si>
    <t>خصم اموال محوله - CX BANKINGFund transfer from account no 5220001000021993 to account no 5220199000000367 on ATM 01090185 on 2025/02/23 22:02 Ref 1851723100255 -</t>
  </si>
  <si>
    <t>سداد مديونية</t>
  </si>
  <si>
    <t>26/02/2025</t>
  </si>
  <si>
    <t>تحويل محلي واردACH Transfer: CI consumer finance- souhoola-Qema January 2025 Payment-</t>
  </si>
  <si>
    <t xml:space="preserve">مصطفى محمد عبدالرازق احمد </t>
  </si>
  <si>
    <t>الوحده  رقم A  111  -مبنى اركاديا مول كورنيش النيل بولاق</t>
  </si>
  <si>
    <t>27/02/2025</t>
  </si>
  <si>
    <t>02/03/2025</t>
  </si>
  <si>
    <t>Renewal Fees</t>
  </si>
  <si>
    <t>تحويل محلي واردACH Transfer: Valu Company--</t>
  </si>
  <si>
    <t>03/03/2025</t>
  </si>
  <si>
    <t>محولBM SALES TAX OBOUR BUILD CAIRO         E -   5140331000000667</t>
  </si>
  <si>
    <t>04/03/2025</t>
  </si>
  <si>
    <t>05/03/2025</t>
  </si>
  <si>
    <t>06/03/2025</t>
  </si>
  <si>
    <t>09/03/2025</t>
  </si>
  <si>
    <t>تحويل محلي واردACH Transfer: 1/RAYA ELECTRONICS CO.-INV 14 2024-</t>
  </si>
  <si>
    <t>تحويل محلي واردACH Transfer: 1/RAYA ELECTRONICS CO.-INV 19 2024-</t>
  </si>
  <si>
    <t>ايجار طابعه فرع القاهرة</t>
  </si>
  <si>
    <t>سهولة قانونى</t>
  </si>
  <si>
    <t>10/03/2025</t>
  </si>
  <si>
    <t>12/03/2025</t>
  </si>
  <si>
    <t>11/03/2025</t>
  </si>
  <si>
    <t>13/03/2025</t>
  </si>
  <si>
    <t>ATM Cash WithdrawalBM MOHAMED HAFIZ BR 4    GIZA          E</t>
  </si>
  <si>
    <t>تحويل محلي واردACH Transfer: CI consumer finance- souhoola-Qima - Legal-</t>
  </si>
  <si>
    <t xml:space="preserve">عبدالرحمن سيد عبد الفتاح أبو الفتوح </t>
  </si>
  <si>
    <t>على مصطفى كامل حسين</t>
  </si>
  <si>
    <t>عزيزه عبدالكريم حسين غنيم</t>
  </si>
  <si>
    <t xml:space="preserve">كريم البكرى محمدى بكرى سويلم </t>
  </si>
  <si>
    <t>عادل الادهم امين احمد</t>
  </si>
  <si>
    <t>BP Online DRIBM transfer for id IBM2503130013484 From 5220001000021993 to 5140331000000667 -</t>
  </si>
  <si>
    <t>16/03/2025</t>
  </si>
  <si>
    <t>15/03/2025</t>
  </si>
  <si>
    <t>18/03/2025</t>
  </si>
  <si>
    <t>19/03/2025</t>
  </si>
  <si>
    <t>BP Online CRIBM transfer for id IBM2503190006968 From 3810199000003678 to 5220001000021993 -</t>
  </si>
  <si>
    <t>20/03/2025</t>
  </si>
  <si>
    <t>BP Online CRIBM transfer for id IBM2503200007450 From 4680001000019264 to 5220001000021993 -</t>
  </si>
  <si>
    <t>شركة شهرى</t>
  </si>
  <si>
    <t xml:space="preserve">عبدالله إيهاب حسن رشدى على </t>
  </si>
  <si>
    <t>شركة سفن</t>
  </si>
  <si>
    <t>23/03/2025</t>
  </si>
  <si>
    <t>22/03/2025</t>
  </si>
  <si>
    <t>محولBM HUB SALAH SALEM 2     CAIRO         E -   5220199000000582</t>
  </si>
  <si>
    <t>24/03/2025</t>
  </si>
  <si>
    <t>محولBM HUB SALAH SALEM 5     CAIRO         E -   5220199000000582</t>
  </si>
  <si>
    <t>تحويل محلي واردACH Transfer: CI consumer finance- souhoola-Qema Feb 2025 Payment-</t>
  </si>
  <si>
    <t>POS PURCHASE ON-USBGOV 9402050022 EG       CAIRO         E</t>
  </si>
  <si>
    <t>25/03/2025</t>
  </si>
  <si>
    <t>26/03/2025</t>
  </si>
  <si>
    <t>CASH WITHDRAWALعبدالمنعم مجدى عبدربه محمد هلهل -</t>
  </si>
  <si>
    <t>27/03/2025</t>
  </si>
  <si>
    <t>تحويل محلي واردACH Transfer: 1/RAYA ELECTRONICS CO.-FEES-</t>
  </si>
  <si>
    <t>عمر صفوت صبرى أبو الفضل</t>
  </si>
  <si>
    <t>06/04/2025</t>
  </si>
  <si>
    <t>Incoming Domestic TransferACH Transfer: ALEX BANK-PO#502262-</t>
  </si>
  <si>
    <t>اور للتمويل الاستهلاكى -وسيلة قانونى</t>
  </si>
  <si>
    <t>ولاء محمد حمدى</t>
  </si>
  <si>
    <t>10/04/2025</t>
  </si>
  <si>
    <t>تحويل محلي واردACH Transfer: يو للتمويل الاستهلاكي-سداد فواتير لاغراض غير تجارية PAYME-NT FOR NON COMERCIAL</t>
  </si>
  <si>
    <t>07/04/2025</t>
  </si>
  <si>
    <t>BP Online DRIBM transfer for id IBM2504070014514 From 5220001000021993 to 5140331000000667 -</t>
  </si>
  <si>
    <t>08/04/2025</t>
  </si>
  <si>
    <t>محولBM HUB BR.EG TOWERS TOUR1CAIRO         E -   3880199000003181</t>
  </si>
  <si>
    <t>09/04/2025</t>
  </si>
  <si>
    <t>احمد محمد حسنى</t>
  </si>
  <si>
    <t>الخصم والاضافة</t>
  </si>
  <si>
    <t>عبدالله رضا بحيرى</t>
  </si>
  <si>
    <t>13/04/2025</t>
  </si>
  <si>
    <t>14/04/2025</t>
  </si>
  <si>
    <t>15/04/2025</t>
  </si>
  <si>
    <t>سلمى عادل محمد احمد</t>
  </si>
  <si>
    <t>امان لتمويل المشروعات</t>
  </si>
  <si>
    <t>احمد محمد نجيب</t>
  </si>
  <si>
    <t>حنان عادل محمد كمال الدين</t>
  </si>
  <si>
    <t>السيد محمد السيد بدوى حلابه</t>
  </si>
  <si>
    <t>قطعه اف 12 على بى 221 القريه الذكيه الحى المالى الجيزه  قسم الجيزة, الجيزه, EG</t>
  </si>
  <si>
    <t>فورى لتكنولوجيا المعلومات التجارية</t>
  </si>
  <si>
    <t>17/04/2025</t>
  </si>
  <si>
    <t>23/04/2025</t>
  </si>
  <si>
    <t>BP Online DRIBM transfer for id IBM2504230009679 From 5220001000021993 to 5220199000000582 -</t>
  </si>
  <si>
    <t>BP Online DRIBM transfer for id IBM2504230011248 From 5220001000021993 to 5220199000000582 -</t>
  </si>
  <si>
    <t>27/04/2025</t>
  </si>
  <si>
    <t>Incoming Domestic TransferACH Transfer: ALEX BANK-PO#513458-</t>
  </si>
  <si>
    <t>BP Online CRIBM transfer for id IBM2504230009679 From 5220001000021993 to 5220199000000582 -</t>
  </si>
  <si>
    <t>BP Online CRIBM transfer for id IBM2504230011248 From 5220001000021993 to 5220199000000582 -</t>
  </si>
  <si>
    <t>Minimum balance Coreporate Comm</t>
  </si>
  <si>
    <t>محمد احمد محمد</t>
  </si>
  <si>
    <t>اشرف ايمن معوض عبد السلام</t>
  </si>
  <si>
    <t>محمد شحته مسعد احمد صقر</t>
  </si>
  <si>
    <t>28/04/2025</t>
  </si>
  <si>
    <t>BP Online CRIBM transfer for id IBM2504280012916 From 4680001000019264 to 5220001000021993 -</t>
  </si>
  <si>
    <t>BP Online CRIBM transfer for id IBM2504280015801 From 5160199000002749 to EG730002052205220001000021993 -</t>
  </si>
  <si>
    <t>عمولات شركه فورى</t>
  </si>
  <si>
    <t>29/04/2025</t>
  </si>
  <si>
    <t>null- beltone consumer finance seven - /REF/FEES FOR COLLECTION SERVICES J - ANUARY QIMA FOR COLLECTION SERVICES -  -</t>
  </si>
  <si>
    <t>30/04/2025</t>
  </si>
  <si>
    <t>LCY incoming swift inside Egypt- beltone consumer finance seven - /REF/FEES FOR COLLECTION SERVICES J - ANUARY QIMA FOR COLLECTION SERVICES -  -</t>
  </si>
  <si>
    <t>BP Online DRIBM transfer for id IBM2504300010767 From 5220001000021993 to 1400290000000026 - تحويل مرتب -</t>
  </si>
  <si>
    <t>متنوع عاممصاريف اصدار بطاقة 2ميزة شركات -</t>
  </si>
  <si>
    <t>محولBM SALAH SALEM BR 4      CAIRO         E -   3880199000003181</t>
  </si>
  <si>
    <t>05/05/2025</t>
  </si>
  <si>
    <t>BP Online DRIBM transfer for id IBM2504300021639 From 5220199000000582 to 3880199000003181 -</t>
  </si>
  <si>
    <t>06/05/2025</t>
  </si>
  <si>
    <t>عمر ناصر سيد محمد مصطفى</t>
  </si>
  <si>
    <t>تنمية</t>
  </si>
  <si>
    <t>07/05/2025</t>
  </si>
  <si>
    <t>08/05/2025</t>
  </si>
  <si>
    <t>11/05/2025</t>
  </si>
  <si>
    <t>10/05/2025</t>
  </si>
  <si>
    <t>Incoming Domestic TransferACH Transfer: Fawry-PMT INV# 47- FCT.vendor Qima-</t>
  </si>
  <si>
    <t>12/05/2025</t>
  </si>
  <si>
    <t>13/05/2025</t>
  </si>
  <si>
    <t>14/05/2025</t>
  </si>
  <si>
    <t>TransferredBM HUB BR.EG TOWERS TOUR1CAIRO         E -   5220111000005174</t>
  </si>
  <si>
    <t>15/05/2025</t>
  </si>
  <si>
    <t>BP Online CRIBM transfer for id IBM2505150009188 From 4680001000019264 to 5220001000021993 -</t>
  </si>
  <si>
    <t>بنك البركة مصر</t>
  </si>
  <si>
    <t>ناديه اشرف محمد إبراهيم</t>
  </si>
  <si>
    <t>عهدة الإدارة الرقمية</t>
  </si>
  <si>
    <t>الإدارة الرقمية</t>
  </si>
  <si>
    <t>18/05/2025</t>
  </si>
  <si>
    <t>17/05/2025</t>
  </si>
  <si>
    <t>19/05/2025</t>
  </si>
  <si>
    <t>20/05/2025</t>
  </si>
  <si>
    <t>تحويل محلي واردACH Transfer: ALEXBANK-PO533172-</t>
  </si>
  <si>
    <t>BP Online CRIBM transfer for id IBM2505200013928 From 5160199000002749 to EG730002052205220001000021993 -</t>
  </si>
  <si>
    <t>BP Online CRIBM transfer for id IBM2505200006260 From 5160199000002749 to EG730002052205220001000021993 -</t>
  </si>
  <si>
    <t>22/05/2025</t>
  </si>
  <si>
    <t>الفئة</t>
  </si>
  <si>
    <t>العدد</t>
  </si>
  <si>
    <t>26/05/2025</t>
  </si>
  <si>
    <t>27/05/2025</t>
  </si>
  <si>
    <t>CASH WITHDRAWALباسم صلاح عبد الله قوشتى -</t>
  </si>
  <si>
    <t>28/05/2025</t>
  </si>
  <si>
    <t>تحويل محلي واردACH Transfer: ALBARAKA BANK EGYPT-سداد فاتورة رقم 552025-</t>
  </si>
  <si>
    <t>May-25 Total</t>
  </si>
  <si>
    <t>29/05/2025</t>
  </si>
  <si>
    <t>BP Online CRIBM transfer for id IBM2505290008322 From 5220199000000582 to 5220001000021993 -</t>
  </si>
  <si>
    <t>BP Online DRIBM transfer for id IBM2505290013201 From 5220001000021993 to 1400290000000026 - تحويل مرتب -</t>
  </si>
  <si>
    <t>01/06/2025</t>
  </si>
  <si>
    <t>31/05/2025</t>
  </si>
  <si>
    <t>محولBM DAR KADAA AUTO BR 3   CAIRO         E -   5220111000005174</t>
  </si>
  <si>
    <t>حركة تحميل ملفSettlementATMMEMO202523331-6261892449</t>
  </si>
  <si>
    <t>03/06/2025</t>
  </si>
  <si>
    <t>تحويل محلي واردACH Transfer: Fawry-PMT INV# 54- FCT.vendor Qima-</t>
  </si>
  <si>
    <t>احمد عبدالعزيز إبراهيم عبدالعزيز</t>
  </si>
  <si>
    <t xml:space="preserve">احمد عبدالرحمن محمد درويش </t>
  </si>
  <si>
    <t>تحويل محلي واردACH Transfer: CUI-45/2025-</t>
  </si>
  <si>
    <t>04/06/2025</t>
  </si>
  <si>
    <t>تحويل محلي واردACH Transfer: 1/RAYA ELECTRONICS CO.-COLLECTION FEES .-</t>
  </si>
  <si>
    <t>10/06/2025</t>
  </si>
  <si>
    <t>25 ج</t>
  </si>
  <si>
    <t>20 أ</t>
  </si>
  <si>
    <t>بنك نكست</t>
  </si>
  <si>
    <t>محمود فوزى بخيت</t>
  </si>
  <si>
    <t>الدور 15</t>
  </si>
  <si>
    <t>15/06/2025</t>
  </si>
  <si>
    <t>14/06/2025</t>
  </si>
  <si>
    <t>تحويل محلي واردACH Transfer: U CONSUMER FINANCE-Qima for collection services -قيمة -لخدمات التحصيل</t>
  </si>
  <si>
    <t>شركة حالا</t>
  </si>
  <si>
    <t>16/06/2025</t>
  </si>
  <si>
    <t>17/06/2025</t>
  </si>
  <si>
    <t>محولBM HUB BR.EG TOWERS TOUR2CAIRO         E -   5220111000005174</t>
  </si>
  <si>
    <t>محولBM SALAH SALEM BR 4      CAIRO         E -   5220111000005174</t>
  </si>
  <si>
    <t>BP Online CRIBM transfer for id IBM2506170005724 From 4680001000019264 to 5220001000021993 -</t>
  </si>
  <si>
    <t>18/06/2025</t>
  </si>
  <si>
    <t>تحويل محلي واردACH Transfer: ALEX BANK-PO#563846-</t>
  </si>
  <si>
    <t>خصم اموال محوله - CX BANKINGFund transfer from account no 5220001000021993 to account no 5220199000000582 on ATM 01090163 on 2025/06/18 21:39 Ref 163171809395 -</t>
  </si>
  <si>
    <t>19/06/2025</t>
  </si>
  <si>
    <t>تحويل محلي واردACH Transfer: Beltone Consumer Finance-Qima for Collection Services- March- 2025</t>
  </si>
  <si>
    <t>كريم خالد محمد محمود</t>
  </si>
  <si>
    <t>إيصال امانة</t>
  </si>
  <si>
    <t>22/06/2025</t>
  </si>
  <si>
    <t>تحويل محلي واردACH Transfer: ALBARAKA BANK EGYPT-سداد فاتورة رقم 65 2025-</t>
  </si>
  <si>
    <t>25/06/2025</t>
  </si>
  <si>
    <t xml:space="preserve">احمد مختار عاشور على رمضان </t>
  </si>
  <si>
    <t>Jun-25 Total</t>
  </si>
  <si>
    <t>يوليو</t>
  </si>
  <si>
    <t>29/06/2025</t>
  </si>
  <si>
    <t>28/06/2025</t>
  </si>
  <si>
    <t>30/06/2025</t>
  </si>
  <si>
    <t>BP Online DRIBM transfer for id IBM2506300003843 From 5220001000021993 to 1400290000000026 - تحويل مرتب -</t>
  </si>
  <si>
    <t>مصاريف إدارة حساب الباقة الأساسية</t>
  </si>
  <si>
    <t>01/07/2025</t>
  </si>
  <si>
    <t>تحويل محلي واردACH Transfer: Mid Bank Consumer Finance Company Mogo Mid Bank Consumer Finance Compa-سداد فاتورة قيمة لخدمات التحصيل 3/2-025</t>
  </si>
  <si>
    <t>ميد بنك</t>
  </si>
  <si>
    <t>ايجى بنك</t>
  </si>
  <si>
    <t>Jul-25 Total</t>
  </si>
  <si>
    <t>شركة جاست</t>
  </si>
  <si>
    <t>06/07/2025</t>
  </si>
  <si>
    <t>05/07/2025</t>
  </si>
  <si>
    <t>07/07/2025</t>
  </si>
  <si>
    <t>08/07/2025</t>
  </si>
  <si>
    <t>تحويل محلي واردACH Transfer: يو للتمويل الاستهلاكي-سداد فواتير لاغراض غير تجارية-</t>
  </si>
  <si>
    <t>BP Online CRIBM transfer for id IBM2507080012392 From 5160199000002749 to EG730002052205220001000021993 -</t>
  </si>
  <si>
    <t>عمر عبد الرحيم إبراهيم</t>
  </si>
  <si>
    <t>09/07/2025</t>
  </si>
  <si>
    <t>تحويل محلي واردACH Transfer: CUI-66/2025-</t>
  </si>
  <si>
    <t>10/07/2025</t>
  </si>
  <si>
    <t>ATM Cash WithdrawalBM DELMAR &amp; ATTALAH PH.  CAIRO         E</t>
  </si>
  <si>
    <t>محولBM DELMAR &amp; ATTALAH PH.  CAIRO         E -   5220199000000582</t>
  </si>
  <si>
    <t>الإدارة الرقميةالمنصورة</t>
  </si>
  <si>
    <t>احمد سيد عبد المنعم</t>
  </si>
  <si>
    <t>13/07/2025</t>
  </si>
  <si>
    <t>12/07/2025</t>
  </si>
  <si>
    <t>14/07/2025</t>
  </si>
  <si>
    <t>تحويل محلي واردACH Transfer: Fawry-PMT INV# 70- FCT.vendor Qima-</t>
  </si>
  <si>
    <t>رسوم فتح حساب</t>
  </si>
  <si>
    <t>16/07/2025</t>
  </si>
  <si>
    <t>تحويل محلي واردACH Transfer: ميد بنك للتمويل الاستهلاكي موجو-سداد فاتورة قيمة 4-2025-</t>
  </si>
  <si>
    <t>تحويل محلي واردACH Transfer: ميد بنك للتمويل الاستهلاكي موجو-سداد فاتورة قيمة 12-2024-</t>
  </si>
  <si>
    <t>محمود مصطفى محمود</t>
  </si>
  <si>
    <t>يوسف محمد عجيب عبد المعبود</t>
  </si>
  <si>
    <t>20/07/2025</t>
  </si>
  <si>
    <t>19/07/2025</t>
  </si>
  <si>
    <t>محولBM HUB SALAH SALEM 2     CAIRO         E -   5220111000005174</t>
  </si>
  <si>
    <t>BP Online CRIBM transfer for id IBM2507200007380 From 5160199000002749 to EG730002052205220001000021993 -</t>
  </si>
  <si>
    <t>توزيع أرباح</t>
  </si>
  <si>
    <t>مرتبات الإدارة العليا شهر يناير</t>
  </si>
  <si>
    <t xml:space="preserve">يوسف صلاح منصور </t>
  </si>
  <si>
    <t>زيارات سوهاج</t>
  </si>
  <si>
    <t>21/07/2025</t>
  </si>
  <si>
    <t>22/07/2025</t>
  </si>
  <si>
    <t>23/07/2025</t>
  </si>
  <si>
    <t>BP Online DRBM online Business CORP IPN to شركة-IPN2507230003915-REF ID:b0577fc1 -</t>
  </si>
  <si>
    <t>IPN BANK FEEBM online Business CORP IPN to شركة-IPN2507230003915-REF ID:b0577fc1 -</t>
  </si>
  <si>
    <t>عمولة تحويل محلي صادرACH Transfer: شركة قيمة لخدمات التحصيل-From 5220001000021993-OBM2507230001476</t>
  </si>
  <si>
    <t>مصروفات تحويل محليACH Transfer: شركة قيمة لخدمات التحصيل-From 5220001000021993-OBM2507230001476</t>
  </si>
  <si>
    <t>تحويل محلي صادرACH Transfer: شركة قيمة لخدمات التحصيل-From 5220001000021993-OBM2507230001476</t>
  </si>
  <si>
    <t>الاهلى الكويتى</t>
  </si>
  <si>
    <t>27/07/2025</t>
  </si>
  <si>
    <t>تحويل محلي واردACH Transfer: ALEX BANK-PO#567143-</t>
  </si>
  <si>
    <t>BP Online CRIBM transfer for id IBM2507270006704 From 4680001000019264 to 5220001000021993 -</t>
  </si>
  <si>
    <t xml:space="preserve">شركه مشروعى للتجاره </t>
  </si>
  <si>
    <t xml:space="preserve">شركه حالا للتمويل الاستهلاكى </t>
  </si>
  <si>
    <t>شركه تساهيل للتمويل  </t>
  </si>
  <si>
    <t>28/07/2025</t>
  </si>
  <si>
    <t>أغسطس</t>
  </si>
  <si>
    <t>عمولات حالا</t>
  </si>
  <si>
    <t>29/07/2025</t>
  </si>
  <si>
    <t>تحويل محلي واردACH Transfer: 1/RAYA ELECTRONICS CO.-LEGAL FEES-</t>
  </si>
  <si>
    <t>30/07/2025</t>
  </si>
  <si>
    <t>BP Online DRIBM transfer for id IBM2507290013632 From 5220001000021993 to 5220111000005128 -</t>
  </si>
  <si>
    <t>BP Online DRIBM transfer for id IBM2507290013737 From 5220001000021993 to 5140331000000667 -</t>
  </si>
  <si>
    <t>BP Online DRIBM transfer for id IBM2507290013895 From 5220001000021993 to 5220111000005119 -</t>
  </si>
  <si>
    <t>BP Online DRIBM transfer for id IBM2507290014077 From 5220001000021993 to 5220111000005480 -</t>
  </si>
  <si>
    <t>BP Online DRIBM transfer for id IBM2507300015604 From 5220001000021993 to 1400290000000026 - تحويل مرتب -</t>
  </si>
  <si>
    <t>BP Online DRIncome-Tax - 73210277 - GVT2025073003975 -</t>
  </si>
  <si>
    <t>BP Online DRWithhold-Tax - 73210429 - GVT2025073004033 -</t>
  </si>
  <si>
    <t>31/07/2025</t>
  </si>
  <si>
    <t>تحويل محلي واردACH Transfer: CUI-81/2025-</t>
  </si>
  <si>
    <t>عقود الانتاج تنمية</t>
  </si>
  <si>
    <t>null- AUR CONSUMER FINANCE - COMPANY FEES INV 73/2025 -  -  -</t>
  </si>
  <si>
    <t>03/08/2025</t>
  </si>
  <si>
    <t>تحويل محلي واردACH Transfer: CI consumer finance- souhoola-qima legal no e-invoice-</t>
  </si>
  <si>
    <t>تحويل محلي واردACH Transfer: CI consumer finance- souhoola- qima legal e-invo -</t>
  </si>
  <si>
    <t>05/08/2025</t>
  </si>
  <si>
    <t>06/08/2025</t>
  </si>
  <si>
    <t>BP Online CRIBM transfer for id IBM2508060011965 From 5160199000002749 to EG730002052205220001000021993 -</t>
  </si>
  <si>
    <t>07/08/2025</t>
  </si>
  <si>
    <t>تحويل محلي واردACH Transfer: ALBARAKA BANK EGYPT-فاتورة 202578-</t>
  </si>
  <si>
    <t>تحويل محلي واردACH Transfer: Beltone Consumer Finance-Qima for Collection Services –April-  AND  May 2025 INV no. 59 AND 84 (PO-BCF-01479)</t>
  </si>
  <si>
    <t>10/08/2025</t>
  </si>
  <si>
    <t>BP Online DRIBM transfer for id IBM2508090003342 From 5220001000021993 to 2080333000106820 -</t>
  </si>
  <si>
    <t>BP Online DRIBM transfer for id IBM2508090003475 From 5220001000021993 to 5140331000000667 -</t>
  </si>
  <si>
    <t>BP Online DRIBM transfer for id IBM2508090003536 From 5220001000021993 to 5220111000005128 -</t>
  </si>
  <si>
    <t>BP Online DRIBM transfer for id IBM2508090003607 From 5220001000021993 to 5220111000005119 -</t>
  </si>
  <si>
    <t>BP Online CRIBM transfer for id IBM2508100010196 From 1710240000001697 to 5220001000021993 -</t>
  </si>
  <si>
    <t>احمد توفيق عبد الهادى</t>
  </si>
  <si>
    <t xml:space="preserve">شهاب الدين مدحت </t>
  </si>
  <si>
    <t>شركة هيرمس</t>
  </si>
  <si>
    <t>رقية محمد عبد الغفار</t>
  </si>
  <si>
    <t>11/08/2025</t>
  </si>
  <si>
    <t>IPN BANK FEEBM online Business CORP IPN to شركة-IPN2508110006649-REF ID:5f00d204 -</t>
  </si>
  <si>
    <t>BP Online DRBM online Business CORP IPN to شركة-IPN2508110006649-REF ID:5f00d204 -</t>
  </si>
  <si>
    <t>13/08/2025</t>
  </si>
  <si>
    <t>12/08/2025</t>
  </si>
  <si>
    <t>تحويل محلي واردACH Transfer: Fawry-PMT INV# 85- FCT.vendor Qima-</t>
  </si>
  <si>
    <t>BP Online DRInsurance - f5c0a8a4-7414-4637-a257-73b8401d3fbd - GVT2025081303944 -</t>
  </si>
  <si>
    <t>BP Online DRIncome-Tax - 73329492 - GVT2025081303968 -</t>
  </si>
  <si>
    <t>BP Online DRWithhold-Tax - 73329507 - GVT2025081303993 -</t>
  </si>
  <si>
    <t>14/08/2025</t>
  </si>
  <si>
    <t>null- HALAN FOR CONSUMING FINANCE - Exp Collection Fees Qima Jun-25 -  -  -</t>
  </si>
  <si>
    <t>تحويل محلي واردACH Transfer: تساهيل للتمويل متناهى الصغر-سداد مستحقات-</t>
  </si>
  <si>
    <t>شركة إرادة</t>
  </si>
  <si>
    <t>يوسف تامر محمد</t>
  </si>
  <si>
    <t>عبد الله محمد عزت</t>
  </si>
  <si>
    <t>شهد احمد عبد الله</t>
  </si>
  <si>
    <t>17/08/2025</t>
  </si>
  <si>
    <t>16/08/2025</t>
  </si>
  <si>
    <t>19/08/2025</t>
  </si>
  <si>
    <t>18/08/2025</t>
  </si>
  <si>
    <t>20/08/2025</t>
  </si>
  <si>
    <t>تحويل محلي واردACH Transfer: ALEX BANK-PO#586744-</t>
  </si>
  <si>
    <t>21/08/2025</t>
  </si>
  <si>
    <t>24/08/2025</t>
  </si>
  <si>
    <t>23/08/2025</t>
  </si>
  <si>
    <t>محولBM SALES TAX OBOUR BUILD CAIRO         E -   5220199000000582</t>
  </si>
  <si>
    <t>ATM Cash WithdrawalBM SALES TAX OBOUR BUILD CAIRO         E</t>
  </si>
  <si>
    <t>ATM Cash WithdrawalBM KASR EL EIN           CAIRO         E</t>
  </si>
  <si>
    <t>25/08/2025</t>
  </si>
  <si>
    <t>تحويل محلي واردACH Transfer: ALBARAKA BANK EGYPT-سداد فاتورة 972025-</t>
  </si>
  <si>
    <t>نادية محمد احمد محمد</t>
  </si>
  <si>
    <t>شركة الكان</t>
  </si>
  <si>
    <t>محمد حسن تقى دشناوى</t>
  </si>
  <si>
    <t>إيصال امانة تخصم 500 كل شهر</t>
  </si>
  <si>
    <t xml:space="preserve">عقود الانتاج ميد بنك </t>
  </si>
  <si>
    <t>البنك الوطنى الكويتى</t>
  </si>
  <si>
    <t>27/08/2025</t>
  </si>
  <si>
    <t>26/08/2025</t>
  </si>
  <si>
    <t>BP Online DRBM online Business CORP IPN to شركة-IPN2508270006310-REF ID:60022d81 -</t>
  </si>
  <si>
    <t>IPN BANK FEEBM online Business CORP IPN to شركة-IPN2508270006310-REF ID:60022d81 -</t>
  </si>
  <si>
    <t>28/08/2025</t>
  </si>
  <si>
    <t>31/08/2025</t>
  </si>
  <si>
    <t>30/08/2025</t>
  </si>
  <si>
    <t>BP Online DRIBM transfer for id IBM2508300009049 From 5220001000021993 to 1400290000000026 - تحويل مرتب -</t>
  </si>
  <si>
    <t>BP Online CRIBM transfer for id IBM2508310010913 From 4680001000019264 to 5220001000021993 -</t>
  </si>
  <si>
    <t>01/09/2025</t>
  </si>
  <si>
    <t>تحويل محلي واردACH Transfer: CUI-87/2025-</t>
  </si>
  <si>
    <t>BP Online DRIBM transfer for id IBM2508310016441 From 5220001000021993 to 3880199000003181 -</t>
  </si>
  <si>
    <t>02/09/2025</t>
  </si>
  <si>
    <t>BP Online DRIBM transfer for id IBM2509020006306 From 5220001000021993 to 5220111000005119 -</t>
  </si>
  <si>
    <t>BP Online DRIBM transfer for id IBM2509020006472 From 5220001000021993 to 5220111000005128 -</t>
  </si>
  <si>
    <t>BP Online DRIBM transfer for id IBM2509020006540 From 5220001000021993 to 5140331000000667 -</t>
  </si>
  <si>
    <t>BP Online DRIBM transfer for id IBM2509020006602 From 5220001000021993 to 2080333000106820 -</t>
  </si>
  <si>
    <t>محمد راضى رمضان</t>
  </si>
  <si>
    <t xml:space="preserve">محاسب </t>
  </si>
  <si>
    <t>حاتم احمد احمد سعد</t>
  </si>
  <si>
    <t>شيماء حسين احمد حسن جابر</t>
  </si>
  <si>
    <t>سحر سيد إبراهيم</t>
  </si>
  <si>
    <t>هاله محمد موسى</t>
  </si>
  <si>
    <t>Aug-25 Total</t>
  </si>
  <si>
    <t>محمد شريف محمد طاهر</t>
  </si>
  <si>
    <t>الدفعة الأولى تحت حساب عمل البرنامج</t>
  </si>
  <si>
    <t>جمعية شركة قيمة</t>
  </si>
  <si>
    <t>محمد اشرف محمد</t>
  </si>
  <si>
    <t>ادهم خالد محمد</t>
  </si>
  <si>
    <t>فرق تحويل وسيلة</t>
  </si>
  <si>
    <t>ناريمان محمد فريد عبد المقصود</t>
  </si>
  <si>
    <t>طارق رضا إبراهيم</t>
  </si>
  <si>
    <t>بسنت نصر سالم محمد سالم</t>
  </si>
  <si>
    <t>الهام حسن عبدالمولي</t>
  </si>
  <si>
    <t>شهد احمد حسني</t>
  </si>
  <si>
    <t>10/09/2025</t>
  </si>
  <si>
    <t>متنوع عامم- عدد 2 كشف حساب من 01-01-2025 الى 09-09-2025 -</t>
  </si>
  <si>
    <t>11/09/2025</t>
  </si>
  <si>
    <t>14/09/2025</t>
  </si>
  <si>
    <t>تحويل محلي واردACH Transfer: Fawry-PMT INV# 105 - FCT.vendor Qima-</t>
  </si>
  <si>
    <t>BP Online DRIBM transfer for id IBM2509140015060 From 5220001000021993 to 3880199000003181 -</t>
  </si>
  <si>
    <t>BP Online DRInsurance - 954a94cb-84b4-47b0-86a5-4fcbb7380b1f - GVT2025091405987 -</t>
  </si>
  <si>
    <t>BP Online DRIncome-Tax - 73502214 - GVT2025091406006 -</t>
  </si>
  <si>
    <t>15/09/2025</t>
  </si>
  <si>
    <t>17/09/2025</t>
  </si>
  <si>
    <t>21/09/2025</t>
  </si>
  <si>
    <t>تحويل محلي واردACH Transfer: ALEX BANK-AP/ 250900287 - PO #602915-</t>
  </si>
  <si>
    <t>Column2</t>
  </si>
  <si>
    <t>رسوم كشف حسب</t>
  </si>
  <si>
    <t>رسوم التحقق من التوقيع</t>
  </si>
  <si>
    <t>رسوم كشف الحساب المطبوع</t>
  </si>
  <si>
    <t>ايراد</t>
  </si>
  <si>
    <t>سحب</t>
  </si>
  <si>
    <t>رسوم سحب</t>
  </si>
  <si>
    <t>رسوم إدارة الحساب</t>
  </si>
  <si>
    <t>رسوم استعلام عن الرصيد</t>
  </si>
  <si>
    <t>22/09/2025</t>
  </si>
  <si>
    <t>BP Online CRIBM transfer for id IBM2509220014380 From 4680001000019264 to 5220001000021993 -</t>
  </si>
  <si>
    <t>مبلغ معلق</t>
  </si>
  <si>
    <t xml:space="preserve">حسام ناصر حسين ناصر </t>
  </si>
  <si>
    <t>سبتمبر</t>
  </si>
  <si>
    <t>الربع الثاالث</t>
  </si>
  <si>
    <t>عمولات ميد بنك</t>
  </si>
  <si>
    <t xml:space="preserve">Sum of العهدة </t>
  </si>
  <si>
    <t>(blank) Total</t>
  </si>
  <si>
    <t>23/09/2025</t>
  </si>
  <si>
    <t>25/09/2025</t>
  </si>
  <si>
    <t>24/09/2025</t>
  </si>
  <si>
    <t>28/09/2025</t>
  </si>
  <si>
    <t>27/09/2025</t>
  </si>
  <si>
    <t>29/09/2025</t>
  </si>
  <si>
    <t>حركة تحميل ملفسداد مستحقات N_S_تساهيل للتمويل ش.م.م tasaheel for financing S.A.E</t>
  </si>
  <si>
    <t>30/09/2025</t>
  </si>
  <si>
    <t>تحويل محلي واردACH Transfer: CUI-101/2025-</t>
  </si>
  <si>
    <t>BP Online DRIBM transfer for id IBM2509300005562 From 5220001000021993 to 1400290000000026 - تحويل مرتب -</t>
  </si>
  <si>
    <t>عقود الإنتاج ميد بنك</t>
  </si>
  <si>
    <t>علاج ابنه</t>
  </si>
  <si>
    <t>احمد خالد زغلول إبراهيم</t>
  </si>
  <si>
    <t>قيد دعوي 100 دعوي</t>
  </si>
  <si>
    <t>-</t>
  </si>
  <si>
    <t>تسوية كشوفات</t>
  </si>
  <si>
    <t>ايصال امانة يخصم علي مرتين</t>
  </si>
  <si>
    <t>معلق بامر ا/باسم</t>
  </si>
  <si>
    <t>BP Online DRIBM transfer for id IBM2509300014390 From 5220001000021993 to 5220199000000367 -</t>
  </si>
  <si>
    <t>BP Online DRIBM transfer for id IBM2509300014570 From 5220001000021993 to 3880199000003181 -</t>
  </si>
  <si>
    <t>06/10/2025</t>
  </si>
  <si>
    <t>BP Online DRIBM transfer for id IBM2510060017617 From 5220001000021993 to 5220199000000582 -</t>
  </si>
  <si>
    <t>07/10/2025</t>
  </si>
  <si>
    <t>BP Online DRIBM transfer for id IBM2510070006744 From 5220001000021993 to 3880199000003181 -</t>
  </si>
  <si>
    <t>متنوع عامجواب برقم الحساب -</t>
  </si>
  <si>
    <t>تحويل محلي واردACH Transfer: Beltone Consumer Finance-Qima for Collection Services - June- 2025 Inv922025 (PO-BCF-01609)</t>
  </si>
  <si>
    <t>08/10/2025</t>
  </si>
  <si>
    <t>تحويل محلي واردACH Transfer: MID BANK FOR CONSUMER FINANCE MOGO-0-</t>
  </si>
  <si>
    <t>تحويل محلي واردACH Transfer: Fawry-PMT INV# 21674572054- FCT.vendor Qi-ma</t>
  </si>
  <si>
    <t>BP Online DRIBM transfer for id IBM2510080014870 From 5220001000021993 to 3880199000003181 -</t>
  </si>
  <si>
    <t xml:space="preserve">رفع 7 أوامر أداء شركة فاليو &amp;سهولة </t>
  </si>
  <si>
    <t>المنصورة  Total</t>
  </si>
  <si>
    <t>قيمه  Total</t>
  </si>
  <si>
    <t>الصعيد Total</t>
  </si>
  <si>
    <t>20 أ Total</t>
  </si>
  <si>
    <t>سداد قرض ا/منعم</t>
  </si>
  <si>
    <t xml:space="preserve">   </t>
  </si>
  <si>
    <t>تحرير محاضر تنمية</t>
  </si>
  <si>
    <t>أكتوبر</t>
  </si>
  <si>
    <t xml:space="preserve">ح/ العهدة مدين ب </t>
  </si>
  <si>
    <t>هاجر عبدالنبي علي</t>
  </si>
  <si>
    <t>Sep-25 Total</t>
  </si>
  <si>
    <t xml:space="preserve">شيروت محمود محمد توفيق </t>
  </si>
  <si>
    <t>BP Online DRIBM transfer for id IBM2510080021432 From 5220001000021993 to 5220111000005128 -</t>
  </si>
  <si>
    <t>BP Online DRIBM transfer for id IBM2510080021475 From 5220001000021993 to 5220111000005480 -</t>
  </si>
  <si>
    <t>BP Online DRIBM transfer for id IBM2510080021568 From 5220001000021993 to 5140331000000667 -</t>
  </si>
  <si>
    <t>BP Online DRIBM transfer for id IBM2510080021664 From 5220001000021993 to 5220111000005119 -</t>
  </si>
  <si>
    <t>13/10/2025</t>
  </si>
  <si>
    <t>14/10/2025</t>
  </si>
  <si>
    <t>BP Online DRInsurance - 8751eccb-aab4-4e8c-89b8-b897d0aeff68 - GVT2025101402039 -</t>
  </si>
  <si>
    <t xml:space="preserve">ميام احمد مصطفي درويش </t>
  </si>
  <si>
    <t xml:space="preserve">سلمي يونس محمد </t>
  </si>
  <si>
    <t xml:space="preserve">مي نصر  سعد مرعي </t>
  </si>
  <si>
    <t>ابرام نزيه يوسف منصور</t>
  </si>
  <si>
    <t xml:space="preserve">فرح محمود محمد علي </t>
  </si>
  <si>
    <t xml:space="preserve">مريم جابر إسماعيل </t>
  </si>
  <si>
    <t xml:space="preserve">احمد محمد احمد عثمان </t>
  </si>
  <si>
    <t xml:space="preserve">بسمه محمد محمد عبدالمنعم </t>
  </si>
  <si>
    <t xml:space="preserve">منار عصام إبراهيم الدسوقي </t>
  </si>
  <si>
    <t xml:space="preserve">بسمه إبراهيم عبد العظيم علي </t>
  </si>
  <si>
    <t>هاجر زكريا بكري السايح</t>
  </si>
  <si>
    <t xml:space="preserve">عبد الرحمن احمد ربيع عبدالله </t>
  </si>
  <si>
    <t xml:space="preserve">تسنيم يونس محمد يونس </t>
  </si>
  <si>
    <t>20أ القاهرة</t>
  </si>
  <si>
    <t>25ج القاهرة</t>
  </si>
  <si>
    <t>شركة مانى فيللوز</t>
  </si>
  <si>
    <t xml:space="preserve">عبدالله هاني عبد المنعم عيد </t>
  </si>
  <si>
    <t>سلمى محمد محمد السيد</t>
  </si>
  <si>
    <t>13 ج شارع احمد كامل تقسيم اللاسلكي المعادي القاهرة</t>
  </si>
  <si>
    <t>شركة إرادة لتمويل المشروعات</t>
  </si>
  <si>
    <t>تنميه قانوني</t>
  </si>
  <si>
    <t>16/10/2025</t>
  </si>
  <si>
    <t>null-  - PAYMENT INVOICE NO.124/2025 -  -  -</t>
  </si>
  <si>
    <t>BP Online DRIBM transfer for id IBM2510160016375 From 5220001000021993 to 5220199000000582 -</t>
  </si>
  <si>
    <t>19/10/2025</t>
  </si>
  <si>
    <t>18/10/2025</t>
  </si>
  <si>
    <t>ATM Cash WithdrawalBM HUB BR.MANSHYA BAKRY 1CAIRO         E</t>
  </si>
  <si>
    <t>20/10/2025</t>
  </si>
  <si>
    <t>تحويل محلي واردACH Transfer: ALEX BANK-PO#619198-</t>
  </si>
  <si>
    <t>احمد سعيد محمود</t>
  </si>
  <si>
    <t>عهدة زيارات</t>
  </si>
  <si>
    <t>استخراج أمر أداء و إعلانات</t>
  </si>
  <si>
    <t>احمد محمد مصطفى عبد الغفار</t>
  </si>
  <si>
    <t>استخراج أوامر رفض من التجمع</t>
  </si>
  <si>
    <t>الدفعة الثانية تحت حساب عمل البرنامج</t>
  </si>
  <si>
    <t>تخصم من شهر نوفمبر</t>
  </si>
  <si>
    <t>الكان فاينانس للخدمات المالية الحديثة</t>
  </si>
  <si>
    <t>ايجي بنك</t>
  </si>
  <si>
    <t>October</t>
  </si>
  <si>
    <t>مني هنداوي جاد الكريم</t>
  </si>
  <si>
    <t>محمد محمد محمود الديب</t>
  </si>
  <si>
    <t xml:space="preserve">محمد اسامة لطفى الشوربجي احمد </t>
  </si>
  <si>
    <t xml:space="preserve">هبه عبدالبديع محمود الصاوي </t>
  </si>
  <si>
    <t xml:space="preserve">محمد رضا السيد جاد </t>
  </si>
  <si>
    <t xml:space="preserve">فاطمه سيد محمد البعرور </t>
  </si>
  <si>
    <t xml:space="preserve">سلمي إبراهيم شعبان محمد </t>
  </si>
  <si>
    <t>محمد خالد احمد</t>
  </si>
  <si>
    <t>هشام كمال عبدالرازق</t>
  </si>
  <si>
    <t>عبدالله عيدالسيد</t>
  </si>
  <si>
    <t>محمد اشرف مصطفى</t>
  </si>
  <si>
    <t xml:space="preserve">داليا محمود </t>
  </si>
  <si>
    <t>روان  مجدي محمد</t>
  </si>
  <si>
    <t xml:space="preserve">منسق بيانات </t>
  </si>
  <si>
    <t xml:space="preserve">تم استلام الكشوفات </t>
  </si>
  <si>
    <t>25 ج Total</t>
  </si>
  <si>
    <t>تحرير محاضر</t>
  </si>
  <si>
    <t>المقطع</t>
  </si>
  <si>
    <t>السليم</t>
  </si>
  <si>
    <t>22/10/2025</t>
  </si>
  <si>
    <t>23/10/2025</t>
  </si>
  <si>
    <t>26/10/2025</t>
  </si>
  <si>
    <t>27/10/2025</t>
  </si>
  <si>
    <t>BP Online DRIBM transfer for id IBM2510270015532 From 5220001000021993 to 5220199000000582 -</t>
  </si>
  <si>
    <t>28/10/2025</t>
  </si>
  <si>
    <t>تحويل محلي واردACH Transfer: TANMEYAH FOR MICRO ENTERPRISE SERVICES-Settlement of dues-COLLECTION FEES-</t>
  </si>
  <si>
    <t>تحويل محلي واردACH Transfer: ALBARAKA BANK EGYPT-سداد فاتورة رقم 1322025-</t>
  </si>
  <si>
    <t>29/10/2025</t>
  </si>
  <si>
    <t>BP Online DRIBM transfer for id IBM2510290017762 From 5220001000021993 to 5140331000000667 -</t>
  </si>
  <si>
    <t>BP Online DRIBM transfer for id IBM2510290017816 From 5220001000021993 to 5220111000005480 -</t>
  </si>
  <si>
    <t>BP Online DRIBM transfer for id IBM2510290017929 From 5220001000021993 to 5220111000005128 -</t>
  </si>
  <si>
    <t>BP Online DRIBM transfer for id IBM2510290018004 From 5220001000021993 to 5220111000005119 -</t>
  </si>
  <si>
    <t>BP Online DRIBM transfer for id IBM2510290020673 From 5220001000021993 to 1400290000000026 - تحويل مرتب -</t>
  </si>
  <si>
    <t>عمولات ميد تقسيط</t>
  </si>
  <si>
    <t>عمولات إرادة</t>
  </si>
  <si>
    <t>تسليم محضرين القاهرة الجديدة</t>
  </si>
  <si>
    <t xml:space="preserve">الهام 1300 تقسمت علي احمد </t>
  </si>
  <si>
    <t>ATM Cash WithdrawalBM MISR AND SUDAN BR 2   CAIRO         E</t>
  </si>
  <si>
    <t>30/10/2025</t>
  </si>
  <si>
    <t>تحويل محلي واردACH Transfer: CUI-117/2025-</t>
  </si>
  <si>
    <t xml:space="preserve">جانا محمد محيى الطنطاوى محمد سعفان </t>
  </si>
  <si>
    <t>ياسمين محمد جميل محمود</t>
  </si>
  <si>
    <t>اسراء حسام الدين حمدى احمد</t>
  </si>
  <si>
    <t>امنيه وليد احمد توفيق</t>
  </si>
  <si>
    <t>رشا إبراهيم حافظ محمود نيل</t>
  </si>
  <si>
    <t>فاتن عبده مصطفى احمد المنشاوى</t>
  </si>
  <si>
    <t>سامح السعيد عارف إبراهيم ياسين</t>
  </si>
  <si>
    <t>مى إبراهيم عبدالشافى السعداوى</t>
  </si>
  <si>
    <t>اسراء خالد عبدالرؤوف مشرف</t>
  </si>
  <si>
    <t>سلمى خالد عبدالرؤوف مشرف</t>
  </si>
  <si>
    <t>هناء السيد السيد رضوان</t>
  </si>
  <si>
    <t>سماء محمد المتولى عبده المتولى ملح</t>
  </si>
  <si>
    <t>الاء محمد المتولى عبده المتولى ملح</t>
  </si>
  <si>
    <t>منى محمد عبدالحميد على حسن</t>
  </si>
  <si>
    <t>فاطمة خالد عبدالمرضى شهاب الدين</t>
  </si>
  <si>
    <t>مى ناجى حسن أنور على</t>
  </si>
  <si>
    <t xml:space="preserve">محمد عبدالعزيز خالد </t>
  </si>
  <si>
    <t xml:space="preserve">محمد حسن محمود  حسن </t>
  </si>
  <si>
    <t xml:space="preserve">رانيا أنور احمد  فرج  </t>
  </si>
  <si>
    <t xml:space="preserve">ياسمين محمد رشاد الشحات </t>
  </si>
  <si>
    <t xml:space="preserve">وليد محمد عبدالرووف محمد </t>
  </si>
  <si>
    <t xml:space="preserve">جمال محمد محمد أبو النصر </t>
  </si>
  <si>
    <t>أسماء طه عبد العزيز عبد النبى عثمان</t>
  </si>
  <si>
    <t>احمد شريف عبد المحسن عبد الهادى عمران</t>
  </si>
  <si>
    <t xml:space="preserve">سارة يوسف  السيد علي </t>
  </si>
  <si>
    <t xml:space="preserve">ايه عبد الناصر عبدالعظيم متولي </t>
  </si>
  <si>
    <t xml:space="preserve">عبدالرحمن إسماعيل محمد </t>
  </si>
  <si>
    <t xml:space="preserve">روان عثمان محمد </t>
  </si>
  <si>
    <t xml:space="preserve">روماني لطفي أبو الغيط إبراهيم </t>
  </si>
  <si>
    <t xml:space="preserve">محمد احمد العراقي </t>
  </si>
  <si>
    <t xml:space="preserve">احمد إبراهيم عبدالله حموده </t>
  </si>
  <si>
    <t>محمد احمد النبوي</t>
  </si>
  <si>
    <t xml:space="preserve">محاضر فاليو </t>
  </si>
  <si>
    <t>مدين السيد علوانى</t>
  </si>
  <si>
    <t>فاطمة فرج سعد</t>
  </si>
  <si>
    <t>نانسى مصطفى كامل</t>
  </si>
  <si>
    <t>مانى فللوز</t>
  </si>
  <si>
    <t>03/11/2025</t>
  </si>
  <si>
    <t>متنوع عامصحة توقيع عدد 2 محرر -</t>
  </si>
  <si>
    <t>(All)</t>
  </si>
  <si>
    <t>امضاء عبدالعزيز و تم التحويل انستا</t>
  </si>
  <si>
    <t>06/11/2025</t>
  </si>
  <si>
    <t>تحويل محلي واردACH Transfer: Beltone Consumer Finance-Qima for Collection Services  June -2025 Inv109 2025 PO BCF 01716</t>
  </si>
  <si>
    <t xml:space="preserve">إيصال امانة 2500 و 500 سلفة </t>
  </si>
  <si>
    <t>تسليم إعلانات</t>
  </si>
  <si>
    <t>سجل تجاري و تجديد الغرفة</t>
  </si>
  <si>
    <t>تخصم من اقرب مرتب او المكافاة</t>
  </si>
  <si>
    <t>فيزا / من 12000 باسم عبدالعزيز بتاريخ 8/11 رفع 110 دعوي</t>
  </si>
  <si>
    <t>رفع دعاوي</t>
  </si>
  <si>
    <t>تحويل عهدة أ / علاء</t>
  </si>
  <si>
    <t>علي مرتين من المرتب</t>
  </si>
  <si>
    <t>إيصال واحد 23/10 بقيمة 2300</t>
  </si>
  <si>
    <t>يخصم من راتب شهر 11</t>
  </si>
  <si>
    <t>استخراج احكام و ضبط واحضار</t>
  </si>
  <si>
    <t>Oct-25 Total</t>
  </si>
  <si>
    <t>نوفمبر</t>
  </si>
  <si>
    <t>ابوظبي</t>
  </si>
  <si>
    <t>بنك ابوظبي</t>
  </si>
  <si>
    <t>كيرلس نبيل نظير</t>
  </si>
  <si>
    <t>09/11/2025</t>
  </si>
  <si>
    <t>nulle finance                               000000678567            e fina</t>
  </si>
  <si>
    <t>08/11/2025</t>
  </si>
  <si>
    <t>عمولة استعلام عن الرصيد</t>
  </si>
  <si>
    <t>ATM Cash WithdrawalBM SALES TAX OBOUR BUI   CAIRO         E</t>
  </si>
  <si>
    <t>10/11/2025</t>
  </si>
  <si>
    <t>BP Online CRIBM transfer for id IBM2511100013760 From 4680001000019264 to 5220001000021993 -</t>
  </si>
  <si>
    <t>تحويل محلي واردACH Transfer: ERADA MICROFINANCE--</t>
  </si>
  <si>
    <t>11/11/2025</t>
  </si>
  <si>
    <t>تحويل محلي واردACH Transfer: شركة تساهيل للتمويل-سداد مستحقات-</t>
  </si>
  <si>
    <t>12/11/2025</t>
  </si>
  <si>
    <t>مامورية الي محكمة زينهم</t>
  </si>
  <si>
    <t>استخراج احكام + انتقالات</t>
  </si>
  <si>
    <t>سلفة</t>
  </si>
  <si>
    <t>الدفعة الثالة تحت حساب عمل البرنامج</t>
  </si>
  <si>
    <t>ضريبة أسر الشهداء</t>
  </si>
  <si>
    <t>محمد ياسر</t>
  </si>
  <si>
    <t>13/11/2025</t>
  </si>
  <si>
    <t>BP Online DRInsurance - 00d27d59-fdf9-4a2a-864e-50fe0981c904 - GVT2025111303618 -</t>
  </si>
  <si>
    <t>16/11/2025</t>
  </si>
  <si>
    <t>15/11/2025</t>
  </si>
  <si>
    <t>تحويل محلي واردACH Transfer: ALKAN FINANCE-investigation fees-</t>
  </si>
  <si>
    <t>تحويل مرتبACH Transfer: the middle east news agency-001-</t>
  </si>
  <si>
    <t>null-  - VALUE OF INVOICE NO.140/2025 -  -  -</t>
  </si>
  <si>
    <t>17/11/2025</t>
  </si>
  <si>
    <t>BP Online DRTax-Ebill - 1fb403c2-84eb-4eab-85bf-9ac1c6b80ce8 - GVT2025111703799 -</t>
  </si>
  <si>
    <t>BP Online DRTax-Ebill - e3de7254-cd0a-4219-bd6b-064b970a9dd4 - GVT2025111703804 -</t>
  </si>
  <si>
    <t>18/11/2025</t>
  </si>
  <si>
    <t>تحويل محلي واردACH Transfer: يو للتمويل الاستهلاكي-PAYMENT FOR NON COMMERCIAL-</t>
  </si>
  <si>
    <t>تحويل محلي واردACH Transfer: CI consumer finance- souhoola-Qima Legal Oct-</t>
  </si>
  <si>
    <t xml:space="preserve">شراء أدوات كهربائية </t>
  </si>
  <si>
    <t>تخصم من شهر ديسمبر</t>
  </si>
  <si>
    <t>19/11/2025</t>
  </si>
  <si>
    <t>IPN BANK FEEBM online Business CORP IPN to Arab-IPN2511190006838-REF ID:8ccb70b5 -</t>
  </si>
  <si>
    <t>BP Online DRBM online Business CORP IPN to Arab-IPN2511190006838-REF ID:8ccb70b5 -</t>
  </si>
  <si>
    <t>BP Online CRIBM transfer for id IBM2511190012718 From 5160199000002749 to EG730002052205220001000021993 -</t>
  </si>
  <si>
    <t>BP Online CRIBM transfer for id IBM2511190012755 From 5160199000002749 to EG730002052205220001000021993 -</t>
  </si>
  <si>
    <t>BP Online CRIBM transfer for id IBM2511190009211 From 4680001000019264 to 5220001000021993 -</t>
  </si>
  <si>
    <t>تحويل محلي واردACH Transfer: Alex Bank-po#643374-</t>
  </si>
  <si>
    <t>تحرير محاضر اسكندرية</t>
  </si>
  <si>
    <t>جلسات سهولة + محاضر تنمية</t>
  </si>
  <si>
    <t>مصاريف علاج هالة</t>
  </si>
  <si>
    <t>تقديم علي خط ارضي و انترنت المقر الجديد</t>
  </si>
  <si>
    <t>زيارات بولاق الدكرور</t>
  </si>
  <si>
    <t>ماجد الالفي</t>
  </si>
  <si>
    <t>محامي</t>
  </si>
  <si>
    <t>القانونية</t>
  </si>
  <si>
    <t>مصاريف المقر الجديد (تم تحويل من ا/باسم يتم تصفية العهدة عند المراجعة مع محمد عبدالمنعم)</t>
  </si>
  <si>
    <t>استخراج احكام بنك البركة و استعلام عميل</t>
  </si>
  <si>
    <t>كمال سيد كمال سيد</t>
  </si>
  <si>
    <t>طيار</t>
  </si>
  <si>
    <t>سيجما كوم</t>
  </si>
  <si>
    <t>زيارات التجمع</t>
  </si>
  <si>
    <t>رفع دعاوي - فيزا المحكمة</t>
  </si>
  <si>
    <t>استخراج احكام</t>
  </si>
  <si>
    <t>جلسات اسكندرية - محكمة المنشية</t>
  </si>
  <si>
    <t>كريم يحي امين</t>
  </si>
  <si>
    <t>تحويل انستا</t>
  </si>
  <si>
    <t>عن ايصالات موجودة فالخزينة</t>
  </si>
  <si>
    <t>تغيير فلوس مقطعة</t>
  </si>
  <si>
    <t>عهدة زيارات مكنة</t>
  </si>
  <si>
    <t>20/11/2025</t>
  </si>
  <si>
    <t>متنوع عامم صحة توقيع -</t>
  </si>
  <si>
    <t>23/11/2025</t>
  </si>
  <si>
    <t>22/11/2025</t>
  </si>
  <si>
    <t>24/11/2025</t>
  </si>
  <si>
    <t>BP Online DROWN transfer for id OWN2511240000913 From 5220001000021993 to 5220199000000582 -</t>
  </si>
  <si>
    <t>25/11/2025</t>
  </si>
  <si>
    <t>27/11/2025</t>
  </si>
  <si>
    <t>تحويل محلي واردACH Transfer: CUI-147/2025-</t>
  </si>
  <si>
    <t>BP Online DRIBM transfer for id IBM2511270013864 From 5220001000021993 to 7980333000001031 -</t>
  </si>
  <si>
    <t>BP Online DRIBM transfer for id IBM2511270020328 From 5220001000021993 to 5140331000000667 -</t>
  </si>
  <si>
    <t>BP Online DRIBM transfer for id IBM2511270020309 From 5220001000021993 to 5220111000005128 -</t>
  </si>
  <si>
    <t>BP Online DRIBM transfer for id IBM2511270020265 From 5220001000021993 to 5220111000005480 -</t>
  </si>
  <si>
    <t>BP Online DRIBM transfer for id IBM2511270020100 From 5220001000021993 to 5220111000005119 -</t>
  </si>
  <si>
    <t>المقر الجديد</t>
  </si>
  <si>
    <t>تحويل عهدة محمد عبدالمنعم</t>
  </si>
  <si>
    <t>فلوس مقطعة</t>
  </si>
  <si>
    <t>تحت حساب 10 هوايات التكييف المركزي</t>
  </si>
  <si>
    <t>30/11/2025</t>
  </si>
  <si>
    <t>29/11/2025</t>
  </si>
  <si>
    <t>BP Online DRIBM transfer for id IBM2511290003898 From 5220001000021993 to 5220111000005119 -</t>
  </si>
  <si>
    <t>BP Online DRBM online Business CORP IPN to سمالينك-IPN2511290004185-REF ID:8c5a4b68 -</t>
  </si>
  <si>
    <t>IPN BANK FEEBM online Business CORP IPN to سمالينك-IPN2511290004185-REF ID:8c5a4b68 -</t>
  </si>
  <si>
    <t>BP Online DRIBM transfer for id IBM2511290008822 From 5220001000021993 to 5460111000004012 -</t>
  </si>
  <si>
    <t>BP Online DRIBM transfer for id IBM2511290009105 From 5220001000021993 to 5220111000005128 -</t>
  </si>
  <si>
    <t>BP Online DRIBM transfer for id IBM2511290009239 From 5220001000021993 to 5220111000005119 -</t>
  </si>
  <si>
    <t>BP Online DRIBM transfer for id IBM2511290009898 From 5220001000021993 to 1400290000000026 - تحويل مرتب -</t>
  </si>
  <si>
    <t>تحويل عهدة الي محمد عبدالمنعم</t>
  </si>
  <si>
    <t>المقر الجديد Total</t>
  </si>
  <si>
    <t xml:space="preserve">استخراج احكام </t>
  </si>
  <si>
    <t>متابعة تنفيذ</t>
  </si>
  <si>
    <t>إعلانات و مصاريف عمل</t>
  </si>
  <si>
    <t>انتقالات و تحديث</t>
  </si>
  <si>
    <t>رفع دعاوي شمال الجيزة</t>
  </si>
  <si>
    <t>تحويل هشام النجار</t>
  </si>
  <si>
    <t>إيصال واحد بتاريخ 06/12/2025</t>
  </si>
  <si>
    <t>فيزا المحكمة</t>
  </si>
  <si>
    <t>تحويل محلي واردACH Transfer: ALBARAKA BANK EGYPT-فاتورة 163 2025-</t>
  </si>
  <si>
    <t>03/12/2025</t>
  </si>
  <si>
    <t>تحويل محلي واردACH Transfer: Mid Bank Consumer Finance Company Mogo Mid Bank Consumer Finance Compa-سداد فاتورة قيمة لخدمات التحصيل 9-2-025</t>
  </si>
  <si>
    <t>04/12/2025</t>
  </si>
  <si>
    <t>BP Online DRIBM transfer for id IBM2512040005147 From 5220001000021993 to 5220111000005119 -</t>
  </si>
  <si>
    <t>سحب عهدة من ATM بنك كريدي</t>
  </si>
  <si>
    <t>null-  - VALUE OF INVOICE NO. 162/2025 -  -  -</t>
  </si>
  <si>
    <t>07/12/2025</t>
  </si>
  <si>
    <t>06/12/2025</t>
  </si>
  <si>
    <t>BP Online DRIBM transfer for id IBM2512060006296 From 5220001000021993 to 5220111000005119 -</t>
  </si>
  <si>
    <t>تحويل انستا تحت حساب السقف المعلق</t>
  </si>
  <si>
    <t>خزينة 100+انستا 400</t>
  </si>
  <si>
    <t>من الراتب</t>
  </si>
  <si>
    <t>متابعة التنفيذ</t>
  </si>
  <si>
    <t>المتبقى بعد التسوية رصيد شهر ديسمبر</t>
  </si>
  <si>
    <t>تحويل انستا باي الي محمد (تحت حساب Network)</t>
  </si>
  <si>
    <t>تحت السقف المعلق</t>
  </si>
  <si>
    <t>تسوية رد كاش 17650</t>
  </si>
  <si>
    <t>إيصال امانة في الخزينة</t>
  </si>
  <si>
    <t>أوامر أداء + رفع دعاوي</t>
  </si>
  <si>
    <t>زيارات المنيا</t>
  </si>
  <si>
    <t xml:space="preserve">تحويل حساب الستائر </t>
  </si>
  <si>
    <t xml:space="preserve">تحويل باقي حساب الكرانيش </t>
  </si>
  <si>
    <t>إعلانات محضرين</t>
  </si>
  <si>
    <t>سفر اسماعيلية</t>
  </si>
  <si>
    <t>تحديث + إعلانات</t>
  </si>
  <si>
    <t>مامورية محكمة مصر الجديدة</t>
  </si>
  <si>
    <t>تحويل علي محفظة فوداقون</t>
  </si>
  <si>
    <t>تحويل محلي واردACH Transfer: ميد بنك للتمويل الاستهلاكي موجو-سداد فاتورة رد قيمة شهر 7-2025 الخد-مات القانونية</t>
  </si>
  <si>
    <t>ATM Cash WithdrawalBM MANSHYT ELBAKRY 4 BR  CAIRO         E</t>
  </si>
  <si>
    <t>08/12/2025</t>
  </si>
  <si>
    <t>BP Online DRIBM transfer for id IBM2512080004683 From 5220001000021993 to 5220111000005119 -</t>
  </si>
  <si>
    <t>BP Online DROWN transfer for id OWN2512080000714 From 5220001000021993 to 5220199000000582 -</t>
  </si>
  <si>
    <t>BP Online DRBM online Business CORP IPN to شركة-IPN2512080003624-REF ID:68c31753 -</t>
  </si>
  <si>
    <t>IPN BANK FEEBM online Business CORP IPN to شركة-IPN2512080003624-REF ID:68c31753 -</t>
  </si>
  <si>
    <t>BP Online DRBM IBM transfer for id IBM2512080012534 From 5220001000021993 to Card **7989 "عزيزه احم -</t>
  </si>
  <si>
    <t>BP Online DRBM online Business CORP IPN to شركة-IPN2512080006989-REF ID:dc19e6d3 -</t>
  </si>
  <si>
    <t>IPN BANK FEEBM online Business CORP IPN to شركة-IPN2512080006989-REF ID:dc19e6d3 -</t>
  </si>
  <si>
    <t>تحويل عهدة الي المنصورة</t>
  </si>
  <si>
    <t>عربيات و انتقالات كمبيوترات و عمال تطليع</t>
  </si>
  <si>
    <t>تحويل باقي حساب الهوايات</t>
  </si>
  <si>
    <t>تحت حساب مراوح هوايات</t>
  </si>
  <si>
    <t>عهدة المقر الجديد</t>
  </si>
  <si>
    <t>09/12/2025</t>
  </si>
  <si>
    <t>متنوع عامم اعتماد صحة توقيع عدد 4 مستند -</t>
  </si>
  <si>
    <t>120 باقي فلوسة</t>
  </si>
  <si>
    <t>عبدالعزيز</t>
  </si>
  <si>
    <t>مجدي</t>
  </si>
  <si>
    <t>عزيزة</t>
  </si>
  <si>
    <t>الهام</t>
  </si>
  <si>
    <t>تحويل محفظة فودافون (سلفة تخصم من الراتب)</t>
  </si>
  <si>
    <t>استخراج احكام محكمة مصر الجديدة</t>
  </si>
  <si>
    <t>سفر الي محكمة اشمون واستخراج احكام</t>
  </si>
  <si>
    <t>زيارات الإسكندرية</t>
  </si>
  <si>
    <t>احمد السيد</t>
  </si>
  <si>
    <t>تحت حساب مستلزمات كهرباء المقر الجديد</t>
  </si>
  <si>
    <t>القانونيه  Total</t>
  </si>
  <si>
    <t>شراء لفتين سلك كهرباء اسود مسمط 3ملل</t>
  </si>
  <si>
    <t>رفع دعاوي شركة وسيلة</t>
  </si>
  <si>
    <t xml:space="preserve">نهي اسامه </t>
  </si>
  <si>
    <t>20 باقي الإيداع</t>
  </si>
  <si>
    <t>استعلام و متابعة تنفيذ</t>
  </si>
  <si>
    <t xml:space="preserve"> أمور ضرائب عامة</t>
  </si>
  <si>
    <t>تم تحويل مصروف التنظيف الي هالة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</si>
</sst>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yyyy\-mm\-dd;@"/>
    <numFmt numFmtId="166" formatCode="_(* #,##0_);_(* \(#,##0\);_(* &quot;-&quot;??_);_(@_)"/>
    <numFmt numFmtId="167" formatCode="_-* #,##0_-;\-* #,##0_-;_-* &quot;-&quot;??_-;_-@_-"/>
    <numFmt numFmtId="168" formatCode="0.0%"/>
    <numFmt numFmtId="169" formatCode="[$-F800]dddd\,\ mmmm\ dd\,\ yyyy"/>
    <numFmt numFmtId="170" formatCode="#,##0.000"/>
    <numFmt numFmtId="171" formatCode="#,##0.00000000000000000"/>
  </numFmts>
  <fonts count="44">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1"/>
      <color theme="1"/>
      <name val="Times New Roman"/>
      <family val="1"/>
    </font>
    <font>
      <b/>
      <sz val="11"/>
      <color theme="0"/>
      <name val="Times New Roman"/>
      <family val="1"/>
    </font>
    <font>
      <b/>
      <sz val="18"/>
      <color theme="1"/>
      <name val="Times New Roman"/>
      <family val="1"/>
    </font>
    <font>
      <b/>
      <sz val="22"/>
      <color indexed="8"/>
      <name val="Times New Roman"/>
      <family val="1"/>
    </font>
    <font>
      <b/>
      <sz val="22"/>
      <color theme="1"/>
      <name val="Times New Roman"/>
      <family val="1"/>
    </font>
    <font>
      <b/>
      <sz val="16"/>
      <color theme="1"/>
      <name val="Times New Roman"/>
      <family val="1"/>
    </font>
    <font>
      <b/>
      <sz val="18"/>
      <color rgb="FFFF0000"/>
      <name val="Times New Roman"/>
      <family val="1"/>
    </font>
    <font>
      <b/>
      <sz val="16"/>
      <color theme="1"/>
      <name val="Calibri"/>
      <family val="2"/>
      <scheme val="minor"/>
    </font>
    <font>
      <b/>
      <sz val="12"/>
      <color theme="1"/>
      <name val="Times New Roman"/>
      <family val="1"/>
    </font>
    <font>
      <b/>
      <sz val="12"/>
      <color rgb="FFFF0000"/>
      <name val="Times New Roman"/>
      <family val="1"/>
    </font>
    <font>
      <sz val="8"/>
      <name val="Calibri"/>
      <family val="2"/>
      <scheme val="minor"/>
    </font>
    <font>
      <b/>
      <sz val="14"/>
      <color theme="0"/>
      <name val="Times New Roman"/>
      <family val="1"/>
    </font>
    <font>
      <b/>
      <sz val="13"/>
      <color theme="1"/>
      <name val="Calibri"/>
      <family val="2"/>
      <scheme val="minor"/>
    </font>
    <font>
      <b/>
      <sz val="13"/>
      <name val="Calibri"/>
      <family val="2"/>
      <scheme val="minor"/>
    </font>
    <font>
      <b/>
      <sz val="12"/>
      <color theme="1"/>
      <name val="Calibri"/>
      <family val="2"/>
      <scheme val="minor"/>
    </font>
    <font>
      <b/>
      <sz val="14"/>
      <color theme="1"/>
      <name val="Times New Roman"/>
      <family val="1"/>
    </font>
    <font>
      <b/>
      <sz val="14"/>
      <color theme="1"/>
      <name val="Calibri"/>
      <family val="2"/>
      <scheme val="minor"/>
    </font>
    <font>
      <b/>
      <sz val="14"/>
      <color rgb="FFFF0000"/>
      <name val="Calibri"/>
      <family val="2"/>
      <scheme val="minor"/>
    </font>
    <font>
      <b/>
      <sz val="12"/>
      <name val="Calibri"/>
      <family val="2"/>
      <scheme val="minor"/>
    </font>
    <font>
      <b/>
      <sz val="11"/>
      <name val="Calibri"/>
      <family val="2"/>
      <scheme val="minor"/>
    </font>
    <font>
      <b/>
      <sz val="11"/>
      <color theme="0"/>
      <name val="Calibri"/>
      <family val="2"/>
      <scheme val="minor"/>
    </font>
    <font>
      <sz val="16"/>
      <color theme="1"/>
      <name val="Calibri"/>
      <family val="2"/>
      <scheme val="minor"/>
    </font>
    <font>
      <b/>
      <sz val="15"/>
      <color theme="3"/>
      <name val="Calibri"/>
      <family val="2"/>
      <scheme val="minor"/>
    </font>
    <font>
      <b/>
      <sz val="14"/>
      <name val="Calibri"/>
      <family val="2"/>
      <scheme val="minor"/>
    </font>
    <font>
      <b/>
      <sz val="9"/>
      <color indexed="81"/>
      <name val="Tahoma"/>
      <family val="2"/>
    </font>
    <font>
      <b/>
      <sz val="10"/>
      <color theme="1"/>
      <name val="Calibri"/>
      <family val="2"/>
      <scheme val="minor"/>
    </font>
    <font>
      <b/>
      <sz val="12"/>
      <name val="Times New Roman"/>
      <family val="1"/>
    </font>
    <font>
      <b/>
      <sz val="12"/>
      <color rgb="FF00B050"/>
      <name val="Times New Roman"/>
      <family val="1"/>
    </font>
    <font>
      <b/>
      <sz val="12"/>
      <name val="Palatino Linotype"/>
      <family val="1"/>
      <charset val="178"/>
    </font>
    <font>
      <b/>
      <sz val="13"/>
      <color rgb="FFFF0000"/>
      <name val="Calibri"/>
      <family val="2"/>
      <scheme val="minor"/>
    </font>
    <font>
      <sz val="14"/>
      <name val="Calibri"/>
      <family val="2"/>
      <scheme val="minor"/>
    </font>
    <font>
      <b/>
      <sz val="10"/>
      <color theme="1"/>
      <name val="Times New Roman"/>
      <family val="1"/>
    </font>
    <font>
      <b/>
      <sz val="20"/>
      <color theme="1"/>
      <name val="Times New Roman"/>
      <family val="1"/>
    </font>
    <font>
      <b/>
      <sz val="13"/>
      <color theme="9" tint="-0.499984740745262"/>
      <name val="Calibri"/>
      <family val="2"/>
      <scheme val="minor"/>
    </font>
    <font>
      <b/>
      <sz val="18"/>
      <color theme="1"/>
      <name val="Calibri"/>
      <family val="2"/>
      <scheme val="minor"/>
    </font>
    <font>
      <b/>
      <sz val="11"/>
      <color rgb="FFFF0000"/>
      <name val="Calibri"/>
      <family val="2"/>
      <scheme val="minor"/>
    </font>
    <font>
      <b/>
      <sz val="11"/>
      <color rgb="FF000000"/>
      <name val="Times New Roman"/>
      <family val="1"/>
    </font>
    <font>
      <sz val="9"/>
      <color indexed="81"/>
      <name val="Tahoma"/>
      <family val="2"/>
    </font>
    <font>
      <sz val="12"/>
      <color theme="1"/>
      <name val="Calibri"/>
      <family val="2"/>
      <scheme val="minor"/>
    </font>
    <font>
      <b/>
      <sz val="16"/>
      <color theme="0" tint="-4.9989318521683403E-2"/>
      <name val="Calibri"/>
      <family val="2"/>
      <scheme val="minor"/>
    </font>
  </fonts>
  <fills count="20">
    <fill>
      <patternFill patternType="none"/>
    </fill>
    <fill>
      <patternFill patternType="gray125"/>
    </fill>
    <fill>
      <patternFill patternType="solid">
        <fgColor theme="8"/>
      </patternFill>
    </fill>
    <fill>
      <patternFill patternType="solid">
        <fgColor theme="0" tint="-0.14999847407452621"/>
        <bgColor theme="0" tint="-0.14999847407452621"/>
      </patternFill>
    </fill>
    <fill>
      <patternFill patternType="solid">
        <fgColor theme="1"/>
        <bgColor theme="1"/>
      </patternFill>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rgb="FF00B050"/>
        <bgColor indexed="64"/>
      </patternFill>
    </fill>
    <fill>
      <patternFill patternType="solid">
        <fgColor indexed="22"/>
        <bgColor indexed="31"/>
      </patternFill>
    </fill>
    <fill>
      <patternFill patternType="solid">
        <fgColor rgb="FF00B0F0"/>
        <bgColor indexed="64"/>
      </patternFill>
    </fill>
    <fill>
      <patternFill patternType="solid">
        <fgColor rgb="FFFF0000"/>
        <bgColor indexed="64"/>
      </patternFill>
    </fill>
    <fill>
      <patternFill patternType="solid">
        <fgColor theme="4"/>
      </patternFill>
    </fill>
    <fill>
      <patternFill patternType="solid">
        <fgColor theme="6"/>
      </patternFill>
    </fill>
    <fill>
      <patternFill patternType="solid">
        <fgColor theme="9" tint="0.39997558519241921"/>
        <bgColor indexed="65"/>
      </patternFill>
    </fill>
    <fill>
      <patternFill patternType="solid">
        <fgColor rgb="FFD9D9D9"/>
        <bgColor rgb="FFD9D9D9"/>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s>
  <borders count="64">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theme="1"/>
      </right>
      <top style="thin">
        <color theme="1"/>
      </top>
      <bottom/>
      <diagonal/>
    </border>
    <border>
      <left/>
      <right/>
      <top style="thin">
        <color theme="1"/>
      </top>
      <bottom/>
      <diagonal/>
    </border>
    <border>
      <left style="medium">
        <color indexed="64"/>
      </left>
      <right style="medium">
        <color indexed="64"/>
      </right>
      <top style="medium">
        <color indexed="64"/>
      </top>
      <bottom style="medium">
        <color indexed="64"/>
      </bottom>
      <diagonal/>
    </border>
    <border>
      <left/>
      <right/>
      <top/>
      <bottom style="thin">
        <color theme="1"/>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medium">
        <color indexed="64"/>
      </right>
      <top style="medium">
        <color indexed="64"/>
      </top>
      <bottom style="thin">
        <color indexed="64"/>
      </bottom>
      <diagonal/>
    </border>
    <border>
      <left/>
      <right/>
      <top/>
      <bottom style="thick">
        <color theme="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style="double">
        <color indexed="64"/>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thin">
        <color theme="1"/>
      </left>
      <right/>
      <top style="thin">
        <color theme="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rgb="FF000000"/>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theme="4"/>
      </top>
      <bottom/>
      <diagonal/>
    </border>
  </borders>
  <cellStyleXfs count="15">
    <xf numFmtId="0" fontId="0" fillId="0" borderId="0"/>
    <xf numFmtId="43" fontId="1" fillId="0" borderId="0" applyFont="0" applyFill="0" applyBorder="0" applyAlignment="0" applyProtection="0"/>
    <xf numFmtId="0" fontId="3" fillId="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 fillId="12" borderId="0" applyNumberFormat="0" applyBorder="0" applyAlignment="0" applyProtection="0"/>
    <xf numFmtId="0" fontId="3" fillId="13" borderId="0" applyNumberFormat="0" applyBorder="0" applyAlignment="0" applyProtection="0"/>
    <xf numFmtId="43" fontId="1" fillId="0" borderId="0" applyFont="0" applyFill="0" applyBorder="0" applyAlignment="0" applyProtection="0"/>
    <xf numFmtId="0" fontId="26" fillId="0" borderId="33" applyNumberFormat="0" applyFill="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409">
    <xf numFmtId="0" fontId="0" fillId="0" borderId="0" xfId="0"/>
    <xf numFmtId="43" fontId="0" fillId="0" borderId="0" xfId="1" applyFont="1"/>
    <xf numFmtId="43" fontId="6" fillId="0" borderId="4" xfId="3" applyFont="1" applyBorder="1" applyAlignment="1">
      <alignment horizontal="center" vertical="center"/>
    </xf>
    <xf numFmtId="43" fontId="6" fillId="0" borderId="0" xfId="3"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43" fontId="7" fillId="5" borderId="5" xfId="3" applyFont="1" applyFill="1" applyBorder="1" applyAlignment="1">
      <alignment horizontal="center" vertical="center" wrapText="1"/>
    </xf>
    <xf numFmtId="0" fontId="7" fillId="5"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10" fillId="5" borderId="0" xfId="0" applyFont="1" applyFill="1" applyAlignment="1">
      <alignment horizontal="center" vertical="center"/>
    </xf>
    <xf numFmtId="14" fontId="6" fillId="0" borderId="0" xfId="0" applyNumberFormat="1" applyFont="1" applyAlignment="1">
      <alignment horizontal="center" vertical="center"/>
    </xf>
    <xf numFmtId="43" fontId="10" fillId="6" borderId="0" xfId="3" applyFont="1" applyFill="1" applyAlignment="1">
      <alignment horizontal="center" vertical="center"/>
    </xf>
    <xf numFmtId="0" fontId="10" fillId="6" borderId="0" xfId="0" applyFont="1" applyFill="1" applyAlignment="1">
      <alignment horizontal="center" vertical="center"/>
    </xf>
    <xf numFmtId="0" fontId="10" fillId="6" borderId="0" xfId="0" applyFont="1" applyFill="1" applyAlignment="1">
      <alignment horizontal="center" vertical="center" wrapText="1"/>
    </xf>
    <xf numFmtId="0" fontId="10" fillId="0" borderId="0" xfId="0" applyFont="1" applyAlignment="1">
      <alignment horizontal="center" vertical="center"/>
    </xf>
    <xf numFmtId="165" fontId="5" fillId="4" borderId="1" xfId="0" applyNumberFormat="1" applyFont="1" applyFill="1" applyBorder="1" applyAlignment="1">
      <alignment horizontal="center" vertical="center"/>
    </xf>
    <xf numFmtId="0" fontId="5" fillId="4" borderId="2" xfId="0" applyFont="1" applyFill="1" applyBorder="1" applyAlignment="1">
      <alignment horizontal="center" vertical="center"/>
    </xf>
    <xf numFmtId="165" fontId="4" fillId="3" borderId="1" xfId="0" applyNumberFormat="1" applyFont="1" applyFill="1" applyBorder="1"/>
    <xf numFmtId="0" fontId="4" fillId="3" borderId="2" xfId="0" applyFont="1" applyFill="1" applyBorder="1"/>
    <xf numFmtId="0" fontId="5" fillId="4" borderId="0" xfId="0" applyFont="1" applyFill="1" applyAlignment="1">
      <alignment horizontal="center" vertical="center"/>
    </xf>
    <xf numFmtId="165" fontId="4" fillId="3" borderId="3" xfId="0" applyNumberFormat="1" applyFont="1" applyFill="1" applyBorder="1"/>
    <xf numFmtId="165" fontId="4" fillId="3" borderId="7" xfId="0" applyNumberFormat="1" applyFont="1" applyFill="1" applyBorder="1"/>
    <xf numFmtId="0" fontId="4" fillId="3" borderId="8" xfId="0" applyFont="1" applyFill="1" applyBorder="1"/>
    <xf numFmtId="0" fontId="5" fillId="4" borderId="10" xfId="0" applyFont="1" applyFill="1" applyBorder="1" applyAlignment="1">
      <alignment horizontal="center" vertical="center"/>
    </xf>
    <xf numFmtId="43" fontId="11" fillId="0" borderId="11" xfId="1" applyFont="1" applyBorder="1"/>
    <xf numFmtId="43" fontId="5" fillId="4" borderId="10" xfId="1" applyFont="1" applyFill="1" applyBorder="1" applyAlignment="1">
      <alignment horizontal="center" vertical="center"/>
    </xf>
    <xf numFmtId="43" fontId="4" fillId="3" borderId="2" xfId="1" applyFont="1" applyFill="1" applyBorder="1"/>
    <xf numFmtId="43" fontId="4" fillId="3" borderId="8" xfId="1" applyFont="1" applyFill="1" applyBorder="1"/>
    <xf numFmtId="0" fontId="11" fillId="0" borderId="9" xfId="0" applyFont="1" applyBorder="1"/>
    <xf numFmtId="165" fontId="5" fillId="4" borderId="1" xfId="0" applyNumberFormat="1"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10" xfId="0" applyFont="1" applyFill="1" applyBorder="1" applyAlignment="1">
      <alignment horizontal="center" vertical="center" wrapText="1"/>
    </xf>
    <xf numFmtId="43" fontId="5" fillId="4" borderId="10" xfId="1" applyFont="1" applyFill="1" applyBorder="1" applyAlignment="1">
      <alignment horizontal="center" vertical="center" wrapText="1"/>
    </xf>
    <xf numFmtId="0" fontId="5" fillId="4" borderId="0" xfId="0" applyFont="1" applyFill="1" applyAlignment="1">
      <alignment horizontal="center" vertical="center" wrapText="1"/>
    </xf>
    <xf numFmtId="0" fontId="0" fillId="0" borderId="0" xfId="0" applyAlignment="1">
      <alignment wrapText="1"/>
    </xf>
    <xf numFmtId="0" fontId="15" fillId="4" borderId="2" xfId="0" applyFont="1" applyFill="1" applyBorder="1" applyAlignment="1">
      <alignment horizontal="right" vertical="center" wrapText="1"/>
    </xf>
    <xf numFmtId="0" fontId="15" fillId="4" borderId="0" xfId="0" applyFont="1" applyFill="1" applyAlignment="1">
      <alignment horizontal="right" vertical="center" wrapText="1"/>
    </xf>
    <xf numFmtId="0" fontId="0" fillId="0" borderId="0" xfId="0" pivotButton="1" applyAlignment="1">
      <alignment wrapText="1"/>
    </xf>
    <xf numFmtId="0" fontId="2" fillId="0" borderId="0" xfId="0" applyFont="1" applyAlignment="1">
      <alignment horizontal="center"/>
    </xf>
    <xf numFmtId="0" fontId="2" fillId="0" borderId="0" xfId="0" pivotButton="1" applyFont="1" applyAlignment="1">
      <alignment horizontal="center"/>
    </xf>
    <xf numFmtId="3" fontId="2" fillId="0" borderId="0" xfId="0" applyNumberFormat="1" applyFont="1" applyAlignment="1">
      <alignment horizontal="center"/>
    </xf>
    <xf numFmtId="166" fontId="2" fillId="0" borderId="5" xfId="1" applyNumberFormat="1" applyFont="1" applyBorder="1" applyAlignment="1">
      <alignment horizontal="center"/>
    </xf>
    <xf numFmtId="166" fontId="2" fillId="0" borderId="15" xfId="1" applyNumberFormat="1" applyFont="1" applyBorder="1" applyAlignment="1">
      <alignment horizontal="center"/>
    </xf>
    <xf numFmtId="0" fontId="2" fillId="0" borderId="0" xfId="0" applyFont="1" applyAlignment="1">
      <alignment horizontal="right"/>
    </xf>
    <xf numFmtId="166" fontId="2" fillId="0" borderId="30" xfId="1" applyNumberFormat="1" applyFont="1" applyBorder="1" applyAlignment="1">
      <alignment horizontal="center"/>
    </xf>
    <xf numFmtId="166" fontId="2" fillId="0" borderId="31" xfId="1" applyNumberFormat="1" applyFont="1" applyBorder="1" applyAlignment="1">
      <alignment horizontal="center"/>
    </xf>
    <xf numFmtId="43" fontId="16" fillId="0" borderId="0" xfId="4" applyFont="1"/>
    <xf numFmtId="14" fontId="16" fillId="0" borderId="0" xfId="4" applyNumberFormat="1" applyFont="1"/>
    <xf numFmtId="43" fontId="16" fillId="0" borderId="0" xfId="4" applyFont="1" applyBorder="1" applyAlignment="1">
      <alignment horizontal="center"/>
    </xf>
    <xf numFmtId="166" fontId="16" fillId="0" borderId="0" xfId="4" applyNumberFormat="1" applyFont="1" applyBorder="1" applyAlignment="1">
      <alignment horizontal="center"/>
    </xf>
    <xf numFmtId="43" fontId="17" fillId="5" borderId="18" xfId="4" applyFont="1" applyFill="1" applyBorder="1" applyAlignment="1">
      <alignment horizontal="center" vertical="center" wrapText="1"/>
    </xf>
    <xf numFmtId="43" fontId="17" fillId="5" borderId="19" xfId="4" applyFont="1" applyFill="1" applyBorder="1" applyAlignment="1">
      <alignment horizontal="center" vertical="center" wrapText="1"/>
    </xf>
    <xf numFmtId="9" fontId="17" fillId="5" borderId="19" xfId="5" applyFont="1" applyFill="1" applyBorder="1" applyAlignment="1">
      <alignment horizontal="center" vertical="center" wrapText="1"/>
    </xf>
    <xf numFmtId="9" fontId="17" fillId="5" borderId="19" xfId="4" applyNumberFormat="1" applyFont="1" applyFill="1" applyBorder="1" applyAlignment="1">
      <alignment horizontal="center" vertical="center" wrapText="1"/>
    </xf>
    <xf numFmtId="43" fontId="17" fillId="2" borderId="19" xfId="2" applyNumberFormat="1" applyFont="1" applyBorder="1" applyAlignment="1">
      <alignment horizontal="center" vertical="center" wrapText="1"/>
    </xf>
    <xf numFmtId="43" fontId="17" fillId="5" borderId="20" xfId="4" applyFont="1" applyFill="1" applyBorder="1" applyAlignment="1">
      <alignment horizontal="center" vertical="center" wrapText="1"/>
    </xf>
    <xf numFmtId="43" fontId="16" fillId="0" borderId="0" xfId="4" applyFont="1" applyAlignment="1">
      <alignment horizontal="center" vertical="center" wrapText="1"/>
    </xf>
    <xf numFmtId="43" fontId="17" fillId="0" borderId="13" xfId="4" applyFont="1" applyBorder="1"/>
    <xf numFmtId="17" fontId="17" fillId="0" borderId="5" xfId="4" applyNumberFormat="1" applyFont="1" applyBorder="1"/>
    <xf numFmtId="16" fontId="17" fillId="0" borderId="5" xfId="4" applyNumberFormat="1" applyFont="1" applyBorder="1"/>
    <xf numFmtId="43" fontId="17" fillId="0" borderId="5" xfId="4" applyFont="1" applyBorder="1"/>
    <xf numFmtId="43" fontId="17" fillId="0" borderId="5" xfId="4" applyFont="1" applyBorder="1" applyAlignment="1">
      <alignment vertical="center"/>
    </xf>
    <xf numFmtId="16" fontId="17" fillId="0" borderId="12" xfId="4" applyNumberFormat="1" applyFont="1" applyBorder="1"/>
    <xf numFmtId="166" fontId="18" fillId="0" borderId="0" xfId="1" applyNumberFormat="1" applyFont="1" applyAlignment="1">
      <alignment horizontal="center"/>
    </xf>
    <xf numFmtId="166" fontId="2" fillId="0" borderId="0" xfId="0" applyNumberFormat="1" applyFont="1" applyAlignment="1">
      <alignment horizontal="center" vertical="center"/>
    </xf>
    <xf numFmtId="166" fontId="2" fillId="0" borderId="0" xfId="0" applyNumberFormat="1" applyFont="1" applyAlignment="1">
      <alignment horizontal="center"/>
    </xf>
    <xf numFmtId="0" fontId="2" fillId="0" borderId="21" xfId="0" applyFont="1" applyBorder="1" applyAlignment="1">
      <alignment horizontal="right"/>
    </xf>
    <xf numFmtId="166" fontId="18" fillId="0" borderId="25" xfId="1" applyNumberFormat="1" applyFont="1" applyBorder="1" applyAlignment="1">
      <alignment horizontal="center"/>
    </xf>
    <xf numFmtId="0" fontId="2" fillId="0" borderId="27" xfId="0" applyFont="1" applyBorder="1" applyAlignment="1">
      <alignment horizontal="right"/>
    </xf>
    <xf numFmtId="166" fontId="18" fillId="0" borderId="0" xfId="1" applyNumberFormat="1" applyFont="1" applyBorder="1" applyAlignment="1">
      <alignment horizontal="center"/>
    </xf>
    <xf numFmtId="0" fontId="2" fillId="0" borderId="23" xfId="0" applyFont="1" applyBorder="1" applyAlignment="1">
      <alignment horizontal="right"/>
    </xf>
    <xf numFmtId="166" fontId="18" fillId="0" borderId="26" xfId="1" applyNumberFormat="1" applyFont="1" applyBorder="1" applyAlignment="1">
      <alignment horizontal="center"/>
    </xf>
    <xf numFmtId="0" fontId="19" fillId="0" borderId="0" xfId="0" applyFont="1" applyAlignment="1">
      <alignment horizontal="right" vertical="center" wrapText="1"/>
    </xf>
    <xf numFmtId="0" fontId="4" fillId="0" borderId="0" xfId="0" applyFont="1" applyAlignment="1">
      <alignment horizontal="right" vertical="center"/>
    </xf>
    <xf numFmtId="0" fontId="4" fillId="10" borderId="0" xfId="0" applyFont="1" applyFill="1" applyAlignment="1">
      <alignment horizontal="right" vertical="center"/>
    </xf>
    <xf numFmtId="0" fontId="19" fillId="6" borderId="0" xfId="0" applyFont="1" applyFill="1" applyAlignment="1">
      <alignment horizontal="right" vertical="center" wrapText="1"/>
    </xf>
    <xf numFmtId="0" fontId="4" fillId="6" borderId="0" xfId="0" applyFont="1" applyFill="1" applyAlignment="1">
      <alignment horizontal="right" vertical="center"/>
    </xf>
    <xf numFmtId="17" fontId="2" fillId="0" borderId="0" xfId="0" applyNumberFormat="1" applyFont="1" applyAlignment="1">
      <alignment horizontal="center"/>
    </xf>
    <xf numFmtId="0" fontId="20" fillId="0" borderId="5" xfId="0" applyFont="1" applyBorder="1" applyAlignment="1">
      <alignment horizontal="center" vertical="center"/>
    </xf>
    <xf numFmtId="43" fontId="0" fillId="0" borderId="0" xfId="0" applyNumberFormat="1"/>
    <xf numFmtId="0" fontId="0" fillId="0" borderId="0" xfId="0" applyAlignment="1">
      <alignment horizontal="center" vertical="center"/>
    </xf>
    <xf numFmtId="166" fontId="18" fillId="0" borderId="0" xfId="0" applyNumberFormat="1" applyFont="1" applyAlignment="1">
      <alignment horizontal="center"/>
    </xf>
    <xf numFmtId="2" fontId="2" fillId="0" borderId="0" xfId="0" applyNumberFormat="1" applyFont="1" applyAlignment="1">
      <alignment horizontal="center"/>
    </xf>
    <xf numFmtId="1" fontId="2" fillId="0" borderId="0" xfId="0" applyNumberFormat="1" applyFont="1" applyAlignment="1">
      <alignment horizontal="center"/>
    </xf>
    <xf numFmtId="0" fontId="4" fillId="3" borderId="0" xfId="0" applyFont="1" applyFill="1"/>
    <xf numFmtId="43" fontId="22" fillId="5" borderId="19" xfId="4" applyFont="1" applyFill="1" applyBorder="1" applyAlignment="1">
      <alignment horizontal="center" vertical="center" wrapText="1"/>
    </xf>
    <xf numFmtId="14" fontId="15" fillId="4" borderId="0" xfId="0" applyNumberFormat="1" applyFont="1" applyFill="1" applyAlignment="1">
      <alignment horizontal="right" vertical="center" wrapText="1"/>
    </xf>
    <xf numFmtId="14" fontId="4" fillId="0" borderId="0" xfId="0" applyNumberFormat="1" applyFont="1" applyAlignment="1">
      <alignment horizontal="right" vertical="center"/>
    </xf>
    <xf numFmtId="1" fontId="4" fillId="0" borderId="0" xfId="0" applyNumberFormat="1" applyFont="1" applyAlignment="1">
      <alignment horizontal="right" vertical="center"/>
    </xf>
    <xf numFmtId="43" fontId="12" fillId="0" borderId="5" xfId="3" applyFont="1" applyBorder="1" applyAlignment="1">
      <alignment vertical="center"/>
    </xf>
    <xf numFmtId="43" fontId="12" fillId="0" borderId="0" xfId="3" applyFont="1" applyBorder="1" applyAlignment="1">
      <alignment vertical="center"/>
    </xf>
    <xf numFmtId="43" fontId="12" fillId="7" borderId="5" xfId="3" applyFont="1" applyFill="1" applyBorder="1" applyAlignment="1">
      <alignment vertical="center"/>
    </xf>
    <xf numFmtId="43" fontId="12" fillId="8" borderId="5" xfId="3" applyFont="1" applyFill="1" applyBorder="1" applyAlignment="1">
      <alignment vertical="center"/>
    </xf>
    <xf numFmtId="43" fontId="12" fillId="0" borderId="0" xfId="3" applyFont="1" applyAlignment="1">
      <alignment vertical="center"/>
    </xf>
    <xf numFmtId="43" fontId="12" fillId="10" borderId="0" xfId="1" applyFont="1" applyFill="1" applyAlignment="1">
      <alignment vertical="center"/>
    </xf>
    <xf numFmtId="43" fontId="24" fillId="12" borderId="5" xfId="7" applyNumberFormat="1" applyFont="1" applyBorder="1" applyAlignment="1">
      <alignment horizontal="center" vertical="center"/>
    </xf>
    <xf numFmtId="43" fontId="24" fillId="12" borderId="5" xfId="7" applyNumberFormat="1" applyFont="1" applyBorder="1"/>
    <xf numFmtId="168" fontId="24" fillId="13" borderId="5" xfId="8" applyNumberFormat="1" applyFont="1" applyBorder="1" applyAlignment="1">
      <alignment horizontal="center" vertical="center"/>
    </xf>
    <xf numFmtId="43" fontId="0" fillId="0" borderId="0" xfId="9" applyFont="1"/>
    <xf numFmtId="43" fontId="0" fillId="0" borderId="0" xfId="9" applyFont="1" applyAlignment="1">
      <alignment horizontal="center" vertical="center"/>
    </xf>
    <xf numFmtId="43" fontId="26" fillId="14" borderId="33" xfId="10" applyNumberFormat="1" applyFill="1" applyAlignment="1">
      <alignment horizontal="center" vertical="center"/>
    </xf>
    <xf numFmtId="43" fontId="26" fillId="14" borderId="33" xfId="10" applyNumberFormat="1" applyFill="1"/>
    <xf numFmtId="168" fontId="26" fillId="0" borderId="33" xfId="10" applyNumberFormat="1" applyAlignment="1">
      <alignment horizontal="center" vertical="center"/>
    </xf>
    <xf numFmtId="43" fontId="0" fillId="0" borderId="0" xfId="3" applyFont="1"/>
    <xf numFmtId="14" fontId="23" fillId="0" borderId="34" xfId="0" applyNumberFormat="1" applyFont="1" applyBorder="1" applyAlignment="1">
      <alignment horizontal="center" vertical="center"/>
    </xf>
    <xf numFmtId="43" fontId="23" fillId="5" borderId="6" xfId="3" applyFont="1" applyFill="1" applyBorder="1" applyAlignment="1">
      <alignment horizontal="center" vertical="center"/>
    </xf>
    <xf numFmtId="43" fontId="23" fillId="11" borderId="6" xfId="3" applyFont="1" applyFill="1" applyBorder="1" applyAlignment="1">
      <alignment horizontal="center" vertical="center"/>
    </xf>
    <xf numFmtId="0" fontId="23" fillId="0" borderId="35" xfId="0" applyFont="1" applyBorder="1" applyAlignment="1">
      <alignment horizontal="center" vertical="center"/>
    </xf>
    <xf numFmtId="14" fontId="23" fillId="0" borderId="13" xfId="0" applyNumberFormat="1" applyFont="1" applyBorder="1" applyAlignment="1">
      <alignment horizontal="center" vertical="center"/>
    </xf>
    <xf numFmtId="43" fontId="23" fillId="0" borderId="5" xfId="3" applyFont="1" applyBorder="1" applyAlignment="1">
      <alignment horizontal="center" vertical="center"/>
    </xf>
    <xf numFmtId="0" fontId="23" fillId="0" borderId="12" xfId="0" applyFont="1" applyBorder="1" applyAlignment="1">
      <alignment horizontal="center" vertical="center"/>
    </xf>
    <xf numFmtId="14" fontId="23" fillId="0" borderId="16" xfId="0" applyNumberFormat="1" applyFont="1" applyBorder="1" applyAlignment="1">
      <alignment horizontal="center" vertical="center"/>
    </xf>
    <xf numFmtId="43" fontId="23" fillId="0" borderId="15" xfId="3" applyFont="1" applyBorder="1" applyAlignment="1">
      <alignment horizontal="center" vertical="center"/>
    </xf>
    <xf numFmtId="0" fontId="23" fillId="0" borderId="17" xfId="0" applyFont="1" applyBorder="1" applyAlignment="1">
      <alignment horizontal="center" vertical="center"/>
    </xf>
    <xf numFmtId="14" fontId="27" fillId="5" borderId="16" xfId="0" applyNumberFormat="1" applyFont="1" applyFill="1" applyBorder="1" applyAlignment="1">
      <alignment horizontal="center" vertical="center"/>
    </xf>
    <xf numFmtId="43" fontId="27" fillId="5" borderId="15" xfId="3" applyFont="1" applyFill="1" applyBorder="1" applyAlignment="1">
      <alignment horizontal="center" vertical="center"/>
    </xf>
    <xf numFmtId="0" fontId="27" fillId="5" borderId="17" xfId="0" applyFont="1" applyFill="1" applyBorder="1" applyAlignment="1">
      <alignment horizontal="center" vertical="center"/>
    </xf>
    <xf numFmtId="14" fontId="0" fillId="0" borderId="0" xfId="0" applyNumberFormat="1"/>
    <xf numFmtId="0" fontId="2" fillId="0" borderId="0" xfId="0" pivotButton="1" applyFont="1"/>
    <xf numFmtId="0" fontId="2" fillId="0" borderId="0" xfId="0" applyFont="1"/>
    <xf numFmtId="3" fontId="2" fillId="0" borderId="0" xfId="0" applyNumberFormat="1" applyFont="1"/>
    <xf numFmtId="43" fontId="2" fillId="0" borderId="0" xfId="1" applyFont="1"/>
    <xf numFmtId="167" fontId="12" fillId="0" borderId="5" xfId="3" applyNumberFormat="1" applyFont="1" applyBorder="1" applyAlignment="1">
      <alignment vertical="center"/>
    </xf>
    <xf numFmtId="43" fontId="12" fillId="0" borderId="5" xfId="3" quotePrefix="1" applyFont="1" applyBorder="1" applyAlignment="1">
      <alignment vertical="center"/>
    </xf>
    <xf numFmtId="1" fontId="16" fillId="0" borderId="0" xfId="4" applyNumberFormat="1" applyFont="1"/>
    <xf numFmtId="1" fontId="16" fillId="0" borderId="0" xfId="4" applyNumberFormat="1" applyFont="1" applyBorder="1" applyAlignment="1">
      <alignment horizontal="center"/>
    </xf>
    <xf numFmtId="1" fontId="17" fillId="5" borderId="20" xfId="4" applyNumberFormat="1" applyFont="1" applyFill="1" applyBorder="1" applyAlignment="1">
      <alignment horizontal="center" vertical="center" wrapText="1"/>
    </xf>
    <xf numFmtId="1" fontId="23" fillId="5" borderId="20" xfId="4" applyNumberFormat="1" applyFont="1" applyFill="1" applyBorder="1" applyAlignment="1">
      <alignment horizontal="center" vertical="center" wrapText="1"/>
    </xf>
    <xf numFmtId="43" fontId="11" fillId="7" borderId="14" xfId="4" applyFont="1" applyFill="1" applyBorder="1" applyAlignment="1">
      <alignment vertical="center"/>
    </xf>
    <xf numFmtId="1" fontId="16" fillId="0" borderId="0" xfId="4" applyNumberFormat="1" applyFont="1" applyAlignment="1">
      <alignment horizontal="center"/>
    </xf>
    <xf numFmtId="1" fontId="16" fillId="0" borderId="0" xfId="4" applyNumberFormat="1" applyFont="1" applyAlignment="1">
      <alignment horizontal="center" vertical="center"/>
    </xf>
    <xf numFmtId="1" fontId="16" fillId="0" borderId="0" xfId="4" applyNumberFormat="1" applyFont="1" applyBorder="1" applyAlignment="1">
      <alignment horizontal="center" vertical="center"/>
    </xf>
    <xf numFmtId="1" fontId="23" fillId="0" borderId="12" xfId="4" applyNumberFormat="1" applyFont="1" applyBorder="1" applyAlignment="1">
      <alignment horizontal="center" vertical="center"/>
    </xf>
    <xf numFmtId="1" fontId="17" fillId="0" borderId="5" xfId="4" applyNumberFormat="1" applyFont="1" applyBorder="1"/>
    <xf numFmtId="3" fontId="17" fillId="0" borderId="13" xfId="4" applyNumberFormat="1" applyFont="1" applyBorder="1" applyAlignment="1">
      <alignment horizontal="center" vertical="center"/>
    </xf>
    <xf numFmtId="43" fontId="17" fillId="0" borderId="13" xfId="4" applyFont="1" applyBorder="1" applyAlignment="1">
      <alignment vertical="center"/>
    </xf>
    <xf numFmtId="0" fontId="27" fillId="5" borderId="18" xfId="0" applyFont="1" applyFill="1" applyBorder="1"/>
    <xf numFmtId="0" fontId="27" fillId="5" borderId="19" xfId="0" applyFont="1" applyFill="1" applyBorder="1"/>
    <xf numFmtId="43" fontId="27" fillId="5" borderId="19" xfId="0" applyNumberFormat="1" applyFont="1" applyFill="1" applyBorder="1"/>
    <xf numFmtId="0" fontId="27" fillId="5" borderId="20" xfId="0" applyFont="1" applyFill="1" applyBorder="1"/>
    <xf numFmtId="0" fontId="27" fillId="5" borderId="19" xfId="0" applyFont="1" applyFill="1" applyBorder="1" applyAlignment="1">
      <alignment horizontal="center"/>
    </xf>
    <xf numFmtId="0" fontId="2" fillId="0" borderId="29" xfId="0" applyFont="1" applyBorder="1" applyAlignment="1">
      <alignment horizontal="center" vertical="center"/>
    </xf>
    <xf numFmtId="0" fontId="2" fillId="7" borderId="0" xfId="0" applyFont="1" applyFill="1" applyAlignment="1">
      <alignment horizontal="right"/>
    </xf>
    <xf numFmtId="0" fontId="29" fillId="7" borderId="0" xfId="0" applyFont="1" applyFill="1" applyAlignment="1">
      <alignment horizontal="right"/>
    </xf>
    <xf numFmtId="0" fontId="2" fillId="0" borderId="40" xfId="0" applyFont="1" applyBorder="1" applyAlignment="1">
      <alignment horizontal="center"/>
    </xf>
    <xf numFmtId="0" fontId="2" fillId="0" borderId="36"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vertical="center"/>
    </xf>
    <xf numFmtId="166" fontId="2" fillId="0" borderId="36" xfId="1" applyNumberFormat="1" applyFont="1" applyBorder="1" applyAlignment="1">
      <alignment horizontal="center"/>
    </xf>
    <xf numFmtId="166" fontId="2" fillId="0" borderId="32" xfId="1" applyNumberFormat="1" applyFont="1" applyBorder="1" applyAlignment="1">
      <alignment horizontal="center"/>
    </xf>
    <xf numFmtId="0" fontId="2" fillId="0" borderId="41" xfId="0" applyFont="1" applyBorder="1" applyAlignment="1">
      <alignment horizontal="center"/>
    </xf>
    <xf numFmtId="166" fontId="2" fillId="0" borderId="39" xfId="1" applyNumberFormat="1" applyFont="1" applyBorder="1" applyAlignment="1">
      <alignment horizontal="center"/>
    </xf>
    <xf numFmtId="0" fontId="2" fillId="0" borderId="42" xfId="0" applyFont="1" applyBorder="1" applyAlignment="1">
      <alignment horizontal="center"/>
    </xf>
    <xf numFmtId="0" fontId="18" fillId="10" borderId="9" xfId="0" applyFont="1" applyFill="1" applyBorder="1" applyAlignment="1">
      <alignment horizontal="center"/>
    </xf>
    <xf numFmtId="0" fontId="18" fillId="10" borderId="47" xfId="0" applyFont="1" applyFill="1" applyBorder="1" applyAlignment="1">
      <alignment horizontal="center"/>
    </xf>
    <xf numFmtId="166" fontId="18" fillId="10" borderId="9" xfId="1" applyNumberFormat="1" applyFont="1" applyFill="1" applyBorder="1" applyAlignment="1">
      <alignment horizontal="center"/>
    </xf>
    <xf numFmtId="166" fontId="18" fillId="10" borderId="48" xfId="1" applyNumberFormat="1" applyFont="1" applyFill="1" applyBorder="1" applyAlignment="1">
      <alignment horizontal="center"/>
    </xf>
    <xf numFmtId="16" fontId="6" fillId="0" borderId="0" xfId="0" applyNumberFormat="1" applyFont="1" applyAlignment="1">
      <alignment horizontal="center" vertical="center"/>
    </xf>
    <xf numFmtId="165" fontId="12" fillId="0" borderId="0" xfId="0" applyNumberFormat="1" applyFont="1" applyAlignment="1">
      <alignment vertical="center"/>
    </xf>
    <xf numFmtId="0" fontId="12" fillId="0" borderId="0" xfId="0" applyFont="1" applyAlignment="1">
      <alignment vertical="center"/>
    </xf>
    <xf numFmtId="0" fontId="12" fillId="0" borderId="0" xfId="0" applyFont="1" applyAlignment="1">
      <alignment horizontal="center" vertical="center" wrapText="1"/>
    </xf>
    <xf numFmtId="1" fontId="12" fillId="0" borderId="0" xfId="0" applyNumberFormat="1" applyFont="1" applyAlignment="1">
      <alignment horizontal="center" vertical="center"/>
    </xf>
    <xf numFmtId="43" fontId="12" fillId="0" borderId="0" xfId="1" applyFont="1" applyAlignment="1">
      <alignment vertical="center"/>
    </xf>
    <xf numFmtId="0" fontId="13" fillId="0" borderId="0" xfId="0" applyFont="1" applyAlignment="1">
      <alignment vertical="center"/>
    </xf>
    <xf numFmtId="0" fontId="31" fillId="0" borderId="0" xfId="0" applyFont="1" applyAlignment="1">
      <alignment vertical="center"/>
    </xf>
    <xf numFmtId="43" fontId="13" fillId="0" borderId="0" xfId="1" applyFont="1" applyAlignment="1">
      <alignment vertical="center"/>
    </xf>
    <xf numFmtId="165" fontId="12" fillId="10" borderId="0" xfId="0" applyNumberFormat="1" applyFont="1" applyFill="1" applyAlignment="1">
      <alignment vertical="center"/>
    </xf>
    <xf numFmtId="0" fontId="12" fillId="10" borderId="0" xfId="0" applyFont="1" applyFill="1" applyAlignment="1">
      <alignment vertical="center"/>
    </xf>
    <xf numFmtId="0" fontId="12" fillId="10" borderId="0" xfId="0" applyFont="1" applyFill="1" applyAlignment="1">
      <alignment horizontal="center" vertical="center" wrapText="1"/>
    </xf>
    <xf numFmtId="1" fontId="12" fillId="10" borderId="0" xfId="0" applyNumberFormat="1" applyFont="1" applyFill="1" applyAlignment="1">
      <alignment horizontal="center" vertical="center"/>
    </xf>
    <xf numFmtId="0" fontId="13" fillId="10" borderId="0" xfId="0" applyFont="1" applyFill="1" applyAlignment="1">
      <alignment vertical="center"/>
    </xf>
    <xf numFmtId="0" fontId="31" fillId="10" borderId="0" xfId="0" applyFont="1" applyFill="1" applyAlignment="1">
      <alignment vertical="center"/>
    </xf>
    <xf numFmtId="43" fontId="13" fillId="10" borderId="0" xfId="1" applyFont="1" applyFill="1" applyAlignment="1">
      <alignment vertical="center"/>
    </xf>
    <xf numFmtId="165" fontId="5" fillId="4" borderId="50" xfId="0" applyNumberFormat="1" applyFont="1" applyFill="1" applyBorder="1" applyAlignment="1">
      <alignment horizontal="center" vertical="center" wrapText="1"/>
    </xf>
    <xf numFmtId="0" fontId="5" fillId="4" borderId="8" xfId="0" applyFont="1" applyFill="1" applyBorder="1" applyAlignment="1">
      <alignment horizontal="center" vertical="center" wrapText="1"/>
    </xf>
    <xf numFmtId="43" fontId="5" fillId="4" borderId="0" xfId="1" applyFont="1" applyFill="1" applyBorder="1" applyAlignment="1">
      <alignment horizontal="center" vertical="center" wrapText="1"/>
    </xf>
    <xf numFmtId="165" fontId="4" fillId="3" borderId="5" xfId="0" applyNumberFormat="1" applyFont="1" applyFill="1" applyBorder="1"/>
    <xf numFmtId="0" fontId="4" fillId="0" borderId="5" xfId="0" applyFont="1" applyBorder="1"/>
    <xf numFmtId="43" fontId="4" fillId="3" borderId="5" xfId="1" applyFont="1" applyFill="1" applyBorder="1"/>
    <xf numFmtId="0" fontId="0" fillId="0" borderId="5" xfId="0" applyBorder="1"/>
    <xf numFmtId="43" fontId="33" fillId="0" borderId="5" xfId="4" applyFont="1" applyBorder="1" applyAlignment="1">
      <alignment vertical="center"/>
    </xf>
    <xf numFmtId="43" fontId="21" fillId="5" borderId="19" xfId="0" applyNumberFormat="1" applyFont="1" applyFill="1" applyBorder="1"/>
    <xf numFmtId="0" fontId="34" fillId="5" borderId="0" xfId="0" applyFont="1" applyFill="1"/>
    <xf numFmtId="43" fontId="17" fillId="0" borderId="0" xfId="4" applyFont="1" applyAlignment="1">
      <alignment vertical="center"/>
    </xf>
    <xf numFmtId="165" fontId="6" fillId="0" borderId="0" xfId="0" applyNumberFormat="1" applyFont="1" applyAlignment="1">
      <alignment horizontal="center" vertical="center"/>
    </xf>
    <xf numFmtId="43" fontId="2" fillId="0" borderId="29" xfId="0" applyNumberFormat="1" applyFont="1" applyBorder="1" applyAlignment="1">
      <alignment horizontal="right"/>
    </xf>
    <xf numFmtId="0" fontId="4" fillId="0" borderId="0" xfId="0" applyFont="1"/>
    <xf numFmtId="0" fontId="9" fillId="0" borderId="0" xfId="0" applyFont="1"/>
    <xf numFmtId="166" fontId="4" fillId="0" borderId="5" xfId="1" applyNumberFormat="1" applyFont="1" applyBorder="1"/>
    <xf numFmtId="9" fontId="4" fillId="0" borderId="5" xfId="6" applyFont="1" applyBorder="1"/>
    <xf numFmtId="166" fontId="9" fillId="0" borderId="5" xfId="1" applyNumberFormat="1" applyFont="1" applyBorder="1"/>
    <xf numFmtId="9" fontId="9" fillId="0" borderId="5" xfId="6" applyFont="1" applyBorder="1"/>
    <xf numFmtId="166" fontId="4" fillId="0" borderId="0" xfId="1" applyNumberFormat="1" applyFont="1"/>
    <xf numFmtId="9" fontId="4" fillId="0" borderId="0" xfId="6" applyFont="1"/>
    <xf numFmtId="166" fontId="4" fillId="0" borderId="6" xfId="1" applyNumberFormat="1" applyFont="1" applyBorder="1"/>
    <xf numFmtId="9" fontId="4" fillId="0" borderId="6" xfId="6" applyFont="1" applyBorder="1"/>
    <xf numFmtId="0" fontId="4" fillId="0" borderId="21" xfId="0" applyFont="1" applyBorder="1" applyAlignment="1">
      <alignment horizontal="center" vertical="center"/>
    </xf>
    <xf numFmtId="0" fontId="9" fillId="10" borderId="9" xfId="0" applyFont="1" applyFill="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9" fillId="0" borderId="5" xfId="0" applyFont="1" applyBorder="1" applyAlignment="1">
      <alignment horizontal="center" vertical="center"/>
    </xf>
    <xf numFmtId="0" fontId="4" fillId="0" borderId="0" xfId="0" applyFont="1" applyAlignment="1">
      <alignment horizontal="center" vertical="center"/>
    </xf>
    <xf numFmtId="43" fontId="37" fillId="0" borderId="5" xfId="4" applyFont="1" applyBorder="1"/>
    <xf numFmtId="0" fontId="4" fillId="3" borderId="5" xfId="0" applyFont="1" applyFill="1" applyBorder="1"/>
    <xf numFmtId="43" fontId="6" fillId="0" borderId="0" xfId="1" applyFont="1" applyAlignment="1">
      <alignment horizontal="center" vertical="center"/>
    </xf>
    <xf numFmtId="43" fontId="2" fillId="0" borderId="0" xfId="0" applyNumberFormat="1" applyFont="1" applyAlignment="1">
      <alignment horizontal="center"/>
    </xf>
    <xf numFmtId="0" fontId="2" fillId="0" borderId="5" xfId="0" applyFont="1" applyBorder="1" applyAlignment="1">
      <alignment horizontal="right"/>
    </xf>
    <xf numFmtId="166" fontId="18" fillId="0" borderId="5" xfId="1" applyNumberFormat="1" applyFont="1" applyBorder="1" applyAlignment="1">
      <alignment horizontal="center"/>
    </xf>
    <xf numFmtId="166" fontId="18" fillId="0" borderId="12" xfId="1" applyNumberFormat="1" applyFont="1" applyBorder="1" applyAlignment="1">
      <alignment horizontal="center"/>
    </xf>
    <xf numFmtId="0" fontId="2" fillId="0" borderId="6" xfId="0" applyFont="1" applyBorder="1" applyAlignment="1">
      <alignment horizontal="right"/>
    </xf>
    <xf numFmtId="166" fontId="18" fillId="0" borderId="6" xfId="1" applyNumberFormat="1" applyFont="1" applyBorder="1" applyAlignment="1">
      <alignment horizontal="center"/>
    </xf>
    <xf numFmtId="166" fontId="18" fillId="0" borderId="35" xfId="1" applyNumberFormat="1" applyFont="1" applyBorder="1" applyAlignment="1">
      <alignment horizontal="center"/>
    </xf>
    <xf numFmtId="14" fontId="18" fillId="0" borderId="0" xfId="1" applyNumberFormat="1" applyFont="1" applyAlignment="1">
      <alignment horizontal="center"/>
    </xf>
    <xf numFmtId="4" fontId="2" fillId="0" borderId="0" xfId="0" applyNumberFormat="1" applyFont="1" applyAlignment="1">
      <alignment horizontal="center"/>
    </xf>
    <xf numFmtId="43" fontId="6" fillId="0" borderId="4" xfId="1" applyFont="1" applyBorder="1" applyAlignment="1">
      <alignment vertical="center"/>
    </xf>
    <xf numFmtId="0" fontId="6" fillId="0" borderId="0" xfId="3" applyNumberFormat="1" applyFont="1" applyAlignment="1">
      <alignment horizontal="center" vertical="center"/>
    </xf>
    <xf numFmtId="4" fontId="6" fillId="0" borderId="0" xfId="3" applyNumberFormat="1" applyFont="1" applyAlignment="1">
      <alignment horizontal="center" vertical="center"/>
    </xf>
    <xf numFmtId="43" fontId="16" fillId="0" borderId="5" xfId="4" applyFont="1" applyBorder="1" applyAlignment="1">
      <alignment horizontal="center" vertical="center" wrapText="1"/>
    </xf>
    <xf numFmtId="43" fontId="16" fillId="0" borderId="0" xfId="4" applyFont="1" applyAlignment="1">
      <alignment horizontal="center"/>
    </xf>
    <xf numFmtId="43" fontId="16" fillId="0" borderId="5" xfId="4" applyFont="1" applyBorder="1" applyAlignment="1">
      <alignment horizontal="center"/>
    </xf>
    <xf numFmtId="9" fontId="11" fillId="7" borderId="14" xfId="6" applyFont="1" applyFill="1" applyBorder="1" applyAlignment="1">
      <alignment vertical="center"/>
    </xf>
    <xf numFmtId="4" fontId="6" fillId="0" borderId="0" xfId="1" applyNumberFormat="1" applyFont="1" applyAlignment="1">
      <alignment horizontal="center" vertical="center"/>
    </xf>
    <xf numFmtId="43" fontId="6" fillId="5" borderId="0" xfId="3" applyFont="1" applyFill="1" applyAlignment="1">
      <alignment horizontal="center" vertical="center"/>
    </xf>
    <xf numFmtId="0" fontId="6" fillId="5" borderId="0" xfId="0" applyFont="1" applyFill="1" applyAlignment="1">
      <alignment horizontal="center" vertical="center"/>
    </xf>
    <xf numFmtId="0" fontId="6" fillId="5" borderId="0" xfId="0" applyFont="1" applyFill="1" applyAlignment="1">
      <alignment horizontal="center" vertical="center" wrapText="1"/>
    </xf>
    <xf numFmtId="0" fontId="12" fillId="0" borderId="0" xfId="0" applyFont="1" applyAlignment="1">
      <alignment horizontal="center" vertical="center"/>
    </xf>
    <xf numFmtId="0" fontId="35" fillId="0" borderId="0" xfId="0" applyFont="1" applyAlignment="1">
      <alignment horizontal="center" vertical="center" wrapText="1"/>
    </xf>
    <xf numFmtId="0" fontId="35" fillId="10" borderId="0" xfId="0" applyFont="1" applyFill="1" applyAlignment="1">
      <alignment horizontal="center" vertical="center" wrapText="1"/>
    </xf>
    <xf numFmtId="0" fontId="12" fillId="10" borderId="0" xfId="0" applyFont="1" applyFill="1" applyAlignment="1">
      <alignment horizontal="center" vertical="center"/>
    </xf>
    <xf numFmtId="43" fontId="13" fillId="0" borderId="5" xfId="3" applyFont="1" applyBorder="1" applyAlignment="1">
      <alignment horizontal="center" vertical="center" wrapText="1"/>
    </xf>
    <xf numFmtId="43" fontId="13" fillId="0" borderId="0" xfId="3" applyFont="1" applyAlignment="1">
      <alignment horizontal="center" vertical="center" wrapText="1"/>
    </xf>
    <xf numFmtId="0" fontId="4" fillId="3" borderId="2" xfId="0" applyFont="1" applyFill="1" applyBorder="1" applyAlignment="1">
      <alignment horizontal="center"/>
    </xf>
    <xf numFmtId="43" fontId="4" fillId="3" borderId="2" xfId="1" applyFont="1" applyFill="1" applyBorder="1" applyAlignment="1">
      <alignment horizontal="center"/>
    </xf>
    <xf numFmtId="4" fontId="12" fillId="0" borderId="0" xfId="0" applyNumberFormat="1" applyFont="1" applyAlignment="1">
      <alignment horizontal="center" vertical="center"/>
    </xf>
    <xf numFmtId="43" fontId="4" fillId="0" borderId="5" xfId="1" applyFont="1" applyFill="1" applyBorder="1"/>
    <xf numFmtId="170" fontId="2" fillId="0" borderId="0" xfId="0" applyNumberFormat="1" applyFont="1" applyAlignment="1">
      <alignment horizontal="center"/>
    </xf>
    <xf numFmtId="165" fontId="12" fillId="7" borderId="0" xfId="0" applyNumberFormat="1" applyFont="1" applyFill="1" applyAlignment="1">
      <alignment vertical="center"/>
    </xf>
    <xf numFmtId="164" fontId="2" fillId="0" borderId="0" xfId="0" applyNumberFormat="1" applyFont="1"/>
    <xf numFmtId="3" fontId="12" fillId="0" borderId="0" xfId="0" applyNumberFormat="1" applyFont="1" applyAlignment="1">
      <alignment horizontal="center" vertical="center"/>
    </xf>
    <xf numFmtId="164" fontId="12" fillId="0" borderId="0" xfId="0" applyNumberFormat="1" applyFont="1" applyAlignment="1">
      <alignment horizontal="center" vertical="center"/>
    </xf>
    <xf numFmtId="1" fontId="27" fillId="5" borderId="18" xfId="0" applyNumberFormat="1" applyFont="1" applyFill="1" applyBorder="1"/>
    <xf numFmtId="1" fontId="27" fillId="5" borderId="18" xfId="0" applyNumberFormat="1" applyFont="1" applyFill="1" applyBorder="1" applyAlignment="1">
      <alignment horizontal="center" vertical="center"/>
    </xf>
    <xf numFmtId="165" fontId="12" fillId="5" borderId="0" xfId="0" applyNumberFormat="1" applyFont="1" applyFill="1" applyAlignment="1">
      <alignment vertical="center"/>
    </xf>
    <xf numFmtId="0" fontId="12" fillId="5" borderId="0" xfId="0" applyFont="1" applyFill="1" applyAlignment="1">
      <alignment vertical="center"/>
    </xf>
    <xf numFmtId="0" fontId="12" fillId="5" borderId="0" xfId="0" applyFont="1" applyFill="1" applyAlignment="1">
      <alignment horizontal="center" vertical="center" wrapText="1"/>
    </xf>
    <xf numFmtId="1" fontId="12" fillId="5" borderId="0" xfId="0" applyNumberFormat="1" applyFont="1" applyFill="1" applyAlignment="1">
      <alignment horizontal="center" vertical="center"/>
    </xf>
    <xf numFmtId="0" fontId="35" fillId="5" borderId="0" xfId="0" applyFont="1" applyFill="1" applyAlignment="1">
      <alignment horizontal="center" vertical="center" wrapText="1"/>
    </xf>
    <xf numFmtId="0" fontId="12" fillId="5" borderId="0" xfId="0" applyFont="1" applyFill="1" applyAlignment="1">
      <alignment horizontal="center" vertical="center"/>
    </xf>
    <xf numFmtId="0" fontId="13" fillId="5" borderId="0" xfId="0" applyFont="1" applyFill="1" applyAlignment="1">
      <alignment vertical="center"/>
    </xf>
    <xf numFmtId="0" fontId="31" fillId="5" borderId="0" xfId="0" applyFont="1" applyFill="1" applyAlignment="1">
      <alignment vertical="center"/>
    </xf>
    <xf numFmtId="43" fontId="12" fillId="5" borderId="0" xfId="1" applyFont="1" applyFill="1" applyAlignment="1">
      <alignment vertical="center"/>
    </xf>
    <xf numFmtId="43" fontId="13" fillId="5" borderId="0" xfId="1" applyFont="1" applyFill="1" applyAlignment="1">
      <alignment vertical="center"/>
    </xf>
    <xf numFmtId="171" fontId="0" fillId="0" borderId="0" xfId="0" applyNumberFormat="1"/>
    <xf numFmtId="4" fontId="6" fillId="5" borderId="0" xfId="3" applyNumberFormat="1" applyFont="1" applyFill="1" applyAlignment="1">
      <alignment horizontal="center" vertical="center"/>
    </xf>
    <xf numFmtId="43" fontId="33" fillId="0" borderId="13" xfId="4" applyFont="1" applyBorder="1"/>
    <xf numFmtId="43" fontId="33" fillId="0" borderId="5" xfId="4" applyFont="1" applyBorder="1"/>
    <xf numFmtId="16" fontId="33" fillId="0" borderId="12" xfId="4" applyNumberFormat="1" applyFont="1" applyBorder="1"/>
    <xf numFmtId="1" fontId="33" fillId="0" borderId="5" xfId="4" applyNumberFormat="1" applyFont="1" applyBorder="1"/>
    <xf numFmtId="1" fontId="39" fillId="0" borderId="12" xfId="4" applyNumberFormat="1" applyFont="1" applyBorder="1" applyAlignment="1">
      <alignment horizontal="center" vertical="center"/>
    </xf>
    <xf numFmtId="3" fontId="33" fillId="0" borderId="13" xfId="4" applyNumberFormat="1" applyFont="1" applyBorder="1" applyAlignment="1">
      <alignment horizontal="center" vertical="center"/>
    </xf>
    <xf numFmtId="43" fontId="33" fillId="0" borderId="13" xfId="4" applyFont="1" applyBorder="1" applyAlignment="1">
      <alignment vertical="center"/>
    </xf>
    <xf numFmtId="43" fontId="33" fillId="0" borderId="0" xfId="4" applyFont="1" applyAlignment="1">
      <alignment vertical="center"/>
    </xf>
    <xf numFmtId="43" fontId="33" fillId="0" borderId="5" xfId="4" applyFont="1" applyBorder="1" applyAlignment="1">
      <alignment horizontal="center"/>
    </xf>
    <xf numFmtId="43" fontId="33" fillId="0" borderId="0" xfId="4" applyFont="1"/>
    <xf numFmtId="17" fontId="33" fillId="0" borderId="5" xfId="4" applyNumberFormat="1" applyFont="1" applyBorder="1"/>
    <xf numFmtId="16" fontId="33" fillId="0" borderId="5" xfId="4" applyNumberFormat="1" applyFont="1" applyBorder="1"/>
    <xf numFmtId="166" fontId="18" fillId="0" borderId="15" xfId="1" applyNumberFormat="1" applyFont="1" applyBorder="1" applyAlignment="1">
      <alignment horizontal="center"/>
    </xf>
    <xf numFmtId="4" fontId="0" fillId="0" borderId="5" xfId="0" applyNumberFormat="1" applyBorder="1"/>
    <xf numFmtId="43" fontId="2" fillId="0" borderId="0" xfId="1" applyFont="1" applyAlignment="1">
      <alignment horizontal="center"/>
    </xf>
    <xf numFmtId="43" fontId="17" fillId="5" borderId="5" xfId="4" applyFont="1" applyFill="1" applyBorder="1" applyAlignment="1">
      <alignment vertical="center"/>
    </xf>
    <xf numFmtId="43" fontId="33" fillId="5" borderId="5" xfId="4" applyFont="1" applyFill="1" applyBorder="1" applyAlignment="1">
      <alignment vertical="center"/>
    </xf>
    <xf numFmtId="0" fontId="6" fillId="0" borderId="0" xfId="1" applyNumberFormat="1" applyFont="1" applyAlignment="1">
      <alignment horizontal="center" vertical="center"/>
    </xf>
    <xf numFmtId="4" fontId="12" fillId="5" borderId="0" xfId="0" applyNumberFormat="1" applyFont="1" applyFill="1" applyAlignment="1">
      <alignment horizontal="center" vertical="center"/>
    </xf>
    <xf numFmtId="0" fontId="6" fillId="5" borderId="0" xfId="3" applyNumberFormat="1" applyFont="1" applyFill="1" applyAlignment="1">
      <alignment horizontal="center" vertical="center"/>
    </xf>
    <xf numFmtId="0" fontId="18" fillId="0" borderId="0" xfId="0" applyFont="1" applyAlignment="1">
      <alignment horizontal="center"/>
    </xf>
    <xf numFmtId="166" fontId="18" fillId="0" borderId="37" xfId="1" applyNumberFormat="1" applyFont="1" applyBorder="1" applyAlignment="1">
      <alignment horizontal="center"/>
    </xf>
    <xf numFmtId="1" fontId="18" fillId="0" borderId="37" xfId="1" applyNumberFormat="1" applyFont="1" applyBorder="1" applyAlignment="1">
      <alignment horizontal="center"/>
    </xf>
    <xf numFmtId="0" fontId="2" fillId="0" borderId="42" xfId="0" applyFont="1" applyBorder="1" applyAlignment="1">
      <alignment horizontal="right"/>
    </xf>
    <xf numFmtId="166" fontId="18" fillId="0" borderId="0" xfId="1" applyNumberFormat="1" applyFont="1" applyBorder="1" applyAlignment="1">
      <alignment horizontal="center" vertical="center"/>
    </xf>
    <xf numFmtId="4" fontId="17" fillId="0" borderId="5" xfId="4" applyNumberFormat="1" applyFont="1" applyBorder="1" applyAlignment="1">
      <alignment vertical="center"/>
    </xf>
    <xf numFmtId="166" fontId="2" fillId="0" borderId="11" xfId="0" applyNumberFormat="1" applyFont="1" applyBorder="1" applyAlignment="1">
      <alignment horizontal="center"/>
    </xf>
    <xf numFmtId="166" fontId="18" fillId="0" borderId="55" xfId="1" applyNumberFormat="1" applyFont="1" applyBorder="1" applyAlignment="1">
      <alignment horizontal="center"/>
    </xf>
    <xf numFmtId="166" fontId="18" fillId="0" borderId="56" xfId="1" applyNumberFormat="1" applyFont="1" applyBorder="1" applyAlignment="1">
      <alignment horizontal="center"/>
    </xf>
    <xf numFmtId="166" fontId="18" fillId="0" borderId="38" xfId="1" applyNumberFormat="1" applyFont="1" applyBorder="1" applyAlignment="1">
      <alignment horizontal="center"/>
    </xf>
    <xf numFmtId="0" fontId="40" fillId="15" borderId="5" xfId="0" applyFont="1" applyFill="1" applyBorder="1"/>
    <xf numFmtId="0" fontId="40" fillId="15" borderId="6" xfId="0" applyFont="1" applyFill="1" applyBorder="1"/>
    <xf numFmtId="43" fontId="6" fillId="0" borderId="0" xfId="0" applyNumberFormat="1" applyFont="1" applyAlignment="1">
      <alignment horizontal="center" vertical="center"/>
    </xf>
    <xf numFmtId="0" fontId="39" fillId="0" borderId="0" xfId="0" applyFont="1" applyAlignment="1">
      <alignment horizontal="right"/>
    </xf>
    <xf numFmtId="3" fontId="39" fillId="0" borderId="0" xfId="0" applyNumberFormat="1" applyFont="1" applyAlignment="1">
      <alignment horizontal="center"/>
    </xf>
    <xf numFmtId="43" fontId="39" fillId="0" borderId="0" xfId="0" applyNumberFormat="1" applyFont="1" applyAlignment="1">
      <alignment horizontal="center"/>
    </xf>
    <xf numFmtId="164" fontId="12" fillId="0" borderId="0" xfId="0" applyNumberFormat="1" applyFont="1" applyAlignment="1">
      <alignment vertical="center"/>
    </xf>
    <xf numFmtId="2" fontId="12" fillId="0" borderId="0" xfId="0" applyNumberFormat="1" applyFont="1" applyAlignment="1">
      <alignment vertical="center"/>
    </xf>
    <xf numFmtId="43" fontId="12" fillId="0" borderId="0" xfId="1" applyFont="1" applyAlignment="1">
      <alignment horizontal="center" vertical="center"/>
    </xf>
    <xf numFmtId="164" fontId="12" fillId="0" borderId="0" xfId="0" applyNumberFormat="1" applyFont="1" applyAlignment="1">
      <alignment horizontal="center" vertical="center" wrapText="1"/>
    </xf>
    <xf numFmtId="0" fontId="7" fillId="5" borderId="57" xfId="0" applyFont="1" applyFill="1" applyBorder="1" applyAlignment="1">
      <alignment horizontal="center" vertical="center" wrapText="1"/>
    </xf>
    <xf numFmtId="0" fontId="0" fillId="0" borderId="0" xfId="0" pivotButton="1"/>
    <xf numFmtId="43" fontId="0" fillId="0" borderId="0" xfId="1" applyFont="1" applyAlignment="1">
      <alignment wrapText="1"/>
    </xf>
    <xf numFmtId="166" fontId="2" fillId="0" borderId="24" xfId="0" applyNumberFormat="1" applyFont="1" applyBorder="1" applyAlignment="1">
      <alignment horizontal="center" vertical="center"/>
    </xf>
    <xf numFmtId="164" fontId="0" fillId="0" borderId="5" xfId="0" applyNumberFormat="1" applyBorder="1"/>
    <xf numFmtId="0" fontId="2" fillId="0" borderId="9" xfId="0" applyFont="1" applyBorder="1" applyAlignment="1">
      <alignment horizontal="center"/>
    </xf>
    <xf numFmtId="43" fontId="0" fillId="0" borderId="5" xfId="0" applyNumberFormat="1" applyBorder="1"/>
    <xf numFmtId="165" fontId="30" fillId="0" borderId="0" xfId="0" applyNumberFormat="1" applyFont="1" applyAlignment="1">
      <alignment horizontal="center" vertical="center"/>
    </xf>
    <xf numFmtId="0" fontId="30" fillId="0" borderId="0" xfId="0" applyFont="1" applyAlignment="1">
      <alignment horizontal="center" vertical="center"/>
    </xf>
    <xf numFmtId="1" fontId="30" fillId="0" borderId="0" xfId="0" applyNumberFormat="1" applyFont="1" applyAlignment="1">
      <alignment horizontal="center" vertical="center"/>
    </xf>
    <xf numFmtId="43" fontId="30" fillId="0" borderId="0" xfId="1" applyFont="1" applyAlignment="1">
      <alignment horizontal="center" vertical="center"/>
    </xf>
    <xf numFmtId="4" fontId="12" fillId="0" borderId="0" xfId="0" applyNumberFormat="1" applyFont="1" applyAlignment="1">
      <alignment vertical="center"/>
    </xf>
    <xf numFmtId="166" fontId="2" fillId="0" borderId="58" xfId="4" applyNumberFormat="1" applyFont="1" applyBorder="1" applyAlignment="1">
      <alignment horizontal="center"/>
    </xf>
    <xf numFmtId="43" fontId="12" fillId="0" borderId="0" xfId="0" applyNumberFormat="1" applyFont="1" applyAlignment="1">
      <alignment vertical="center"/>
    </xf>
    <xf numFmtId="0" fontId="4" fillId="3" borderId="8" xfId="0" applyFont="1" applyFill="1" applyBorder="1" applyAlignment="1">
      <alignment horizontal="center"/>
    </xf>
    <xf numFmtId="0" fontId="4" fillId="3" borderId="15" xfId="0" applyFont="1" applyFill="1" applyBorder="1"/>
    <xf numFmtId="0" fontId="0" fillId="0" borderId="15" xfId="0" applyBorder="1"/>
    <xf numFmtId="0" fontId="40" fillId="15" borderId="15" xfId="0" applyFont="1" applyFill="1" applyBorder="1"/>
    <xf numFmtId="43" fontId="4" fillId="3" borderId="15" xfId="1" applyFont="1" applyFill="1" applyBorder="1"/>
    <xf numFmtId="0" fontId="4" fillId="3" borderId="5" xfId="1" applyNumberFormat="1" applyFont="1" applyFill="1" applyBorder="1"/>
    <xf numFmtId="0" fontId="42" fillId="0" borderId="5" xfId="0" applyFont="1" applyBorder="1" applyAlignment="1">
      <alignment horizontal="center" vertical="center" wrapText="1"/>
    </xf>
    <xf numFmtId="43" fontId="12" fillId="0" borderId="15" xfId="3" applyFont="1" applyBorder="1" applyAlignment="1">
      <alignment vertical="center"/>
    </xf>
    <xf numFmtId="43" fontId="32" fillId="9" borderId="15" xfId="3" applyFont="1" applyFill="1" applyBorder="1" applyAlignment="1" applyProtection="1">
      <alignment vertical="center"/>
      <protection hidden="1"/>
    </xf>
    <xf numFmtId="43" fontId="13" fillId="0" borderId="15" xfId="3" applyFont="1" applyBorder="1" applyAlignment="1">
      <alignment horizontal="center" vertical="center" wrapText="1"/>
    </xf>
    <xf numFmtId="43" fontId="12" fillId="0" borderId="41" xfId="3" applyFont="1" applyBorder="1" applyAlignment="1">
      <alignment vertical="center"/>
    </xf>
    <xf numFmtId="43" fontId="13" fillId="0" borderId="39" xfId="3" applyFont="1" applyBorder="1" applyAlignment="1">
      <alignment horizontal="center" vertical="center" wrapText="1"/>
    </xf>
    <xf numFmtId="43" fontId="12" fillId="5" borderId="59" xfId="1" applyFont="1" applyFill="1" applyBorder="1" applyAlignment="1">
      <alignment vertical="center"/>
    </xf>
    <xf numFmtId="43" fontId="12" fillId="5" borderId="60" xfId="3" applyFont="1" applyFill="1" applyBorder="1" applyAlignment="1">
      <alignment vertical="center"/>
    </xf>
    <xf numFmtId="43" fontId="12" fillId="0" borderId="6" xfId="3" applyFont="1" applyBorder="1" applyAlignment="1">
      <alignment vertical="center"/>
    </xf>
    <xf numFmtId="43" fontId="13" fillId="0" borderId="34" xfId="3" applyFont="1" applyBorder="1" applyAlignment="1">
      <alignment horizontal="center" vertical="center" wrapText="1"/>
    </xf>
    <xf numFmtId="43" fontId="12" fillId="0" borderId="61" xfId="3" applyFont="1" applyBorder="1" applyAlignment="1">
      <alignment vertical="center"/>
    </xf>
    <xf numFmtId="167" fontId="12" fillId="0" borderId="6" xfId="3" applyNumberFormat="1" applyFont="1" applyBorder="1" applyAlignment="1">
      <alignment vertical="center"/>
    </xf>
    <xf numFmtId="43" fontId="13" fillId="0" borderId="62" xfId="3" applyFont="1" applyBorder="1" applyAlignment="1">
      <alignment horizontal="center" vertical="center" wrapText="1"/>
    </xf>
    <xf numFmtId="165" fontId="19" fillId="10" borderId="45" xfId="0" applyNumberFormat="1" applyFont="1" applyFill="1" applyBorder="1" applyAlignment="1">
      <alignment horizontal="center" vertical="center"/>
    </xf>
    <xf numFmtId="0" fontId="19" fillId="10" borderId="49" xfId="0" applyFont="1" applyFill="1" applyBorder="1" applyAlignment="1">
      <alignment horizontal="center" vertical="center"/>
    </xf>
    <xf numFmtId="0" fontId="19" fillId="10" borderId="11" xfId="0" applyFont="1" applyFill="1" applyBorder="1" applyAlignment="1">
      <alignment horizontal="center" vertical="center" wrapText="1"/>
    </xf>
    <xf numFmtId="43" fontId="13" fillId="18" borderId="62" xfId="3" applyFont="1" applyFill="1" applyBorder="1" applyAlignment="1">
      <alignment horizontal="center" vertical="center" wrapText="1"/>
    </xf>
    <xf numFmtId="43" fontId="13" fillId="18" borderId="39" xfId="3" applyFont="1" applyFill="1" applyBorder="1" applyAlignment="1">
      <alignment horizontal="center" vertical="center" wrapText="1"/>
    </xf>
    <xf numFmtId="43" fontId="12" fillId="0" borderId="63" xfId="1" applyFont="1" applyBorder="1" applyAlignment="1">
      <alignment vertical="center"/>
    </xf>
    <xf numFmtId="166" fontId="18" fillId="0" borderId="26" xfId="1" applyNumberFormat="1" applyFont="1" applyBorder="1" applyAlignment="1">
      <alignment horizontal="center" vertical="center"/>
    </xf>
    <xf numFmtId="166" fontId="2" fillId="0" borderId="22" xfId="0" applyNumberFormat="1" applyFont="1" applyBorder="1" applyAlignment="1">
      <alignment vertical="center"/>
    </xf>
    <xf numFmtId="166" fontId="2" fillId="0" borderId="28" xfId="0" applyNumberFormat="1" applyFont="1" applyBorder="1" applyAlignment="1">
      <alignment vertical="center"/>
    </xf>
    <xf numFmtId="166" fontId="2" fillId="0" borderId="24" xfId="0" applyNumberFormat="1" applyFont="1" applyBorder="1" applyAlignment="1">
      <alignment vertical="center"/>
    </xf>
    <xf numFmtId="0" fontId="0" fillId="0" borderId="0" xfId="0" applyAlignment="1">
      <alignment horizontal="right"/>
    </xf>
    <xf numFmtId="0" fontId="0" fillId="11" borderId="4" xfId="0" applyFill="1" applyBorder="1"/>
    <xf numFmtId="164" fontId="0" fillId="11" borderId="37" xfId="0" applyNumberFormat="1" applyFill="1" applyBorder="1"/>
    <xf numFmtId="164" fontId="12" fillId="11" borderId="37" xfId="0" applyNumberFormat="1" applyFont="1" applyFill="1" applyBorder="1" applyAlignment="1">
      <alignment horizontal="center" vertical="center"/>
    </xf>
    <xf numFmtId="0" fontId="12" fillId="11" borderId="37" xfId="0" applyFont="1" applyFill="1" applyBorder="1" applyAlignment="1">
      <alignment horizontal="center" vertical="center"/>
    </xf>
    <xf numFmtId="4" fontId="12" fillId="11" borderId="37" xfId="0" applyNumberFormat="1" applyFont="1" applyFill="1" applyBorder="1" applyAlignment="1">
      <alignment horizontal="center" vertical="center"/>
    </xf>
    <xf numFmtId="0" fontId="12" fillId="11" borderId="38" xfId="0" applyFont="1" applyFill="1" applyBorder="1" applyAlignment="1">
      <alignment horizontal="center" vertical="center"/>
    </xf>
    <xf numFmtId="0" fontId="12" fillId="19" borderId="37" xfId="0" applyFont="1" applyFill="1" applyBorder="1" applyAlignment="1">
      <alignment horizontal="center" vertical="center"/>
    </xf>
    <xf numFmtId="164" fontId="12" fillId="19" borderId="37" xfId="0" applyNumberFormat="1" applyFont="1" applyFill="1" applyBorder="1" applyAlignment="1">
      <alignment vertical="center"/>
    </xf>
    <xf numFmtId="0" fontId="12" fillId="19" borderId="38" xfId="0" applyFont="1" applyFill="1" applyBorder="1" applyAlignment="1">
      <alignment horizontal="center" vertical="center"/>
    </xf>
    <xf numFmtId="43" fontId="43" fillId="0" borderId="11" xfId="1" applyFont="1" applyBorder="1"/>
    <xf numFmtId="43" fontId="12" fillId="19" borderId="37" xfId="0" applyNumberFormat="1" applyFont="1" applyFill="1" applyBorder="1" applyAlignment="1">
      <alignment horizontal="center" vertical="center"/>
    </xf>
    <xf numFmtId="166" fontId="0" fillId="0" borderId="0" xfId="0" applyNumberFormat="1"/>
    <xf numFmtId="2" fontId="6" fillId="0" borderId="0" xfId="1" applyNumberFormat="1" applyFont="1" applyAlignment="1">
      <alignment horizontal="center" vertical="center"/>
    </xf>
    <xf numFmtId="13" fontId="12" fillId="19" borderId="4" xfId="0" applyNumberFormat="1" applyFont="1" applyFill="1" applyBorder="1" applyAlignment="1">
      <alignment horizontal="center" vertical="center"/>
    </xf>
    <xf numFmtId="165" fontId="4" fillId="3" borderId="5" xfId="0" applyNumberFormat="1" applyFont="1" applyFill="1" applyBorder="1" applyAlignment="1">
      <alignment vertical="center"/>
    </xf>
    <xf numFmtId="0" fontId="4" fillId="3" borderId="5" xfId="0" applyFont="1" applyFill="1" applyBorder="1" applyAlignment="1">
      <alignment vertical="center"/>
    </xf>
    <xf numFmtId="43" fontId="4" fillId="3" borderId="5" xfId="1" applyFont="1" applyFill="1" applyBorder="1" applyAlignment="1">
      <alignment vertical="center"/>
    </xf>
    <xf numFmtId="0" fontId="4" fillId="3" borderId="5" xfId="0" applyFont="1" applyFill="1" applyBorder="1" applyAlignment="1">
      <alignment vertical="center" wrapText="1"/>
    </xf>
    <xf numFmtId="164" fontId="0" fillId="0" borderId="0" xfId="0" applyNumberFormat="1"/>
    <xf numFmtId="4" fontId="0" fillId="0" borderId="0" xfId="0" applyNumberFormat="1"/>
    <xf numFmtId="3" fontId="2" fillId="5" borderId="0" xfId="0" applyNumberFormat="1" applyFont="1" applyFill="1"/>
    <xf numFmtId="43" fontId="4" fillId="3" borderId="2" xfId="0" applyNumberFormat="1" applyFont="1" applyFill="1" applyBorder="1"/>
    <xf numFmtId="4" fontId="2" fillId="0" borderId="0" xfId="0" applyNumberFormat="1" applyFont="1"/>
    <xf numFmtId="0" fontId="2" fillId="17" borderId="0" xfId="0" applyFont="1" applyFill="1"/>
    <xf numFmtId="166" fontId="18" fillId="0" borderId="9" xfId="1" applyNumberFormat="1" applyFont="1" applyBorder="1" applyAlignment="1">
      <alignment horizontal="center"/>
    </xf>
    <xf numFmtId="2" fontId="6" fillId="0" borderId="0" xfId="3" applyNumberFormat="1" applyFont="1" applyAlignment="1">
      <alignment horizontal="center" vertical="center"/>
    </xf>
    <xf numFmtId="2" fontId="6" fillId="5" borderId="0" xfId="3" applyNumberFormat="1" applyFont="1" applyFill="1" applyAlignment="1">
      <alignment horizontal="center" vertical="center"/>
    </xf>
    <xf numFmtId="2" fontId="6" fillId="0" borderId="0" xfId="0" applyNumberFormat="1" applyFont="1" applyAlignment="1">
      <alignment horizontal="center" vertical="center" wrapText="1"/>
    </xf>
    <xf numFmtId="2" fontId="10" fillId="6" borderId="0" xfId="3" applyNumberFormat="1" applyFont="1" applyFill="1" applyAlignment="1">
      <alignment horizontal="center" vertical="center"/>
    </xf>
    <xf numFmtId="2" fontId="6" fillId="0" borderId="0" xfId="0" applyNumberFormat="1" applyFont="1" applyAlignment="1">
      <alignment horizontal="center" vertical="center"/>
    </xf>
    <xf numFmtId="17" fontId="9" fillId="10" borderId="54" xfId="0" applyNumberFormat="1" applyFont="1" applyFill="1" applyBorder="1" applyAlignment="1">
      <alignment horizontal="center"/>
    </xf>
    <xf numFmtId="17" fontId="9" fillId="10" borderId="53" xfId="0" applyNumberFormat="1" applyFont="1" applyFill="1" applyBorder="1" applyAlignment="1">
      <alignment horizontal="center"/>
    </xf>
    <xf numFmtId="17" fontId="9" fillId="10" borderId="51" xfId="0" applyNumberFormat="1" applyFont="1" applyFill="1" applyBorder="1" applyAlignment="1">
      <alignment horizontal="center"/>
    </xf>
    <xf numFmtId="17" fontId="36" fillId="0" borderId="51" xfId="0" applyNumberFormat="1" applyFont="1" applyBorder="1" applyAlignment="1">
      <alignment horizontal="center"/>
    </xf>
    <xf numFmtId="17" fontId="36" fillId="0" borderId="52" xfId="0" applyNumberFormat="1" applyFont="1" applyBorder="1" applyAlignment="1">
      <alignment horizontal="center"/>
    </xf>
    <xf numFmtId="17" fontId="36" fillId="0" borderId="53" xfId="0" applyNumberFormat="1" applyFont="1" applyBorder="1" applyAlignment="1">
      <alignment horizontal="center"/>
    </xf>
    <xf numFmtId="166" fontId="2" fillId="0" borderId="4" xfId="0" applyNumberFormat="1" applyFont="1" applyBorder="1" applyAlignment="1">
      <alignment horizontal="center" vertical="center"/>
    </xf>
    <xf numFmtId="166" fontId="2" fillId="0" borderId="37" xfId="0" applyNumberFormat="1" applyFont="1" applyBorder="1" applyAlignment="1">
      <alignment horizontal="center" vertical="center"/>
    </xf>
    <xf numFmtId="166" fontId="2" fillId="0" borderId="38" xfId="0" applyNumberFormat="1" applyFont="1" applyBorder="1" applyAlignment="1">
      <alignment horizontal="center" vertical="center"/>
    </xf>
    <xf numFmtId="166" fontId="18" fillId="10" borderId="45" xfId="1" applyNumberFormat="1" applyFont="1" applyFill="1" applyBorder="1" applyAlignment="1">
      <alignment horizontal="center" vertical="center"/>
    </xf>
    <xf numFmtId="166" fontId="18" fillId="10" borderId="46" xfId="1" applyNumberFormat="1" applyFont="1" applyFill="1" applyBorder="1" applyAlignment="1">
      <alignment horizontal="center" vertical="center"/>
    </xf>
    <xf numFmtId="0" fontId="38" fillId="0" borderId="21" xfId="0" applyFont="1" applyBorder="1" applyAlignment="1">
      <alignment horizontal="center" vertical="center" wrapText="1"/>
    </xf>
    <xf numFmtId="0" fontId="38" fillId="0" borderId="25" xfId="0" applyFont="1" applyBorder="1" applyAlignment="1">
      <alignment horizontal="center" vertical="center" wrapText="1"/>
    </xf>
    <xf numFmtId="0" fontId="38" fillId="0" borderId="22" xfId="0" applyFont="1" applyBorder="1" applyAlignment="1">
      <alignment horizontal="center" vertical="center" wrapText="1"/>
    </xf>
    <xf numFmtId="0" fontId="38" fillId="0" borderId="23" xfId="0" applyFont="1" applyBorder="1" applyAlignment="1">
      <alignment horizontal="center" vertical="center" wrapText="1"/>
    </xf>
    <xf numFmtId="0" fontId="38" fillId="0" borderId="26" xfId="0" applyFont="1" applyBorder="1" applyAlignment="1">
      <alignment horizontal="center" vertical="center" wrapText="1"/>
    </xf>
    <xf numFmtId="0" fontId="38" fillId="0" borderId="24" xfId="0" applyFont="1" applyBorder="1" applyAlignment="1">
      <alignment horizontal="center" vertical="center" wrapText="1"/>
    </xf>
    <xf numFmtId="0" fontId="2" fillId="10" borderId="45" xfId="0" applyFont="1" applyFill="1" applyBorder="1" applyAlignment="1">
      <alignment horizontal="center" vertical="center"/>
    </xf>
    <xf numFmtId="0" fontId="2" fillId="10" borderId="49" xfId="0" applyFont="1" applyFill="1" applyBorder="1" applyAlignment="1">
      <alignment horizontal="center" vertical="center"/>
    </xf>
    <xf numFmtId="0" fontId="2" fillId="10" borderId="11" xfId="0" applyFont="1" applyFill="1" applyBorder="1" applyAlignment="1">
      <alignment horizontal="center" vertical="center"/>
    </xf>
    <xf numFmtId="165" fontId="2" fillId="0" borderId="21" xfId="0" applyNumberFormat="1" applyFont="1" applyBorder="1" applyAlignment="1">
      <alignment horizontal="center" vertical="center"/>
    </xf>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2" fillId="0" borderId="24" xfId="0" applyNumberFormat="1" applyFont="1" applyBorder="1" applyAlignment="1">
      <alignment horizontal="center" vertical="center"/>
    </xf>
    <xf numFmtId="14" fontId="2" fillId="0" borderId="21" xfId="0" applyNumberFormat="1" applyFont="1" applyBorder="1" applyAlignment="1">
      <alignment horizontal="center" vertical="center"/>
    </xf>
    <xf numFmtId="14" fontId="2" fillId="0" borderId="22" xfId="0" applyNumberFormat="1" applyFont="1" applyBorder="1" applyAlignment="1">
      <alignment horizontal="center" vertical="center"/>
    </xf>
    <xf numFmtId="14" fontId="2" fillId="0" borderId="23" xfId="0" applyNumberFormat="1" applyFont="1" applyBorder="1" applyAlignment="1">
      <alignment horizontal="center" vertical="center"/>
    </xf>
    <xf numFmtId="14" fontId="2" fillId="0" borderId="24" xfId="0" applyNumberFormat="1" applyFont="1" applyBorder="1" applyAlignment="1">
      <alignment horizontal="center" vertical="center"/>
    </xf>
    <xf numFmtId="169" fontId="29" fillId="0" borderId="5" xfId="4" applyNumberFormat="1" applyFont="1" applyBorder="1" applyAlignment="1">
      <alignment horizontal="center" vertical="center" wrapText="1"/>
    </xf>
    <xf numFmtId="43" fontId="12" fillId="5" borderId="60" xfId="3" applyFont="1" applyFill="1" applyBorder="1" applyAlignment="1">
      <alignment vertical="center"/>
    </xf>
    <xf numFmtId="43" fontId="12" fillId="5" borderId="48" xfId="3" applyFont="1" applyFill="1" applyBorder="1" applyAlignment="1">
      <alignment vertical="center"/>
    </xf>
    <xf numFmtId="43" fontId="12" fillId="0" borderId="5" xfId="3" applyFont="1" applyBorder="1" applyAlignment="1">
      <alignment vertical="center"/>
    </xf>
    <xf numFmtId="0" fontId="12" fillId="16" borderId="21" xfId="0" applyFont="1" applyFill="1" applyBorder="1" applyAlignment="1">
      <alignment horizontal="center" vertical="center"/>
    </xf>
    <xf numFmtId="0" fontId="12" fillId="16" borderId="25" xfId="0" applyFont="1" applyFill="1" applyBorder="1" applyAlignment="1">
      <alignment horizontal="center" vertical="center"/>
    </xf>
    <xf numFmtId="0" fontId="12" fillId="16" borderId="22" xfId="0" applyFont="1" applyFill="1" applyBorder="1" applyAlignment="1">
      <alignment horizontal="center" vertical="center"/>
    </xf>
    <xf numFmtId="0" fontId="12" fillId="17" borderId="21" xfId="0" applyFont="1" applyFill="1" applyBorder="1" applyAlignment="1">
      <alignment horizontal="center" vertical="center"/>
    </xf>
    <xf numFmtId="0" fontId="12" fillId="17" borderId="25" xfId="0" applyFont="1" applyFill="1" applyBorder="1" applyAlignment="1">
      <alignment horizontal="center" vertical="center"/>
    </xf>
    <xf numFmtId="0" fontId="12" fillId="17" borderId="22" xfId="0" applyFont="1" applyFill="1" applyBorder="1" applyAlignment="1">
      <alignment horizontal="center" vertical="center"/>
    </xf>
    <xf numFmtId="14" fontId="25" fillId="0" borderId="0" xfId="3" applyNumberFormat="1" applyFont="1" applyAlignment="1">
      <alignment horizontal="center" vertical="center"/>
    </xf>
    <xf numFmtId="14" fontId="25" fillId="0" borderId="14" xfId="3" applyNumberFormat="1" applyFont="1" applyBorder="1" applyAlignment="1">
      <alignment horizontal="center" vertical="center"/>
    </xf>
  </cellXfs>
  <cellStyles count="15">
    <cellStyle name="Accent1 2" xfId="7" xr:uid="{D5E04C89-B4C3-44CA-8AEF-FAFE2637907B}"/>
    <cellStyle name="Accent3 2" xfId="8" xr:uid="{6FA5C19D-0A30-41E6-B6DB-9CE0BA96CD4F}"/>
    <cellStyle name="Comma" xfId="1" builtinId="3"/>
    <cellStyle name="Comma 2" xfId="3" xr:uid="{2449B823-F8EB-4811-96E4-16989458C44B}"/>
    <cellStyle name="Comma 2 2" xfId="4" xr:uid="{A87389C4-C11E-4142-8936-EEABAD7E3F47}"/>
    <cellStyle name="Comma 2 2 2" xfId="13" xr:uid="{AF7B9AD3-9EB6-43F3-B390-9D1D67663E2A}"/>
    <cellStyle name="Comma 2 3" xfId="12" xr:uid="{D07089EE-D210-4D4B-9579-962426252DE2}"/>
    <cellStyle name="Comma 3" xfId="9" xr:uid="{DB233253-1C2F-4D3C-A001-E6E3B0503C6F}"/>
    <cellStyle name="Comma 3 2" xfId="14" xr:uid="{3CB0753C-18A0-4126-8AAF-FFCD8093FA82}"/>
    <cellStyle name="Comma 4" xfId="11" xr:uid="{13D2CA61-3EE4-46FB-9640-88616F0DCD96}"/>
    <cellStyle name="Heading 1 2" xfId="10" xr:uid="{3635F06D-1F7A-4F08-BB5B-A669E4FE93A8}"/>
    <cellStyle name="Percent" xfId="6" builtinId="5"/>
    <cellStyle name="Percent 2" xfId="5" xr:uid="{194CDB95-3BC0-4CD9-99E6-C25393DCC940}"/>
    <cellStyle name="تمييز5" xfId="2" builtinId="45"/>
    <cellStyle name="عادي" xfId="0" builtinId="0"/>
  </cellStyles>
  <dxfs count="308">
    <dxf>
      <font>
        <color rgb="FF9C0006"/>
      </font>
      <fill>
        <patternFill>
          <bgColor rgb="FFFFC7CE"/>
        </patternFill>
      </fill>
    </dxf>
    <dxf>
      <font>
        <color rgb="FF9C0006"/>
      </font>
      <fill>
        <patternFill>
          <bgColor rgb="FFFFC7CE"/>
        </patternFill>
      </fill>
    </dxf>
    <dxf>
      <fill>
        <patternFill patternType="solid">
          <fgColor indexed="51"/>
          <bgColor indexed="50"/>
        </patternFill>
      </fill>
    </dxf>
    <dxf>
      <fill>
        <patternFill patternType="solid">
          <fgColor indexed="52"/>
          <bgColor indexed="5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scheme val="minor"/>
      </font>
      <numFmt numFmtId="19" formatCode="m/d/yy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dxf>
    <dxf>
      <border outline="0">
        <bottom style="thin">
          <color rgb="FF000000"/>
        </bottom>
      </border>
    </dxf>
    <dxf>
      <font>
        <strike val="0"/>
        <outline val="0"/>
        <shadow val="0"/>
        <u val="none"/>
        <vertAlign val="baseline"/>
        <color auto="1"/>
        <name val="Calibri"/>
        <scheme val="minor"/>
      </font>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right/>
        <top style="thin">
          <color theme="1"/>
        </top>
        <bottom style="thin">
          <color theme="1"/>
        </bottom>
        <vertical/>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right/>
        <top style="thin">
          <color theme="1"/>
        </top>
        <bottom style="thin">
          <color theme="1"/>
        </bottom>
        <vertical/>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right/>
        <top style="thin">
          <color theme="1"/>
        </top>
        <bottom style="thin">
          <color theme="1"/>
        </bottom>
        <vertical/>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right/>
        <top style="thin">
          <color theme="1"/>
        </top>
        <bottom style="thin">
          <color theme="1"/>
        </bottom>
        <vertical/>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right/>
        <top style="thin">
          <color theme="1"/>
        </top>
        <bottom style="thin">
          <color theme="1"/>
        </bottom>
        <vertical/>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right/>
        <top style="thin">
          <color theme="1"/>
        </top>
        <bottom style="thin">
          <color theme="1"/>
        </bottom>
        <vertical/>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right/>
        <top style="thin">
          <color theme="1"/>
        </top>
        <bottom style="thin">
          <color theme="1"/>
        </bottom>
        <vertical/>
        <horizontal/>
      </border>
    </dxf>
    <dxf>
      <font>
        <b/>
        <i val="0"/>
        <strike val="0"/>
        <condense val="0"/>
        <extend val="0"/>
        <outline val="0"/>
        <shadow val="0"/>
        <u val="none"/>
        <vertAlign val="baseline"/>
        <sz val="11"/>
        <color theme="1"/>
        <name val="Times New Roman"/>
        <family val="1"/>
        <scheme val="none"/>
      </font>
      <numFmt numFmtId="0" formatCode="General"/>
      <fill>
        <patternFill patternType="solid">
          <fgColor theme="0" tint="-0.14999847407452621"/>
          <bgColor theme="0" tint="-0.14999847407452621"/>
        </patternFill>
      </fill>
      <border diagonalUp="0" diagonalDown="0">
        <left/>
        <right/>
        <top style="thin">
          <color theme="1"/>
        </top>
        <bottom style="thin">
          <color theme="1"/>
        </bottom>
        <vertical/>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right/>
        <top style="thin">
          <color theme="1"/>
        </top>
        <bottom style="thin">
          <color theme="1"/>
        </bottom>
        <vertical/>
        <horizontal/>
      </border>
    </dxf>
    <dxf>
      <font>
        <b/>
        <i val="0"/>
        <strike val="0"/>
        <condense val="0"/>
        <extend val="0"/>
        <outline val="0"/>
        <shadow val="0"/>
        <u val="none"/>
        <vertAlign val="baseline"/>
        <sz val="11"/>
        <color theme="1"/>
        <name val="Times New Roman"/>
        <family val="1"/>
        <scheme val="none"/>
      </font>
      <numFmt numFmtId="0" formatCode="General"/>
      <fill>
        <patternFill patternType="solid">
          <fgColor theme="0" tint="-0.14999847407452621"/>
          <bgColor theme="0" tint="-0.14999847407452621"/>
        </patternFill>
      </fill>
      <border diagonalUp="0" diagonalDown="0">
        <left/>
        <right/>
        <top style="thin">
          <color theme="1"/>
        </top>
        <bottom style="thin">
          <color theme="1"/>
        </bottom>
        <vertical/>
        <horizontal/>
      </border>
    </dxf>
    <dxf>
      <font>
        <b/>
        <i val="0"/>
        <strike val="0"/>
        <condense val="0"/>
        <extend val="0"/>
        <outline val="0"/>
        <shadow val="0"/>
        <u val="none"/>
        <vertAlign val="baseline"/>
        <sz val="11"/>
        <color theme="1"/>
        <name val="Times New Roman"/>
        <family val="1"/>
        <scheme val="none"/>
      </font>
      <numFmt numFmtId="165" formatCode="yyyy\-mm\-dd;@"/>
      <fill>
        <patternFill patternType="solid">
          <fgColor theme="0" tint="-0.14999847407452621"/>
          <bgColor theme="0" tint="-0.14999847407452621"/>
        </patternFill>
      </fill>
      <border diagonalUp="0" diagonalDown="0">
        <left style="thin">
          <color theme="1"/>
        </left>
        <right/>
        <top style="thin">
          <color theme="1"/>
        </top>
        <bottom style="thin">
          <color theme="1"/>
        </bottom>
        <vertical/>
        <horizontal/>
      </border>
    </dxf>
    <dxf>
      <border outline="0">
        <left style="thin">
          <color rgb="FF000000"/>
        </left>
      </border>
    </dxf>
    <dxf>
      <font>
        <b/>
        <i val="0"/>
        <strike val="0"/>
        <condense val="0"/>
        <extend val="0"/>
        <outline val="0"/>
        <shadow val="0"/>
        <u val="none"/>
        <vertAlign val="baseline"/>
        <sz val="11"/>
        <color rgb="FF000000"/>
        <name val="Times New Roman"/>
        <family val="1"/>
        <scheme val="none"/>
      </font>
      <fill>
        <patternFill patternType="solid">
          <fgColor rgb="FFD9D9D9"/>
          <bgColor rgb="FFD9D9D9"/>
        </patternFill>
      </fill>
    </dxf>
    <dxf>
      <font>
        <b/>
        <i val="0"/>
        <strike val="0"/>
        <condense val="0"/>
        <extend val="0"/>
        <outline val="0"/>
        <shadow val="0"/>
        <u val="none"/>
        <vertAlign val="baseline"/>
        <sz val="11"/>
        <color theme="0"/>
        <name val="Times New Roman"/>
        <family val="1"/>
        <scheme val="none"/>
      </font>
      <fill>
        <patternFill patternType="solid">
          <fgColor theme="1"/>
          <bgColor theme="1"/>
        </patternFill>
      </fill>
      <alignment horizontal="center" vertical="center" textRotation="0" wrapText="1" indent="0" justifyLastLine="0" shrinkToFit="0" readingOrder="0"/>
    </dxf>
    <dxf>
      <alignment wrapText="1"/>
    </dxf>
    <dxf>
      <alignment wrapText="1"/>
    </dxf>
    <dxf>
      <alignment wrapText="1"/>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wrapText="0" indent="0" justifyLastLine="0" shrinkToFit="0" readingOrder="0"/>
    </dxf>
    <dxf>
      <font>
        <b/>
        <i val="0"/>
        <strike val="0"/>
        <condense val="0"/>
        <extend val="0"/>
        <outline val="0"/>
        <shadow val="0"/>
        <u val="none"/>
        <vertAlign val="baseline"/>
        <sz val="18"/>
        <color theme="1"/>
        <name val="Times New Roman"/>
        <family val="1"/>
        <scheme val="none"/>
      </font>
      <numFmt numFmtId="0" formatCode="General"/>
      <alignment horizontal="center" vertical="center" textRotation="0" wrapText="1" indent="0" justifyLastLine="0" shrinkToFit="0" readingOrder="0"/>
    </dxf>
    <dxf>
      <font>
        <b/>
        <strike val="0"/>
        <outline val="0"/>
        <shadow val="0"/>
        <u val="none"/>
        <vertAlign val="baseline"/>
        <sz val="18"/>
        <name val="Times New Roman"/>
        <family val="1"/>
        <scheme val="none"/>
      </font>
      <alignment horizontal="center" vertical="center" textRotation="0" wrapText="1"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border>
        <bottom style="thin">
          <color rgb="FF000000"/>
        </bottom>
      </border>
    </dxf>
    <dxf>
      <font>
        <b/>
        <i val="0"/>
        <strike val="0"/>
        <condense val="0"/>
        <extend val="0"/>
        <outline val="0"/>
        <shadow val="0"/>
        <u val="none"/>
        <vertAlign val="baseline"/>
        <sz val="22"/>
        <color indexed="8"/>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wrapText="0" indent="0" justifyLastLine="0" shrinkToFit="0" readingOrder="0"/>
    </dxf>
    <dxf>
      <font>
        <b/>
        <i val="0"/>
        <strike val="0"/>
        <condense val="0"/>
        <extend val="0"/>
        <outline val="0"/>
        <shadow val="0"/>
        <u val="none"/>
        <vertAlign val="baseline"/>
        <sz val="18"/>
        <color theme="1"/>
        <name val="Times New Roman"/>
        <family val="1"/>
        <scheme val="none"/>
      </font>
      <numFmt numFmtId="0" formatCode="General"/>
      <alignment horizontal="center" vertical="center" textRotation="0" wrapText="1" indent="0" justifyLastLine="0" shrinkToFit="0" readingOrder="0"/>
    </dxf>
    <dxf>
      <font>
        <b/>
        <strike val="0"/>
        <outline val="0"/>
        <shadow val="0"/>
        <u val="none"/>
        <vertAlign val="baseline"/>
        <sz val="18"/>
        <name val="Times New Roman"/>
        <family val="1"/>
        <scheme val="none"/>
      </font>
      <alignment horizontal="center" vertical="center" textRotation="0" wrapText="1"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border>
        <bottom style="thin">
          <color rgb="FF000000"/>
        </bottom>
      </border>
    </dxf>
    <dxf>
      <font>
        <b/>
        <i val="0"/>
        <strike val="0"/>
        <condense val="0"/>
        <extend val="0"/>
        <outline val="0"/>
        <shadow val="0"/>
        <u val="none"/>
        <vertAlign val="baseline"/>
        <sz val="22"/>
        <color indexed="8"/>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wrapText="0" indent="0" justifyLastLine="0" shrinkToFit="0" readingOrder="0"/>
    </dxf>
    <dxf>
      <font>
        <b/>
        <i val="0"/>
        <strike val="0"/>
        <condense val="0"/>
        <extend val="0"/>
        <outline val="0"/>
        <shadow val="0"/>
        <u val="none"/>
        <vertAlign val="baseline"/>
        <sz val="18"/>
        <color theme="1"/>
        <name val="Times New Roman"/>
        <family val="1"/>
        <scheme val="none"/>
      </font>
      <numFmt numFmtId="0" formatCode="General"/>
      <alignment horizontal="center" vertical="center" textRotation="0" wrapText="1" indent="0" justifyLastLine="0" shrinkToFit="0" readingOrder="0"/>
    </dxf>
    <dxf>
      <font>
        <b/>
        <strike val="0"/>
        <outline val="0"/>
        <shadow val="0"/>
        <u val="none"/>
        <vertAlign val="baseline"/>
        <sz val="18"/>
        <name val="Times New Roman"/>
        <family val="1"/>
        <scheme val="none"/>
      </font>
      <alignment horizontal="center" vertical="center" textRotation="0" wrapText="1"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border>
        <bottom style="thin">
          <color rgb="FF000000"/>
        </bottom>
      </border>
    </dxf>
    <dxf>
      <font>
        <b/>
        <i val="0"/>
        <strike val="0"/>
        <condense val="0"/>
        <extend val="0"/>
        <outline val="0"/>
        <shadow val="0"/>
        <u val="none"/>
        <vertAlign val="baseline"/>
        <sz val="22"/>
        <color indexed="8"/>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wrapText="0" indent="0" justifyLastLine="0" shrinkToFit="0" readingOrder="0"/>
    </dxf>
    <dxf>
      <font>
        <b/>
        <i val="0"/>
        <strike val="0"/>
        <condense val="0"/>
        <extend val="0"/>
        <outline val="0"/>
        <shadow val="0"/>
        <u val="none"/>
        <vertAlign val="baseline"/>
        <sz val="18"/>
        <color theme="1"/>
        <name val="Times New Roman"/>
        <family val="1"/>
        <scheme val="none"/>
      </font>
      <numFmt numFmtId="0" formatCode="General"/>
      <alignment horizontal="center" vertical="center" textRotation="0" wrapText="1" indent="0" justifyLastLine="0" shrinkToFit="0" readingOrder="0"/>
    </dxf>
    <dxf>
      <font>
        <b/>
        <strike val="0"/>
        <outline val="0"/>
        <shadow val="0"/>
        <u val="none"/>
        <vertAlign val="baseline"/>
        <sz val="18"/>
        <name val="Times New Roman"/>
        <family val="1"/>
        <scheme val="none"/>
      </font>
      <alignment horizontal="center" vertical="center" textRotation="0" wrapText="1"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border>
        <bottom style="thin">
          <color rgb="FF000000"/>
        </bottom>
      </border>
    </dxf>
    <dxf>
      <font>
        <b/>
        <i val="0"/>
        <strike val="0"/>
        <condense val="0"/>
        <extend val="0"/>
        <outline val="0"/>
        <shadow val="0"/>
        <u val="none"/>
        <vertAlign val="baseline"/>
        <sz val="22"/>
        <color indexed="8"/>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000000"/>
        <name val="Times New Roman"/>
        <family val="1"/>
        <scheme val="none"/>
      </font>
      <fill>
        <patternFill patternType="solid">
          <fgColor rgb="FFD9D9D9"/>
          <bgColor rgb="FFD9D9D9"/>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000000"/>
        <name val="Times New Roman"/>
        <family val="1"/>
        <scheme val="none"/>
      </font>
      <fill>
        <patternFill patternType="solid">
          <fgColor rgb="FFD9D9D9"/>
          <bgColor rgb="FFD9D9D9"/>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Times New Roman"/>
        <family val="1"/>
        <scheme val="none"/>
      </font>
      <numFmt numFmtId="35" formatCode="_(* #,##0.00_);_(* \(#,##0.00\);_(* &quot;-&quot;??_);_(@_)"/>
      <fill>
        <patternFill patternType="solid">
          <fgColor theme="0" tint="-0.14999847407452621"/>
          <bgColor theme="0" tint="-0.14999847407452621"/>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Times New Roman"/>
        <family val="1"/>
        <scheme val="none"/>
      </font>
      <numFmt numFmtId="0" formatCode="General"/>
      <fill>
        <patternFill patternType="solid">
          <fgColor theme="0" tint="-0.14999847407452621"/>
          <bgColor theme="0" tint="-0.14999847407452621"/>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Times New Roman"/>
        <family val="1"/>
        <scheme val="none"/>
      </font>
      <numFmt numFmtId="0" formatCode="General"/>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Times New Roman"/>
        <family val="1"/>
        <scheme val="none"/>
      </font>
      <numFmt numFmtId="0" formatCode="General"/>
      <fill>
        <patternFill patternType="solid">
          <fgColor theme="0" tint="-0.14999847407452621"/>
          <bgColor theme="0" tint="-0.14999847407452621"/>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Times New Roman"/>
        <family val="1"/>
        <scheme val="none"/>
      </font>
      <numFmt numFmtId="0" formatCode="General"/>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Times New Roman"/>
        <family val="1"/>
        <scheme val="none"/>
      </font>
      <numFmt numFmtId="165" formatCode="yyyy\-mm\-dd;@"/>
      <fill>
        <patternFill patternType="solid">
          <fgColor theme="0" tint="-0.14999847407452621"/>
          <bgColor theme="0" tint="-0.14999847407452621"/>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Times New Roman"/>
        <family val="1"/>
        <scheme val="none"/>
      </font>
      <numFmt numFmtId="165" formatCode="yyyy\-mm\-dd;@"/>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rgb="FF000000"/>
        </left>
      </border>
    </dxf>
    <dxf>
      <font>
        <b/>
        <i val="0"/>
        <strike val="0"/>
        <condense val="0"/>
        <extend val="0"/>
        <outline val="0"/>
        <shadow val="0"/>
        <u val="none"/>
        <vertAlign val="baseline"/>
        <sz val="11"/>
        <color rgb="FF000000"/>
        <name val="Times New Roman"/>
        <family val="1"/>
        <scheme val="none"/>
      </font>
      <fill>
        <patternFill patternType="solid">
          <fgColor rgb="FFD9D9D9"/>
          <bgColor rgb="FFD9D9D9"/>
        </patternFill>
      </fill>
    </dxf>
    <dxf>
      <font>
        <b/>
        <i val="0"/>
        <strike val="0"/>
        <condense val="0"/>
        <extend val="0"/>
        <outline val="0"/>
        <shadow val="0"/>
        <u val="none"/>
        <vertAlign val="baseline"/>
        <sz val="11"/>
        <color theme="0"/>
        <name val="Times New Roman"/>
        <family val="1"/>
        <scheme val="none"/>
      </font>
      <fill>
        <patternFill patternType="solid">
          <fgColor theme="1"/>
          <bgColor theme="1"/>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dxf>
    <dxf>
      <font>
        <b/>
      </font>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outline="0">
        <left/>
        <right/>
        <top style="thin">
          <color theme="1"/>
        </top>
        <bottom style="thin">
          <color theme="1"/>
        </bottom>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outline="0">
        <left/>
        <right/>
        <top style="thin">
          <color theme="1"/>
        </top>
        <bottom style="thin">
          <color theme="1"/>
        </bottom>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border diagonalUp="0" diagonalDown="0" outline="0">
        <left/>
        <right/>
        <top style="thin">
          <color theme="1"/>
        </top>
        <bottom style="thin">
          <color theme="1"/>
        </bottom>
      </border>
    </dxf>
    <dxf>
      <font>
        <b/>
        <i val="0"/>
        <strike val="0"/>
        <condense val="0"/>
        <extend val="0"/>
        <outline val="0"/>
        <shadow val="0"/>
        <u val="none"/>
        <vertAlign val="baseline"/>
        <sz val="11"/>
        <color theme="1"/>
        <name val="Times New Roman"/>
        <family val="1"/>
        <scheme val="none"/>
      </font>
      <numFmt numFmtId="0" formatCode="General"/>
      <fill>
        <patternFill patternType="solid">
          <fgColor theme="0" tint="-0.14999847407452621"/>
          <bgColor theme="0" tint="-0.14999847407452621"/>
        </patternFill>
      </fill>
      <border diagonalUp="0" diagonalDown="0">
        <left/>
        <right/>
        <top style="thin">
          <color theme="1"/>
        </top>
        <bottom style="thin">
          <color theme="1"/>
        </bottom>
      </border>
    </dxf>
    <dxf>
      <font>
        <b/>
        <i val="0"/>
        <strike val="0"/>
        <condense val="0"/>
        <extend val="0"/>
        <outline val="0"/>
        <shadow val="0"/>
        <u val="none"/>
        <vertAlign val="baseline"/>
        <sz val="11"/>
        <color theme="1"/>
        <name val="Times New Roman"/>
        <family val="1"/>
        <scheme val="none"/>
      </font>
      <numFmt numFmtId="0" formatCode="General"/>
      <fill>
        <patternFill patternType="solid">
          <fgColor theme="0" tint="-0.14999847407452621"/>
          <bgColor theme="0" tint="-0.14999847407452621"/>
        </patternFill>
      </fill>
      <border diagonalUp="0" diagonalDown="0">
        <left/>
        <right/>
        <top style="thin">
          <color theme="1"/>
        </top>
        <bottom style="thin">
          <color theme="1"/>
        </bottom>
      </border>
    </dxf>
    <dxf>
      <font>
        <b/>
        <i val="0"/>
        <strike val="0"/>
        <condense val="0"/>
        <extend val="0"/>
        <outline val="0"/>
        <shadow val="0"/>
        <u val="none"/>
        <vertAlign val="baseline"/>
        <sz val="11"/>
        <color theme="1"/>
        <name val="Times New Roman"/>
        <family val="1"/>
        <scheme val="none"/>
      </font>
      <numFmt numFmtId="0" formatCode="General"/>
      <fill>
        <patternFill patternType="solid">
          <fgColor theme="0" tint="-0.14999847407452621"/>
          <bgColor theme="0" tint="-0.14999847407452621"/>
        </patternFill>
      </fill>
      <border diagonalUp="0" diagonalDown="0">
        <left/>
        <right/>
        <top style="thin">
          <color theme="1"/>
        </top>
        <bottom style="thin">
          <color theme="1"/>
        </bottom>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outline="0">
        <left/>
        <right/>
        <top style="thin">
          <color theme="1"/>
        </top>
        <bottom style="thin">
          <color theme="1"/>
        </bottom>
      </border>
    </dxf>
    <dxf>
      <font>
        <b/>
        <i val="0"/>
        <strike val="0"/>
        <condense val="0"/>
        <extend val="0"/>
        <outline val="0"/>
        <shadow val="0"/>
        <u val="none"/>
        <vertAlign val="baseline"/>
        <sz val="11"/>
        <color theme="1"/>
        <name val="Times New Roman"/>
        <family val="1"/>
        <scheme val="none"/>
      </font>
      <numFmt numFmtId="0" formatCode="General"/>
      <fill>
        <patternFill patternType="solid">
          <fgColor theme="0" tint="-0.14999847407452621"/>
          <bgColor theme="0" tint="-0.14999847407452621"/>
        </patternFill>
      </fill>
      <border diagonalUp="0" diagonalDown="0">
        <left/>
        <right/>
        <top style="thin">
          <color theme="1"/>
        </top>
        <bottom style="thin">
          <color theme="1"/>
        </bottom>
      </border>
    </dxf>
    <dxf>
      <font>
        <b/>
        <i val="0"/>
        <strike val="0"/>
        <condense val="0"/>
        <extend val="0"/>
        <outline val="0"/>
        <shadow val="0"/>
        <u val="none"/>
        <vertAlign val="baseline"/>
        <sz val="11"/>
        <color theme="1"/>
        <name val="Times New Roman"/>
        <family val="1"/>
        <scheme val="none"/>
      </font>
      <numFmt numFmtId="165" formatCode="yyyy\-mm\-dd;@"/>
      <fill>
        <patternFill patternType="solid">
          <fgColor theme="0" tint="-0.14999847407452621"/>
          <bgColor theme="0" tint="-0.14999847407452621"/>
        </patternFill>
      </fill>
      <border diagonalUp="0" diagonalDown="0" outline="0">
        <left style="thin">
          <color theme="1"/>
        </left>
        <right/>
        <top style="thin">
          <color theme="1"/>
        </top>
        <bottom style="thin">
          <color theme="1"/>
        </bottom>
      </border>
    </dxf>
    <dxf>
      <border outline="0">
        <left style="thin">
          <color theme="1"/>
        </left>
      </border>
    </dxf>
    <dxf>
      <font>
        <b/>
        <i val="0"/>
        <strike val="0"/>
        <condense val="0"/>
        <extend val="0"/>
        <outline val="0"/>
        <shadow val="0"/>
        <u val="none"/>
        <vertAlign val="baseline"/>
        <sz val="11"/>
        <color theme="1"/>
        <name val="Times New Roman"/>
        <family val="1"/>
        <scheme val="none"/>
      </font>
      <fill>
        <patternFill patternType="solid">
          <fgColor theme="0" tint="-0.14999847407452621"/>
          <bgColor theme="0" tint="-0.14999847407452621"/>
        </patternFill>
      </fill>
    </dxf>
    <dxf>
      <font>
        <b/>
        <i val="0"/>
        <strike val="0"/>
        <condense val="0"/>
        <extend val="0"/>
        <outline val="0"/>
        <shadow val="0"/>
        <u val="none"/>
        <vertAlign val="baseline"/>
        <sz val="11"/>
        <color theme="0"/>
        <name val="Times New Roman"/>
        <family val="1"/>
        <scheme val="none"/>
      </font>
      <fill>
        <patternFill patternType="solid">
          <fgColor theme="1"/>
          <bgColor theme="1"/>
        </patternFill>
      </fill>
      <alignment horizontal="center" vertical="center" textRotation="0" wrapText="0" indent="0" justifyLastLine="0" shrinkToFit="0" readingOrder="0"/>
    </dxf>
    <dxf>
      <fill>
        <patternFill patternType="solid">
          <bgColor rgb="FFFFFF00"/>
        </patternFill>
      </fill>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right"/>
    </dxf>
    <dxf>
      <font>
        <b/>
        <i val="0"/>
        <strike val="0"/>
        <condense val="0"/>
        <extend val="0"/>
        <outline val="0"/>
        <shadow val="0"/>
        <u val="none"/>
        <vertAlign val="baseline"/>
        <sz val="18"/>
        <color theme="1"/>
        <name val="Times New Roman"/>
        <family val="1"/>
        <scheme val="none"/>
      </font>
      <alignment horizontal="center" vertical="center" textRotation="0" wrapText="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wrapText="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wrapText="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wrapText="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wrapText="1" indent="0" justifyLastLine="0" shrinkToFit="0" readingOrder="0"/>
    </dxf>
    <dxf>
      <font>
        <b/>
        <i val="0"/>
        <strike val="0"/>
        <condense val="0"/>
        <extend val="0"/>
        <outline val="0"/>
        <shadow val="0"/>
        <u val="none"/>
        <vertAlign val="baseline"/>
        <sz val="18"/>
        <color theme="1"/>
        <name val="Times New Roman"/>
        <family val="1"/>
        <scheme val="none"/>
      </font>
      <numFmt numFmtId="0" formatCode="General"/>
      <alignment horizontal="center" vertical="center" textRotation="0" wrapText="1"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wrapText="1" indent="0" justifyLastLine="0" shrinkToFit="0" readingOrder="0"/>
    </dxf>
    <dxf>
      <font>
        <b/>
        <strike val="0"/>
        <outline val="0"/>
        <shadow val="0"/>
        <u val="none"/>
        <vertAlign val="baseline"/>
        <sz val="18"/>
        <name val="Times New Roman"/>
        <family val="1"/>
        <scheme val="none"/>
      </font>
      <alignment horizontal="center" vertical="center" textRotation="0" wrapText="1"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wrapText="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wrapText="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wrapText="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numFmt numFmtId="2" formatCode="0.00"/>
      <alignment horizontal="center" vertical="center" textRotation="0" wrapText="0" indent="0" justifyLastLine="0" shrinkToFit="0" readingOrder="0"/>
    </dxf>
    <dxf>
      <font>
        <b/>
        <strike val="0"/>
        <outline val="0"/>
        <shadow val="0"/>
        <u val="none"/>
        <vertAlign val="baseline"/>
        <sz val="18"/>
        <name val="Times New Roman"/>
        <family val="1"/>
        <scheme val="none"/>
      </font>
      <numFmt numFmtId="2" formatCode="0.00"/>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numFmt numFmtId="2" formatCode="0.00"/>
      <alignment horizontal="center" vertical="center" textRotation="0" wrapText="0" indent="0" justifyLastLine="0" shrinkToFit="0" readingOrder="0"/>
    </dxf>
    <dxf>
      <font>
        <b/>
        <strike val="0"/>
        <outline val="0"/>
        <shadow val="0"/>
        <u val="none"/>
        <vertAlign val="baseline"/>
        <sz val="18"/>
        <name val="Times New Roman"/>
        <family val="1"/>
        <scheme val="none"/>
      </font>
      <numFmt numFmtId="2" formatCode="0.00"/>
      <alignment horizontal="center" vertical="center" textRotation="0" indent="0" justifyLastLine="0" shrinkToFit="0" readingOrder="0"/>
    </dxf>
    <dxf>
      <font>
        <b/>
        <i val="0"/>
        <strike val="0"/>
        <condense val="0"/>
        <extend val="0"/>
        <outline val="0"/>
        <shadow val="0"/>
        <u val="none"/>
        <vertAlign val="baseline"/>
        <sz val="18"/>
        <color theme="1"/>
        <name val="Times New Roman"/>
        <family val="1"/>
        <scheme val="none"/>
      </font>
      <numFmt numFmtId="35" formatCode="_(* #,##0.00_);_(* \(#,##0.00\);_(* &quot;-&quot;??_);_(@_)"/>
      <alignment horizontal="center" vertical="center" textRotation="0" wrapText="0" indent="0" justifyLastLine="0" shrinkToFit="0" readingOrder="0"/>
    </dxf>
    <dxf>
      <font>
        <b/>
        <i val="0"/>
        <strike val="0"/>
        <condense val="0"/>
        <extend val="0"/>
        <outline val="0"/>
        <shadow val="0"/>
        <u val="none"/>
        <vertAlign val="baseline"/>
        <sz val="18"/>
        <color theme="1"/>
        <name val="Times New Roman"/>
        <family val="1"/>
        <scheme val="none"/>
      </font>
      <alignment horizontal="center" vertical="center" textRotation="0" indent="0" justifyLastLine="0" shrinkToFit="0" readingOrder="0"/>
    </dxf>
    <dxf>
      <font>
        <b/>
        <strike val="0"/>
        <outline val="0"/>
        <shadow val="0"/>
        <u val="none"/>
        <vertAlign val="baseline"/>
        <sz val="18"/>
        <name val="Times New Roman"/>
        <family val="1"/>
        <scheme val="none"/>
      </font>
      <alignment horizontal="center" vertical="center" textRotation="0" indent="0" justifyLastLine="0" shrinkToFit="0" readingOrder="0"/>
    </dxf>
    <dxf>
      <border>
        <bottom style="thin">
          <color indexed="64"/>
        </bottom>
      </border>
    </dxf>
    <dxf>
      <font>
        <b/>
        <i val="0"/>
        <strike val="0"/>
        <condense val="0"/>
        <extend val="0"/>
        <outline val="0"/>
        <shadow val="0"/>
        <u val="none"/>
        <vertAlign val="baseline"/>
        <sz val="22"/>
        <color indexed="8"/>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Times New Roman"/>
        <family val="1"/>
        <scheme val="none"/>
      </font>
      <alignment horizontal="general" vertical="center" textRotation="0" wrapText="0" indent="0" justifyLastLine="0" shrinkToFit="0" readingOrder="0"/>
    </dxf>
    <dxf>
      <font>
        <b/>
        <strike val="0"/>
        <outline val="0"/>
        <shadow val="0"/>
        <u val="none"/>
        <vertAlign val="baseline"/>
        <sz val="12"/>
        <color theme="1"/>
        <name val="Times New Roman"/>
        <family val="1"/>
        <scheme val="none"/>
      </font>
      <alignment horizontal="center" vertical="center" textRotation="0" wrapText="0" indent="0" justifyLastLine="0" shrinkToFit="0" readingOrder="0"/>
    </dxf>
    <dxf>
      <font>
        <b/>
        <strike val="0"/>
        <outline val="0"/>
        <shadow val="0"/>
        <u val="none"/>
        <vertAlign val="baseline"/>
        <sz val="12"/>
        <color theme="1"/>
        <name val="Times New Roman"/>
        <family val="1"/>
        <scheme val="none"/>
      </font>
      <alignment horizontal="general" vertical="center" textRotation="0" indent="0" justifyLastLine="0" shrinkToFit="0" readingOrder="0"/>
    </dxf>
    <dxf>
      <font>
        <b/>
        <strike val="0"/>
        <outline val="0"/>
        <shadow val="0"/>
        <u val="none"/>
        <vertAlign val="baseline"/>
        <sz val="12"/>
        <color rgb="FFFF0000"/>
        <name val="Times New Roman"/>
        <family val="1"/>
        <scheme val="none"/>
      </font>
      <alignment horizontal="general" vertical="center" textRotation="0" indent="0" justifyLastLine="0" shrinkToFit="0" readingOrder="0"/>
    </dxf>
    <dxf>
      <font>
        <b/>
        <strike val="0"/>
        <outline val="0"/>
        <shadow val="0"/>
        <u val="none"/>
        <vertAlign val="baseline"/>
        <sz val="12"/>
        <color theme="1"/>
        <name val="Times New Roman"/>
        <family val="1"/>
        <scheme val="none"/>
      </font>
      <alignment horizontal="general" vertical="center" textRotation="0" indent="0" justifyLastLine="0" shrinkToFit="0" readingOrder="0"/>
    </dxf>
    <dxf>
      <font>
        <b/>
        <strike val="0"/>
        <outline val="0"/>
        <shadow val="0"/>
        <u val="none"/>
        <vertAlign val="baseline"/>
        <sz val="12"/>
        <color theme="1"/>
        <name val="Times New Roman"/>
        <family val="1"/>
        <scheme val="none"/>
      </font>
      <alignment horizontal="general" vertical="center" textRotation="0" indent="0" justifyLastLine="0" shrinkToFit="0" readingOrder="0"/>
    </dxf>
    <dxf>
      <font>
        <b/>
        <i val="0"/>
        <strike val="0"/>
        <condense val="0"/>
        <extend val="0"/>
        <outline val="0"/>
        <shadow val="0"/>
        <u val="none"/>
        <vertAlign val="baseline"/>
        <sz val="12"/>
        <color rgb="FF00B050"/>
        <name val="Times New Roman"/>
        <family val="1"/>
        <scheme val="none"/>
      </font>
      <alignment horizontal="general" vertical="center" textRotation="0" wrapText="0" indent="0" justifyLastLine="0" shrinkToFit="0" readingOrder="0"/>
    </dxf>
    <dxf>
      <font>
        <b/>
        <i val="0"/>
        <strike val="0"/>
        <condense val="0"/>
        <extend val="0"/>
        <outline val="0"/>
        <shadow val="0"/>
        <u val="none"/>
        <vertAlign val="baseline"/>
        <sz val="12"/>
        <color rgb="FF00B050"/>
        <name val="Times New Roman"/>
        <family val="1"/>
        <scheme val="none"/>
      </font>
      <alignment horizontal="general" vertical="center" textRotation="0" wrapText="0" indent="0" justifyLastLine="0" shrinkToFit="0" readingOrder="0"/>
    </dxf>
    <dxf>
      <font>
        <b/>
        <strike val="0"/>
        <outline val="0"/>
        <shadow val="0"/>
        <u val="none"/>
        <vertAlign val="baseline"/>
        <sz val="12"/>
        <color rgb="FFFF0000"/>
        <name val="Times New Roman"/>
        <family val="1"/>
        <scheme val="none"/>
      </font>
      <alignment horizontal="general" vertical="center" textRotation="0" wrapText="0" indent="0" justifyLastLine="0" shrinkToFit="0" readingOrder="0"/>
    </dxf>
    <dxf>
      <font>
        <b/>
        <strike val="0"/>
        <outline val="0"/>
        <shadow val="0"/>
        <u val="none"/>
        <vertAlign val="baseline"/>
        <sz val="12"/>
        <color theme="1"/>
        <name val="Times New Roman"/>
        <family val="1"/>
        <scheme val="none"/>
      </font>
      <alignment horizontal="center" vertical="center" textRotation="0" indent="0" justifyLastLine="0" shrinkToFit="0" readingOrder="0"/>
    </dxf>
    <dxf>
      <font>
        <b/>
        <strike val="0"/>
        <outline val="0"/>
        <shadow val="0"/>
        <u val="none"/>
        <vertAlign val="baseline"/>
        <sz val="12"/>
        <color theme="1"/>
        <name val="Times New Roman"/>
        <family val="1"/>
        <scheme val="none"/>
      </font>
      <alignment horizontal="center" vertical="center" textRotation="0" indent="0" justifyLastLine="0" shrinkToFit="0" readingOrder="0"/>
    </dxf>
    <dxf>
      <font>
        <b/>
        <strike val="0"/>
        <outline val="0"/>
        <shadow val="0"/>
        <u val="none"/>
        <vertAlign val="baseline"/>
        <sz val="12"/>
        <color theme="1"/>
        <name val="Times New Roman"/>
        <family val="1"/>
        <scheme val="none"/>
      </font>
      <alignment horizontal="center" vertical="center" textRotation="0" indent="0" justifyLastLine="0" shrinkToFit="0" readingOrder="0"/>
    </dxf>
    <dxf>
      <font>
        <b/>
        <i val="0"/>
        <strike val="0"/>
        <condense val="0"/>
        <extend val="0"/>
        <outline val="0"/>
        <shadow val="0"/>
        <u val="none"/>
        <vertAlign val="baseline"/>
        <sz val="10"/>
        <color theme="1"/>
        <name val="Times New Roman"/>
        <family val="1"/>
        <scheme val="none"/>
      </font>
      <numFmt numFmtId="0" formatCode="General"/>
      <alignment horizontal="center" vertical="center" textRotation="0" wrapText="1" indent="0" justifyLastLine="0" shrinkToFit="0" readingOrder="0"/>
    </dxf>
    <dxf>
      <font>
        <b/>
        <strike val="0"/>
        <outline val="0"/>
        <shadow val="0"/>
        <u val="none"/>
        <vertAlign val="baseline"/>
        <sz val="12"/>
        <color theme="1"/>
        <name val="Times New Roman"/>
        <family val="1"/>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Times New Roman"/>
        <family val="1"/>
        <scheme val="none"/>
      </font>
      <numFmt numFmtId="1" formatCode="0"/>
      <alignment horizontal="center" vertical="center" textRotation="0" indent="0" justifyLastLine="0" shrinkToFit="0" readingOrder="0"/>
    </dxf>
    <dxf>
      <font>
        <b/>
        <strike val="0"/>
        <outline val="0"/>
        <shadow val="0"/>
        <u val="none"/>
        <vertAlign val="baseline"/>
        <sz val="12"/>
        <color theme="1"/>
        <name val="Times New Roman"/>
        <family val="1"/>
        <scheme val="none"/>
      </font>
      <alignment horizontal="center" vertical="center" textRotation="0" wrapText="1" indent="0" justifyLastLine="0" shrinkToFit="0" readingOrder="0"/>
    </dxf>
    <dxf>
      <font>
        <b/>
        <strike val="0"/>
        <outline val="0"/>
        <shadow val="0"/>
        <u val="none"/>
        <vertAlign val="baseline"/>
        <sz val="12"/>
        <color theme="1"/>
        <name val="Times New Roman"/>
        <family val="1"/>
        <scheme val="none"/>
      </font>
      <alignment horizontal="center" vertical="center" textRotation="0" wrapText="1" indent="0" justifyLastLine="0" shrinkToFit="0" readingOrder="0"/>
    </dxf>
    <dxf>
      <font>
        <b/>
        <strike val="0"/>
        <outline val="0"/>
        <shadow val="0"/>
        <u val="none"/>
        <vertAlign val="baseline"/>
        <sz val="12"/>
        <color theme="1"/>
        <name val="Times New Roman"/>
        <family val="1"/>
        <scheme val="none"/>
      </font>
      <numFmt numFmtId="0" formatCode="General"/>
      <alignment horizontal="general" vertical="center" textRotation="0" indent="0" justifyLastLine="0" shrinkToFit="0" readingOrder="0"/>
    </dxf>
    <dxf>
      <font>
        <b/>
        <i val="0"/>
        <strike val="0"/>
        <condense val="0"/>
        <extend val="0"/>
        <outline val="0"/>
        <shadow val="0"/>
        <u val="none"/>
        <vertAlign val="baseline"/>
        <sz val="12"/>
        <color theme="1"/>
        <name val="Times New Roman"/>
        <family val="1"/>
        <scheme val="none"/>
      </font>
      <numFmt numFmtId="0" formatCode="General"/>
      <alignment horizontal="general" vertical="center" textRotation="0" indent="0" justifyLastLine="0" shrinkToFit="0" readingOrder="0"/>
    </dxf>
    <dxf>
      <font>
        <b/>
        <strike val="0"/>
        <outline val="0"/>
        <shadow val="0"/>
        <u val="none"/>
        <vertAlign val="baseline"/>
        <sz val="12"/>
        <color theme="1"/>
        <name val="Times New Roman"/>
        <family val="1"/>
        <scheme val="none"/>
      </font>
      <numFmt numFmtId="165" formatCode="yyyy\-mm\-dd;@"/>
      <alignment horizontal="general" vertical="center" textRotation="0" indent="0" justifyLastLine="0" shrinkToFit="0" readingOrder="0"/>
    </dxf>
    <dxf>
      <font>
        <b/>
        <strike val="0"/>
        <outline val="0"/>
        <shadow val="0"/>
        <u val="none"/>
        <vertAlign val="baseline"/>
        <sz val="12"/>
        <color theme="1"/>
        <name val="Times New Roman"/>
        <family val="1"/>
        <scheme val="none"/>
      </font>
      <alignment horizontal="general" vertical="center" textRotation="0" indent="0" justifyLastLine="0" shrinkToFit="0" readingOrder="0"/>
    </dxf>
    <dxf>
      <font>
        <b/>
        <strike val="0"/>
        <outline val="0"/>
        <shadow val="0"/>
        <u val="none"/>
        <vertAlign val="baseline"/>
        <sz val="12"/>
        <color theme="1"/>
        <name val="Times New Roman"/>
        <family val="1"/>
        <scheme val="none"/>
      </font>
      <alignment horizontal="general" vertical="center" textRotation="0" indent="0" justifyLastLine="0" shrinkToFit="0" readingOrder="0"/>
    </dxf>
    <dxf>
      <font>
        <b/>
        <strike val="0"/>
        <outline val="0"/>
        <shadow val="0"/>
        <u val="none"/>
        <vertAlign val="baseline"/>
        <sz val="12"/>
        <color auto="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solid">
          <fgColor indexed="64"/>
          <bgColor rgb="FFFFFF00"/>
        </patternFill>
      </fill>
    </dxf>
    <dxf>
      <font>
        <b/>
        <i val="0"/>
        <strike val="0"/>
        <condense val="0"/>
        <extend val="0"/>
        <outline val="0"/>
        <shadow val="0"/>
        <u val="none"/>
        <vertAlign val="baseline"/>
        <sz val="13"/>
        <color auto="1"/>
        <name val="Calibri"/>
        <family val="2"/>
        <scheme val="minor"/>
      </font>
      <numFmt numFmtId="35" formatCode="_(* #,##0.00_);_(* \(#,##0.00\);_(* &quot;-&quot;??_);_(@_)"/>
      <alignment horizontal="general" vertical="center" textRotation="0" wrapText="0" indent="0" justifyLastLine="0" shrinkToFit="0" readingOrder="0"/>
    </dxf>
    <dxf>
      <font>
        <b/>
        <i val="0"/>
        <strike val="0"/>
        <condense val="0"/>
        <extend val="0"/>
        <outline val="0"/>
        <shadow val="0"/>
        <u val="none"/>
        <vertAlign val="baseline"/>
        <sz val="14"/>
        <color auto="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numFmt numFmtId="35" formatCode="_(* #,##0.00_);_(* \(#,##0.00\);_(* &quot;-&quot;??_);_(@_)"/>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numFmt numFmtId="3" formatCode="#,##0"/>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numFmt numFmtId="1" formatCode="0"/>
      <fill>
        <patternFill patternType="solid">
          <fgColor indexed="64"/>
          <bgColor rgb="FFFFFF00"/>
        </patternFill>
      </fill>
      <alignment horizontal="center" vertical="center"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1"/>
        <color auto="1"/>
        <name val="Calibri"/>
        <family val="2"/>
        <scheme val="minor"/>
      </font>
      <numFmt numFmtId="1" formatCode="0"/>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4"/>
        <color auto="1"/>
        <name val="Calibri"/>
        <family val="2"/>
        <scheme val="minor"/>
      </font>
      <numFmt numFmtId="1" formatCode="0"/>
      <fill>
        <patternFill patternType="solid">
          <fgColor indexed="64"/>
          <bgColor rgb="FFFFFF00"/>
        </patternFill>
      </fill>
      <border diagonalUp="0" diagonalDown="0" outline="0">
        <left/>
        <right style="thin">
          <color indexed="64"/>
        </right>
        <top/>
        <bottom/>
      </border>
    </dxf>
    <dxf>
      <font>
        <b/>
        <i val="0"/>
        <strike val="0"/>
        <condense val="0"/>
        <extend val="0"/>
        <outline val="0"/>
        <shadow val="0"/>
        <u val="none"/>
        <vertAlign val="baseline"/>
        <sz val="13"/>
        <color auto="1"/>
        <name val="Calibri"/>
        <family val="2"/>
        <scheme val="minor"/>
      </font>
      <numFmt numFmtId="1" formatCode="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fill>
        <patternFill patternType="solid">
          <fgColor indexed="64"/>
          <bgColor rgb="FFFFFF00"/>
        </patternFill>
      </fill>
      <border diagonalUp="0" diagonalDown="0" outline="0">
        <left/>
        <right style="thin">
          <color indexed="64"/>
        </right>
        <top/>
        <bottom/>
      </border>
    </dxf>
    <dxf>
      <font>
        <b/>
        <i val="0"/>
        <strike val="0"/>
        <condense val="0"/>
        <extend val="0"/>
        <outline val="0"/>
        <shadow val="0"/>
        <u val="none"/>
        <vertAlign val="baseline"/>
        <sz val="13"/>
        <color auto="1"/>
        <name val="Calibri"/>
        <family val="2"/>
        <scheme val="minor"/>
      </font>
      <numFmt numFmtId="21" formatCode="d\-mmm"/>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4"/>
        <color auto="1"/>
        <name val="Calibri"/>
        <family val="2"/>
        <scheme val="minor"/>
      </font>
      <numFmt numFmtId="35" formatCode="_(* #,##0.00_);_(* \(#,##0.00\);_(* &quot;-&quot;??_);_(@_)"/>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rgb="FFFF0000"/>
        <name val="Calibri"/>
        <family val="2"/>
        <scheme val="minor"/>
      </font>
      <numFmt numFmtId="35" formatCode="_(* #,##0.00_);_(* \(#,##0.00\);_(* &quot;-&quot;??_);_(@_)"/>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rgb="FFFF0000"/>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numFmt numFmtId="35" formatCode="_(* #,##0.00_);_(* \(#,##0.00\);_(* &quot;-&quot;??_);_(@_)"/>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numFmt numFmtId="35" formatCode="_(* #,##0.00_);_(* \(#,##0.00\);_(* &quot;-&quot;??_);_(@_)"/>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numFmt numFmtId="35" formatCode="_(* #,##0.00_);_(* \(#,##0.00\);_(* &quot;-&quot;??_);_(@_)"/>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numFmt numFmtId="35" formatCode="_(* #,##0.00_);_(* \(#,##0.00\);_(* &quot;-&quot;??_);_(@_)"/>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numFmt numFmtId="35" formatCode="_(* #,##0.00_);_(* \(#,##0.00\);_(* &quot;-&quot;??_);_(@_)"/>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theme="9" tint="-0.499984740745262"/>
        <name val="Calibri"/>
        <family val="2"/>
        <scheme val="minor"/>
      </font>
      <numFmt numFmtId="35" formatCode="_(* #,##0.00_);_(* \(#,##0.00\);_(* &quot;-&quot;??_);_(@_)"/>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numFmt numFmtId="35" formatCode="_(* #,##0.00_);_(* \(#,##0.00\);_(* &quot;-&quot;??_);_(@_)"/>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numFmt numFmtId="35" formatCode="_(* #,##0.00_);_(* \(#,##0.00\);_(* &quot;-&quot;??_);_(@_)"/>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auto="1"/>
        <name val="Calibri"/>
        <family val="2"/>
        <scheme val="minor"/>
      </font>
      <numFmt numFmtId="35" formatCode="_(* #,##0.00_);_(* \(#,##0.00\);_(* &quot;-&quot;??_);_(@_)"/>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auto="1"/>
        <name val="Calibri"/>
        <family val="2"/>
        <scheme val="minor"/>
      </font>
      <numFmt numFmtId="35" formatCode="_(* #,##0.00_);_(* \(#,##0.00\);_(* &quot;-&quot;??_);_(@_)"/>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numFmt numFmtId="35" formatCode="_(* #,##0.00_);_(* \(#,##0.00\);_(* &quot;-&quot;??_);_(@_)"/>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numFmt numFmtId="21" formatCode="d\-mmm"/>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font>
        <b/>
        <i val="0"/>
        <strike val="0"/>
        <condense val="0"/>
        <extend val="0"/>
        <outline val="0"/>
        <shadow val="0"/>
        <u val="none"/>
        <vertAlign val="baseline"/>
        <sz val="13"/>
        <color auto="1"/>
        <name val="Calibri"/>
        <family val="2"/>
        <scheme val="minor"/>
      </font>
      <numFmt numFmtId="21" formatCode="d\-mmm"/>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family val="2"/>
        <scheme val="minor"/>
      </font>
      <fill>
        <patternFill patternType="solid">
          <fgColor indexed="64"/>
          <bgColor rgb="FFFFFF00"/>
        </patternFill>
      </fill>
      <border diagonalUp="0" diagonalDown="0" outline="0">
        <left style="thin">
          <color indexed="64"/>
        </left>
        <right/>
        <top/>
        <bottom/>
      </border>
    </dxf>
    <dxf>
      <font>
        <b/>
        <i val="0"/>
        <strike val="0"/>
        <condense val="0"/>
        <extend val="0"/>
        <outline val="0"/>
        <shadow val="0"/>
        <u val="none"/>
        <vertAlign val="baseline"/>
        <sz val="13"/>
        <color auto="1"/>
        <name val="Calibri"/>
        <family val="2"/>
        <scheme val="minor"/>
      </font>
      <border diagonalUp="0" diagonalDown="0" outline="0">
        <left/>
        <right style="thin">
          <color indexed="64"/>
        </right>
        <top style="thin">
          <color indexed="64"/>
        </top>
        <bottom style="thin">
          <color indexed="64"/>
        </bottom>
      </border>
    </dxf>
    <dxf>
      <font>
        <strike val="0"/>
        <outline val="0"/>
        <shadow val="0"/>
        <u val="none"/>
        <vertAlign val="baseline"/>
        <sz val="14"/>
        <color auto="1"/>
        <name val="Calibri"/>
        <family val="2"/>
        <scheme val="minor"/>
      </font>
      <fill>
        <patternFill patternType="solid">
          <fgColor indexed="64"/>
          <bgColor rgb="FFFFFF00"/>
        </patternFill>
      </fill>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3"/>
        <color auto="1"/>
        <name val="Calibri"/>
        <family val="2"/>
        <scheme val="minor"/>
      </font>
      <numFmt numFmtId="35" formatCode="_(* #,##0.00_);_(* \(#,##0.00\);_(* &quot;-&quot;??_);_(@_)"/>
      <alignment horizontal="general" vertical="center" textRotation="0" wrapText="0" indent="0" justifyLastLine="0" shrinkToFit="0" readingOrder="0"/>
    </dxf>
    <dxf>
      <font>
        <b/>
        <i val="0"/>
        <strike val="0"/>
        <condense val="0"/>
        <extend val="0"/>
        <outline val="0"/>
        <shadow val="0"/>
        <u val="none"/>
        <vertAlign val="baseline"/>
        <sz val="13"/>
        <color auto="1"/>
        <name val="Calibri"/>
        <family val="2"/>
        <scheme val="minor"/>
      </font>
      <numFmt numFmtId="35" formatCode="_(* #,##0.00_);_(* \(#,##0.00\);_(* &quot;-&quot;??_);_(@_)"/>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strike val="0"/>
        <outline val="0"/>
        <shadow val="0"/>
        <u val="none"/>
        <vertAlign val="baseline"/>
        <sz val="12"/>
        <color theme="1"/>
        <name val="Calibri"/>
        <family val="2"/>
        <scheme val="minor"/>
      </font>
      <numFmt numFmtId="166" formatCode="_(* #,##0_);_(* \(#,##0\);_(* &quot;-&quot;??_);_(@_)"/>
      <alignment horizontal="center" textRotation="0" indent="0" justifyLastLine="0" shrinkToFit="0" readingOrder="0"/>
    </dxf>
    <dxf>
      <font>
        <b/>
        <i val="0"/>
        <strike val="0"/>
        <condense val="0"/>
        <extend val="0"/>
        <outline val="0"/>
        <shadow val="0"/>
        <u val="none"/>
        <vertAlign val="baseline"/>
        <sz val="12"/>
        <color theme="1"/>
        <name val="Calibri"/>
        <family val="2"/>
        <scheme val="minor"/>
      </font>
      <numFmt numFmtId="166" formatCode="_(* #,##0_);_(* \(#,##0\);_(* &quot;-&quot;??_);_(@_)"/>
      <alignment horizontal="center" vertical="bottom" textRotation="0" wrapText="0" indent="0" justifyLastLine="0" shrinkToFit="0" readingOrder="0"/>
    </dxf>
    <dxf>
      <font>
        <b/>
        <strike val="0"/>
        <outline val="0"/>
        <shadow val="0"/>
        <u val="none"/>
        <vertAlign val="baseline"/>
        <sz val="12"/>
        <color theme="1"/>
        <name val="Calibri"/>
        <family val="2"/>
        <scheme val="minor"/>
      </font>
      <numFmt numFmtId="166" formatCode="_(* #,##0_);_(* \(#,##0\);_(* &quot;-&quot;??_);_(@_)"/>
      <alignment horizontal="center" textRotation="0" indent="0" justifyLastLine="0" shrinkToFit="0" readingOrder="0"/>
    </dxf>
    <dxf>
      <font>
        <b/>
        <i val="0"/>
        <strike val="0"/>
        <condense val="0"/>
        <extend val="0"/>
        <outline val="0"/>
        <shadow val="0"/>
        <u val="none"/>
        <vertAlign val="baseline"/>
        <sz val="12"/>
        <color theme="1"/>
        <name val="Calibri"/>
        <family val="2"/>
        <scheme val="minor"/>
      </font>
      <numFmt numFmtId="166" formatCode="_(* #,##0_);_(* \(#,##0\);_(* &quot;-&quot;??_);_(@_)"/>
      <alignment horizontal="center" vertical="bottom" textRotation="0" wrapText="0" indent="0" justifyLastLine="0" shrinkToFit="0" readingOrder="0"/>
    </dxf>
    <dxf>
      <font>
        <b/>
        <strike val="0"/>
        <outline val="0"/>
        <shadow val="0"/>
        <u val="none"/>
        <vertAlign val="baseline"/>
        <sz val="12"/>
        <color theme="1"/>
        <name val="Calibri"/>
        <family val="2"/>
        <scheme val="minor"/>
      </font>
      <numFmt numFmtId="166" formatCode="_(* #,##0_);_(* \(#,##0\);_(* &quot;-&quot;??_);_(@_)"/>
      <alignment horizontal="center" textRotation="0" indent="0" justifyLastLine="0" shrinkToFit="0" readingOrder="0"/>
    </dxf>
    <dxf>
      <font>
        <b/>
        <i val="0"/>
        <strike val="0"/>
        <condense val="0"/>
        <extend val="0"/>
        <outline val="0"/>
        <shadow val="0"/>
        <u val="none"/>
        <vertAlign val="baseline"/>
        <sz val="12"/>
        <color theme="1"/>
        <name val="Calibri"/>
        <family val="2"/>
        <scheme val="minor"/>
      </font>
      <numFmt numFmtId="166" formatCode="_(* #,##0_);_(* \(#,##0\);_(* &quot;-&quot;??_);_(@_)"/>
      <alignment horizontal="center" vertical="bottom" textRotation="0" wrapText="0" indent="0" justifyLastLine="0" shrinkToFit="0" readingOrder="0"/>
    </dxf>
    <dxf>
      <font>
        <b/>
        <strike val="0"/>
        <outline val="0"/>
        <shadow val="0"/>
        <u val="none"/>
        <vertAlign val="baseline"/>
        <sz val="12"/>
        <color theme="1"/>
        <name val="Calibri"/>
        <family val="2"/>
        <scheme val="minor"/>
      </font>
      <numFmt numFmtId="166" formatCode="_(* #,##0_);_(* \(#,##0\);_(* &quot;-&quot;??_);_(@_)"/>
      <alignment horizontal="center" textRotation="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font>
      <alignment horizontal="right" vertical="bottom" textRotation="0" wrapText="0" indent="0" justifyLastLine="0" shrinkToFit="0" readingOrder="0"/>
    </dxf>
    <dxf>
      <font>
        <b/>
      </font>
      <alignment horizontal="center" textRotation="0" indent="0" justifyLastLine="0" shrinkToFit="0" readingOrder="0"/>
    </dxf>
    <dxf>
      <font>
        <b/>
      </font>
      <alignment horizontal="center" textRotation="0" indent="0" justifyLastLine="0" shrinkToFit="0" readingOrder="0"/>
    </dxf>
    <dxf>
      <font>
        <color rgb="FFFF0000"/>
      </font>
    </dxf>
    <dxf>
      <font>
        <color rgb="FFFF0000"/>
      </font>
    </dxf>
    <dxf>
      <font>
        <color rgb="FFFF0000"/>
      </font>
    </dxf>
    <dxf>
      <font>
        <color rgb="FFFF0000"/>
      </font>
    </dxf>
    <dxf>
      <font>
        <color rgb="FFFF0000"/>
      </font>
    </dxf>
    <dxf>
      <font>
        <color rgb="FFFF0000"/>
      </font>
    </dxf>
    <dxf>
      <numFmt numFmtId="3" formatCode="#,##0"/>
    </dxf>
    <dxf>
      <font>
        <color rgb="FFFF0000"/>
      </font>
    </dxf>
    <dxf>
      <numFmt numFmtId="3" formatCode="#,##0"/>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numFmt numFmtId="35" formatCode="_(* #,##0.00_);_(* \(#,##0.00\);_(* &quot;-&quot;??_);_(@_)"/>
    </dxf>
    <dxf>
      <alignment horizontal="right"/>
    </dxf>
    <dxf>
      <numFmt numFmtId="3" formatCode="#,##0"/>
    </dxf>
    <dxf>
      <numFmt numFmtId="1" formatCode="0"/>
    </dxf>
    <dxf>
      <numFmt numFmtId="1" formatCode="0"/>
    </dxf>
    <dxf>
      <numFmt numFmtId="2" formatCode="0.00"/>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34" Type="http://schemas.microsoft.com/office/2007/relationships/slicerCache" Target="slicerCaches/slicerCache3.xml"/><Relationship Id="rId47"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microsoft.com/office/2007/relationships/slicerCache" Target="slicerCaches/slicerCache2.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microsoft.com/office/2007/relationships/slicerCache" Target="slicerCaches/slicerCache1.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microsoft.com/office/2007/relationships/slicerCache" Target="slicerCaches/slicerCache5.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pivotCacheDefinition" Target="pivotCache/pivotCacheDefinition2.xml"/><Relationship Id="rId35" Type="http://schemas.microsoft.com/office/2007/relationships/slicerCache" Target="slicerCaches/slicerCache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absolute">
    <xdr:from>
      <xdr:col>1</xdr:col>
      <xdr:colOff>50569</xdr:colOff>
      <xdr:row>0</xdr:row>
      <xdr:rowOff>0</xdr:rowOff>
    </xdr:from>
    <xdr:to>
      <xdr:col>6</xdr:col>
      <xdr:colOff>13066222</xdr:colOff>
      <xdr:row>0</xdr:row>
      <xdr:rowOff>1229042</xdr:rowOff>
    </xdr:to>
    <mc:AlternateContent xmlns:mc="http://schemas.openxmlformats.org/markup-compatibility/2006" xmlns:sle15="http://schemas.microsoft.com/office/drawing/2012/slicer">
      <mc:Choice Requires="sle15">
        <xdr:graphicFrame macro="">
          <xdr:nvGraphicFramePr>
            <xdr:cNvPr id="2" name="الشهر ">
              <a:extLst>
                <a:ext uri="{FF2B5EF4-FFF2-40B4-BE49-F238E27FC236}">
                  <a16:creationId xmlns:a16="http://schemas.microsoft.com/office/drawing/2014/main" id="{B7AA0544-9342-4071-A618-460C30CEC71F}"/>
                </a:ext>
              </a:extLst>
            </xdr:cNvPr>
            <xdr:cNvGraphicFramePr/>
          </xdr:nvGraphicFramePr>
          <xdr:xfrm>
            <a:off x="0" y="0"/>
            <a:ext cx="0" cy="0"/>
          </xdr:xfrm>
          <a:graphic>
            <a:graphicData uri="http://schemas.microsoft.com/office/drawing/2010/slicer">
              <sle:slicer xmlns:sle="http://schemas.microsoft.com/office/drawing/2010/slicer" name="الشهر "/>
            </a:graphicData>
          </a:graphic>
        </xdr:graphicFrame>
      </mc:Choice>
      <mc:Fallback xmlns="">
        <xdr:sp macro="" textlink="">
          <xdr:nvSpPr>
            <xdr:cNvPr id="0" name=""/>
            <xdr:cNvSpPr>
              <a:spLocks noTextEdit="1"/>
            </xdr:cNvSpPr>
          </xdr:nvSpPr>
          <xdr:spPr>
            <a:xfrm>
              <a:off x="1747751" y="0"/>
              <a:ext cx="20756880" cy="12290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109</xdr:row>
      <xdr:rowOff>0</xdr:rowOff>
    </xdr:from>
    <xdr:to>
      <xdr:col>2</xdr:col>
      <xdr:colOff>3381375</xdr:colOff>
      <xdr:row>146</xdr:row>
      <xdr:rowOff>9525</xdr:rowOff>
    </xdr:to>
    <xdr:pic>
      <xdr:nvPicPr>
        <xdr:cNvPr id="3" name="Picture 2">
          <a:extLst>
            <a:ext uri="{FF2B5EF4-FFF2-40B4-BE49-F238E27FC236}">
              <a16:creationId xmlns:a16="http://schemas.microsoft.com/office/drawing/2014/main" id="{5AC9959D-3A73-EADA-CD85-10357C037F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96058875" y="53425725"/>
          <a:ext cx="4648200" cy="70580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1280160</xdr:colOff>
      <xdr:row>0</xdr:row>
      <xdr:rowOff>0</xdr:rowOff>
    </xdr:from>
    <xdr:to>
      <xdr:col>8</xdr:col>
      <xdr:colOff>715472</xdr:colOff>
      <xdr:row>0</xdr:row>
      <xdr:rowOff>1229042</xdr:rowOff>
    </xdr:to>
    <mc:AlternateContent xmlns:mc="http://schemas.openxmlformats.org/markup-compatibility/2006" xmlns:sle15="http://schemas.microsoft.com/office/drawing/2012/slicer">
      <mc:Choice Requires="sle15">
        <xdr:graphicFrame macro="">
          <xdr:nvGraphicFramePr>
            <xdr:cNvPr id="2" name="الشهر  1">
              <a:extLst>
                <a:ext uri="{FF2B5EF4-FFF2-40B4-BE49-F238E27FC236}">
                  <a16:creationId xmlns:a16="http://schemas.microsoft.com/office/drawing/2014/main" id="{8779DA72-8FD8-43B2-8285-9589F2FED264}"/>
                </a:ext>
              </a:extLst>
            </xdr:cNvPr>
            <xdr:cNvGraphicFramePr/>
          </xdr:nvGraphicFramePr>
          <xdr:xfrm>
            <a:off x="0" y="0"/>
            <a:ext cx="0" cy="0"/>
          </xdr:xfrm>
          <a:graphic>
            <a:graphicData uri="http://schemas.microsoft.com/office/drawing/2010/slicer">
              <sle:slicer xmlns:sle="http://schemas.microsoft.com/office/drawing/2010/slicer" name="الشهر  1"/>
            </a:graphicData>
          </a:graphic>
        </xdr:graphicFrame>
      </mc:Choice>
      <mc:Fallback xmlns="">
        <xdr:sp macro="" textlink="">
          <xdr:nvSpPr>
            <xdr:cNvPr id="0" name=""/>
            <xdr:cNvSpPr>
              <a:spLocks noTextEdit="1"/>
            </xdr:cNvSpPr>
          </xdr:nvSpPr>
          <xdr:spPr>
            <a:xfrm>
              <a:off x="9879740210" y="0"/>
              <a:ext cx="20756880" cy="12290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1280160</xdr:colOff>
      <xdr:row>0</xdr:row>
      <xdr:rowOff>0</xdr:rowOff>
    </xdr:from>
    <xdr:to>
      <xdr:col>8</xdr:col>
      <xdr:colOff>1002665</xdr:colOff>
      <xdr:row>0</xdr:row>
      <xdr:rowOff>1229042</xdr:rowOff>
    </xdr:to>
    <mc:AlternateContent xmlns:mc="http://schemas.openxmlformats.org/markup-compatibility/2006" xmlns:sle15="http://schemas.microsoft.com/office/drawing/2012/slicer">
      <mc:Choice Requires="sle15">
        <xdr:graphicFrame macro="">
          <xdr:nvGraphicFramePr>
            <xdr:cNvPr id="2" name="الشهر  3">
              <a:extLst>
                <a:ext uri="{FF2B5EF4-FFF2-40B4-BE49-F238E27FC236}">
                  <a16:creationId xmlns:a16="http://schemas.microsoft.com/office/drawing/2014/main" id="{148997BA-6B3D-4819-B9A0-562191BFFBA5}"/>
                </a:ext>
              </a:extLst>
            </xdr:cNvPr>
            <xdr:cNvGraphicFramePr/>
          </xdr:nvGraphicFramePr>
          <xdr:xfrm>
            <a:off x="0" y="0"/>
            <a:ext cx="0" cy="0"/>
          </xdr:xfrm>
          <a:graphic>
            <a:graphicData uri="http://schemas.microsoft.com/office/drawing/2010/slicer">
              <sle:slicer xmlns:sle="http://schemas.microsoft.com/office/drawing/2010/slicer" name="الشهر  3"/>
            </a:graphicData>
          </a:graphic>
        </xdr:graphicFrame>
      </mc:Choice>
      <mc:Fallback xmlns="">
        <xdr:sp macro="" textlink="">
          <xdr:nvSpPr>
            <xdr:cNvPr id="0" name=""/>
            <xdr:cNvSpPr>
              <a:spLocks noTextEdit="1"/>
            </xdr:cNvSpPr>
          </xdr:nvSpPr>
          <xdr:spPr>
            <a:xfrm>
              <a:off x="1280160" y="0"/>
              <a:ext cx="20756880" cy="12290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89535</xdr:colOff>
      <xdr:row>0</xdr:row>
      <xdr:rowOff>0</xdr:rowOff>
    </xdr:from>
    <xdr:to>
      <xdr:col>4</xdr:col>
      <xdr:colOff>1050290</xdr:colOff>
      <xdr:row>0</xdr:row>
      <xdr:rowOff>1229042</xdr:rowOff>
    </xdr:to>
    <mc:AlternateContent xmlns:mc="http://schemas.openxmlformats.org/markup-compatibility/2006" xmlns:sle15="http://schemas.microsoft.com/office/drawing/2012/slicer">
      <mc:Choice Requires="sle15">
        <xdr:graphicFrame macro="">
          <xdr:nvGraphicFramePr>
            <xdr:cNvPr id="2" name="الشهر  6">
              <a:extLst>
                <a:ext uri="{FF2B5EF4-FFF2-40B4-BE49-F238E27FC236}">
                  <a16:creationId xmlns:a16="http://schemas.microsoft.com/office/drawing/2014/main" id="{7E1D858A-18F8-478D-AECC-700EA0DD947F}"/>
                </a:ext>
              </a:extLst>
            </xdr:cNvPr>
            <xdr:cNvGraphicFramePr/>
          </xdr:nvGraphicFramePr>
          <xdr:xfrm>
            <a:off x="0" y="0"/>
            <a:ext cx="0" cy="0"/>
          </xdr:xfrm>
          <a:graphic>
            <a:graphicData uri="http://schemas.microsoft.com/office/drawing/2010/slicer">
              <sle:slicer xmlns:sle="http://schemas.microsoft.com/office/drawing/2010/slicer" name="الشهر  6"/>
            </a:graphicData>
          </a:graphic>
        </xdr:graphicFrame>
      </mc:Choice>
      <mc:Fallback xmlns="">
        <xdr:sp macro="" textlink="">
          <xdr:nvSpPr>
            <xdr:cNvPr id="0" name=""/>
            <xdr:cNvSpPr>
              <a:spLocks noTextEdit="1"/>
            </xdr:cNvSpPr>
          </xdr:nvSpPr>
          <xdr:spPr>
            <a:xfrm>
              <a:off x="1790428" y="0"/>
              <a:ext cx="4879612" cy="12290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1280160</xdr:colOff>
      <xdr:row>0</xdr:row>
      <xdr:rowOff>0</xdr:rowOff>
    </xdr:from>
    <xdr:to>
      <xdr:col>8</xdr:col>
      <xdr:colOff>1621790</xdr:colOff>
      <xdr:row>0</xdr:row>
      <xdr:rowOff>1229042</xdr:rowOff>
    </xdr:to>
    <mc:AlternateContent xmlns:mc="http://schemas.openxmlformats.org/markup-compatibility/2006" xmlns:sle15="http://schemas.microsoft.com/office/drawing/2012/slicer">
      <mc:Choice Requires="sle15">
        <xdr:graphicFrame macro="">
          <xdr:nvGraphicFramePr>
            <xdr:cNvPr id="2" name="الشهر  2">
              <a:extLst>
                <a:ext uri="{FF2B5EF4-FFF2-40B4-BE49-F238E27FC236}">
                  <a16:creationId xmlns:a16="http://schemas.microsoft.com/office/drawing/2014/main" id="{38DBC5DE-2A74-4AE8-8D73-8A110F10527F}"/>
                </a:ext>
              </a:extLst>
            </xdr:cNvPr>
            <xdr:cNvGraphicFramePr/>
          </xdr:nvGraphicFramePr>
          <xdr:xfrm>
            <a:off x="0" y="0"/>
            <a:ext cx="0" cy="0"/>
          </xdr:xfrm>
          <a:graphic>
            <a:graphicData uri="http://schemas.microsoft.com/office/drawing/2010/slicer">
              <sle:slicer xmlns:sle="http://schemas.microsoft.com/office/drawing/2010/slicer" name="الشهر  2"/>
            </a:graphicData>
          </a:graphic>
        </xdr:graphicFrame>
      </mc:Choice>
      <mc:Fallback xmlns="">
        <xdr:sp macro="" textlink="">
          <xdr:nvSpPr>
            <xdr:cNvPr id="0" name=""/>
            <xdr:cNvSpPr>
              <a:spLocks noTextEdit="1"/>
            </xdr:cNvSpPr>
          </xdr:nvSpPr>
          <xdr:spPr>
            <a:xfrm>
              <a:off x="1280160" y="0"/>
              <a:ext cx="20756880" cy="12290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CCRCAI"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Startup" Target="FINSERV/FIN_OTH/INSLI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ti-mla01-fs01\dfs\TLC\M.Accts\TLC-2004-09\TLC04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ti-mla01-fs01\Dfs\Excel\MPM\Purchase%20Orders\Purchase%20Order2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Molly's%20Islam%20Farag\Finance\2022\Bank.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Z:\FInance\Finance\&#1575;&#1604;&#1605;&#1575;&#1604;&#1610;&#1607;\2025\&#1580;&#1575;&#1585;&#1609;%20&#1575;&#1604;&#1588;&#1585;&#1603;&#1575;&#1569;.xlsx" TargetMode="External"/><Relationship Id="rId1" Type="http://schemas.openxmlformats.org/officeDocument/2006/relationships/externalLinkPath" Target="file:///Z:\FInance\Finance\&#1575;&#1604;&#1605;&#1575;&#1604;&#1610;&#1607;\2025\&#1580;&#1575;&#1585;&#1609;%20&#1575;&#1604;&#1588;&#1585;&#1603;&#1575;&#1569;.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fin\Desktop\&#1593;&#1605;&#1608;&#1604;&#1575;&#1578;%20&#1575;&#1604;&#1605;&#1606;&#1589;&#1608;&#1585;&#1577;.xlsx" TargetMode="External"/><Relationship Id="rId1" Type="http://schemas.openxmlformats.org/officeDocument/2006/relationships/externalLinkPath" Target="/Users/fin/Desktop/&#1593;&#1605;&#1608;&#1604;&#1575;&#1578;%20&#1575;&#1604;&#1605;&#1606;&#1589;&#1608;&#1585;&#1577;.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ti-mla01-fs01\dfs\MLA01\FTH_MLA01_Accounting\Share\LALSA\Accounts\CCC-2009-09\CCC0903.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Z:\FInance\Finance\&#1575;&#1604;&#1605;&#1575;&#1604;&#1610;&#1607;\2024\2024&#1605;&#1589;&#1585;&#1608;&#1601;&#1575;&#1578;%20&#1602;&#1610;&#1605;&#1577;.xlsx" TargetMode="External"/><Relationship Id="rId1" Type="http://schemas.openxmlformats.org/officeDocument/2006/relationships/externalLinkPath" Target="file:///Z:\FInance\Finance\&#1575;&#1604;&#1605;&#1575;&#1604;&#1610;&#1607;\2024\2024&#1605;&#1589;&#1585;&#1608;&#1601;&#1575;&#1578;%20&#1602;&#1610;&#1605;&#1577;.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Z:\FInance\Finance\&#1575;&#1604;&#1605;&#1575;&#1604;&#1610;&#1607;\2025\&#1605;&#1589;&#1585;&#1608;&#1601;&#1575;&#1578;%20&#1575;&#1604;&#1605;&#1606;&#1589;&#1608;&#1585;&#1607;%202025.xlsx" TargetMode="External"/><Relationship Id="rId1" Type="http://schemas.openxmlformats.org/officeDocument/2006/relationships/externalLinkPath" Target="file:///Z:\FInance\Finance\&#1575;&#1604;&#1605;&#1575;&#1604;&#1610;&#1607;\2025\&#1605;&#1589;&#1585;&#1608;&#1601;&#1575;&#1578;%20&#1575;&#1604;&#1605;&#1606;&#1589;&#1608;&#1585;&#1607;%202025.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Z:\FInance\&#1605;&#1581;&#1605;&#1583;%20&#1605;&#1583;&#1581;&#1578;\2025&#1605;&#1589;&#1585;&#1608;&#1601;&#1575;&#1578;%20&#1602;&#1610;&#1605;&#1577;%20...xlsx" TargetMode="External"/><Relationship Id="rId1" Type="http://schemas.openxmlformats.org/officeDocument/2006/relationships/externalLinkPath" Target="file:///Z:\FInance\&#1605;&#1581;&#1605;&#1583;%20&#1605;&#1583;&#1581;&#1578;\2025&#1605;&#1589;&#1585;&#1608;&#1601;&#1575;&#1578;%20&#1602;&#1610;&#1605;&#1577;%20...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Z:\FInance\Finance\&#1575;&#1604;&#1605;&#1575;&#1604;&#1610;&#1607;\2025\Copy%20of%20&#1575;&#1604;&#1575;&#1583;&#1575;&#1585;&#1577;%20&#1575;&#1604;&#1585;&#1602;&#1605;&#1610;&#1577;.xlsx" TargetMode="External"/><Relationship Id="rId1" Type="http://schemas.openxmlformats.org/officeDocument/2006/relationships/externalLinkPath" Target="file:///Z:\FInance\Finance\&#1575;&#1604;&#1605;&#1575;&#1604;&#1610;&#1607;\2025\Copy%20of%20&#1575;&#1604;&#1575;&#1583;&#1575;&#1585;&#1577;%20&#1575;&#1604;&#1585;&#1602;&#1605;&#1610;&#1577;.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Z:\FInance\Finance\&#1575;&#1604;&#1605;&#1575;&#1604;&#1610;&#1607;\&#1578;&#1602;&#1575;&#1585;&#1610;&#1585;\&#1578;&#1602;&#1575;&#1585;&#1610;&#1585;%20&#1593;&#1606;%20&#1587;&#1606;&#1577;%202025\&#1578;&#1602;&#1575;&#1585;&#1610;&#1585;%20&#1605;&#1575;&#1605;&#1608;&#1585;&#1610;&#1575;&#1578;%20&#1575;&#1604;&#1575;&#1583;&#1575;&#1585;&#1577;%20&#1575;&#1604;&#1602;&#1575;&#1606;&#1608;&#1606;&#1610;&#1577;\&#1610;&#1608;&#1604;&#1610;&#1608;\&#1605;&#1575;&#1605;&#1608;&#1585;&#1610;&#1575;&#1578;%20&#1575;&#1604;&#1575;&#1583;&#1575;&#1585;&#1577;%20&#1575;&#1604;&#1602;&#1575;&#1606;&#1608;&#1606;&#1610;&#1577;%20&#1610;&#1608;&#1604;&#1610;&#1608;%202025.xlsx" TargetMode="External"/><Relationship Id="rId1" Type="http://schemas.openxmlformats.org/officeDocument/2006/relationships/externalLinkPath" Target="file:///Z:\FInance\Finance\&#1575;&#1604;&#1605;&#1575;&#1604;&#1610;&#1607;\&#1578;&#1602;&#1575;&#1585;&#1610;&#1585;\&#1578;&#1602;&#1575;&#1585;&#1610;&#1585;%20&#1593;&#1606;%20&#1587;&#1606;&#1577;%202025\&#1578;&#1602;&#1575;&#1585;&#1610;&#1585;%20&#1605;&#1575;&#1605;&#1608;&#1585;&#1610;&#1575;&#1578;%20&#1575;&#1604;&#1575;&#1583;&#1575;&#1585;&#1577;%20&#1575;&#1604;&#1602;&#1575;&#1606;&#1608;&#1606;&#1610;&#1577;\&#1610;&#1608;&#1604;&#1610;&#1608;\&#1605;&#1575;&#1605;&#1608;&#1585;&#1610;&#1575;&#1578;%20&#1575;&#1604;&#1575;&#1583;&#1575;&#1585;&#1577;%20&#1575;&#1604;&#1602;&#1575;&#1606;&#1608;&#1606;&#1610;&#1577;%20&#1610;&#1608;&#1604;&#1610;&#1608;%202025.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D:\Finance\&#1575;&#1604;&#1605;&#1575;&#1604;&#1610;&#1607;\&#1605;&#1589;&#1585;&#1608;&#1601;&#1575;&#1578;%202023%20-%20Islam%20&amp;%20Ahmed.xlsx" TargetMode="External"/><Relationship Id="rId1" Type="http://schemas.openxmlformats.org/officeDocument/2006/relationships/externalLinkPath" Target="file:///D:\Finance\&#1575;&#1604;&#1605;&#1575;&#1604;&#1610;&#1607;\&#1605;&#1589;&#1585;&#1608;&#1601;&#1575;&#1578;%202023%20-%20Islam%20&amp;%20Ahm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RCAI"/>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8-02-97"/>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P&amp;L &amp; Stats"/>
      <sheetName val="SumP&amp;L &amp; BS"/>
      <sheetName val="TB"/>
      <sheetName val="Acc&amp;Prep"/>
      <sheetName val="Adjustments"/>
      <sheetName val="Cons"/>
      <sheetName val="Graphs"/>
      <sheetName val="Print Modules"/>
    </sheetNames>
    <sheetDataSet>
      <sheetData sheetId="0"/>
      <sheetData sheetId="1"/>
      <sheetData sheetId="2" refreshError="1">
        <row r="8">
          <cell r="A8" t="str">
            <v>Sales</v>
          </cell>
          <cell r="K8">
            <v>0</v>
          </cell>
          <cell r="L8">
            <v>0</v>
          </cell>
        </row>
        <row r="9">
          <cell r="A9">
            <v>1000</v>
          </cell>
          <cell r="B9">
            <v>105010</v>
          </cell>
          <cell r="C9" t="str">
            <v>SALES: Tuition: Main</v>
          </cell>
          <cell r="E9">
            <v>1734796</v>
          </cell>
          <cell r="F9">
            <v>0</v>
          </cell>
          <cell r="G9">
            <v>0</v>
          </cell>
          <cell r="H9" t="str">
            <v>4,11,28</v>
          </cell>
          <cell r="I9">
            <v>270151</v>
          </cell>
          <cell r="K9">
            <v>0</v>
          </cell>
          <cell r="L9">
            <v>1464645</v>
          </cell>
        </row>
        <row r="10">
          <cell r="A10">
            <v>1000</v>
          </cell>
          <cell r="B10">
            <v>105410</v>
          </cell>
          <cell r="C10" t="str">
            <v>SALES: Tuition: Cambr</v>
          </cell>
          <cell r="F10">
            <v>0</v>
          </cell>
          <cell r="G10">
            <v>0</v>
          </cell>
          <cell r="K10">
            <v>0</v>
          </cell>
          <cell r="L10">
            <v>0</v>
          </cell>
        </row>
        <row r="11">
          <cell r="A11">
            <v>1000</v>
          </cell>
          <cell r="B11">
            <v>105610</v>
          </cell>
          <cell r="C11" t="str">
            <v>SALES: Tuition: Priva</v>
          </cell>
          <cell r="F11">
            <v>0</v>
          </cell>
          <cell r="G11">
            <v>0</v>
          </cell>
          <cell r="K11">
            <v>0</v>
          </cell>
          <cell r="L11">
            <v>0</v>
          </cell>
        </row>
        <row r="12">
          <cell r="A12">
            <v>1000</v>
          </cell>
          <cell r="B12">
            <v>105810</v>
          </cell>
          <cell r="C12" t="str">
            <v>SALES: Abiturkurs</v>
          </cell>
          <cell r="F12">
            <v>0</v>
          </cell>
          <cell r="G12">
            <v>0</v>
          </cell>
          <cell r="K12">
            <v>0</v>
          </cell>
          <cell r="L12">
            <v>0</v>
          </cell>
        </row>
        <row r="13">
          <cell r="A13">
            <v>1000</v>
          </cell>
          <cell r="B13">
            <v>105910</v>
          </cell>
          <cell r="C13" t="str">
            <v>SALES: Tuition: Busin</v>
          </cell>
          <cell r="F13">
            <v>0</v>
          </cell>
          <cell r="G13">
            <v>0</v>
          </cell>
          <cell r="K13">
            <v>0</v>
          </cell>
          <cell r="L13">
            <v>0</v>
          </cell>
        </row>
        <row r="14">
          <cell r="A14">
            <v>1000</v>
          </cell>
          <cell r="B14">
            <v>106010</v>
          </cell>
          <cell r="C14" t="str">
            <v>SALES: Academic Year</v>
          </cell>
          <cell r="F14">
            <v>0</v>
          </cell>
          <cell r="G14">
            <v>0</v>
          </cell>
          <cell r="K14">
            <v>0</v>
          </cell>
          <cell r="L14">
            <v>0</v>
          </cell>
        </row>
        <row r="15">
          <cell r="A15">
            <v>1000</v>
          </cell>
          <cell r="B15">
            <v>106110</v>
          </cell>
          <cell r="C15" t="str">
            <v>SALES: General Englis</v>
          </cell>
          <cell r="F15">
            <v>0</v>
          </cell>
          <cell r="G15">
            <v>0</v>
          </cell>
          <cell r="K15">
            <v>0</v>
          </cell>
          <cell r="L15">
            <v>0</v>
          </cell>
        </row>
        <row r="16">
          <cell r="A16">
            <v>1000</v>
          </cell>
          <cell r="C16" t="str">
            <v>SALES: General English PLUS</v>
          </cell>
          <cell r="F16">
            <v>0</v>
          </cell>
          <cell r="G16">
            <v>0</v>
          </cell>
          <cell r="K16">
            <v>0</v>
          </cell>
          <cell r="L16">
            <v>0</v>
          </cell>
        </row>
        <row r="17">
          <cell r="A17">
            <v>1000</v>
          </cell>
          <cell r="C17" t="str">
            <v>SALES: Mini Group Torquay</v>
          </cell>
          <cell r="F17">
            <v>0</v>
          </cell>
          <cell r="G17">
            <v>0</v>
          </cell>
          <cell r="K17">
            <v>0</v>
          </cell>
          <cell r="L17">
            <v>0</v>
          </cell>
        </row>
        <row r="18">
          <cell r="A18">
            <v>1000</v>
          </cell>
          <cell r="C18" t="str">
            <v>SALES: Teenager Course Torquay</v>
          </cell>
          <cell r="F18">
            <v>0</v>
          </cell>
          <cell r="G18">
            <v>0</v>
          </cell>
          <cell r="K18">
            <v>0</v>
          </cell>
          <cell r="L18">
            <v>0</v>
          </cell>
        </row>
        <row r="19">
          <cell r="A19">
            <v>1000</v>
          </cell>
          <cell r="C19" t="str">
            <v>SALES: Teenager Course w/Activity Torquay</v>
          </cell>
          <cell r="F19">
            <v>0</v>
          </cell>
          <cell r="G19">
            <v>0</v>
          </cell>
          <cell r="K19">
            <v>0</v>
          </cell>
          <cell r="L19">
            <v>0</v>
          </cell>
        </row>
        <row r="20">
          <cell r="A20">
            <v>1000</v>
          </cell>
          <cell r="C20" t="str">
            <v>SALES: Junior Course Torquay</v>
          </cell>
          <cell r="F20">
            <v>0</v>
          </cell>
          <cell r="G20">
            <v>0</v>
          </cell>
          <cell r="K20">
            <v>0</v>
          </cell>
          <cell r="L20">
            <v>0</v>
          </cell>
        </row>
        <row r="21">
          <cell r="A21">
            <v>1000</v>
          </cell>
          <cell r="C21" t="str">
            <v>SALES: Teenager Course Paington</v>
          </cell>
          <cell r="F21">
            <v>0</v>
          </cell>
          <cell r="G21">
            <v>0</v>
          </cell>
          <cell r="K21">
            <v>0</v>
          </cell>
          <cell r="L21">
            <v>0</v>
          </cell>
        </row>
        <row r="22">
          <cell r="A22">
            <v>1000</v>
          </cell>
          <cell r="C22" t="str">
            <v>SALES: Teenager Course q/Activity Torquay</v>
          </cell>
          <cell r="F22">
            <v>0</v>
          </cell>
          <cell r="G22">
            <v>0</v>
          </cell>
          <cell r="K22">
            <v>0</v>
          </cell>
          <cell r="L22">
            <v>0</v>
          </cell>
        </row>
        <row r="23">
          <cell r="A23">
            <v>1000</v>
          </cell>
          <cell r="C23" t="str">
            <v>SALES: Junior Course Paington</v>
          </cell>
          <cell r="F23">
            <v>0</v>
          </cell>
          <cell r="G23">
            <v>0</v>
          </cell>
          <cell r="K23">
            <v>0</v>
          </cell>
          <cell r="L23">
            <v>0</v>
          </cell>
        </row>
        <row r="24">
          <cell r="A24">
            <v>1000</v>
          </cell>
          <cell r="B24">
            <v>110010</v>
          </cell>
          <cell r="C24" t="str">
            <v>SALES: Parties</v>
          </cell>
          <cell r="E24">
            <v>14796</v>
          </cell>
          <cell r="F24">
            <v>0</v>
          </cell>
          <cell r="G24">
            <v>0</v>
          </cell>
          <cell r="K24">
            <v>0</v>
          </cell>
          <cell r="L24">
            <v>14796</v>
          </cell>
        </row>
        <row r="25">
          <cell r="A25">
            <v>1000</v>
          </cell>
          <cell r="B25">
            <v>115010</v>
          </cell>
          <cell r="C25" t="str">
            <v>SALES: Junior Suppliment</v>
          </cell>
          <cell r="E25">
            <v>30958</v>
          </cell>
          <cell r="F25">
            <v>0</v>
          </cell>
          <cell r="G25">
            <v>0</v>
          </cell>
          <cell r="K25">
            <v>0</v>
          </cell>
          <cell r="L25">
            <v>30958</v>
          </cell>
        </row>
        <row r="26">
          <cell r="A26">
            <v>1000</v>
          </cell>
          <cell r="B26">
            <v>120010</v>
          </cell>
          <cell r="C26" t="str">
            <v>SALES: Activities</v>
          </cell>
          <cell r="E26">
            <v>91104</v>
          </cell>
          <cell r="F26">
            <v>0</v>
          </cell>
          <cell r="G26">
            <v>0</v>
          </cell>
          <cell r="H26">
            <v>4</v>
          </cell>
          <cell r="I26">
            <v>2889</v>
          </cell>
          <cell r="K26">
            <v>0</v>
          </cell>
          <cell r="L26">
            <v>88215</v>
          </cell>
        </row>
        <row r="27">
          <cell r="A27">
            <v>1000</v>
          </cell>
          <cell r="B27">
            <v>125010</v>
          </cell>
          <cell r="C27" t="str">
            <v>SALES: Accommodation: Hotels HLH</v>
          </cell>
          <cell r="E27">
            <v>8902</v>
          </cell>
          <cell r="F27">
            <v>0</v>
          </cell>
          <cell r="G27">
            <v>0</v>
          </cell>
          <cell r="H27">
            <v>32</v>
          </cell>
          <cell r="J27">
            <v>5000</v>
          </cell>
          <cell r="K27">
            <v>0</v>
          </cell>
          <cell r="L27">
            <v>13902</v>
          </cell>
        </row>
        <row r="28">
          <cell r="A28">
            <v>1000</v>
          </cell>
          <cell r="B28" t="str">
            <v>126010</v>
          </cell>
          <cell r="C28" t="str">
            <v>SALES: HLH Residence</v>
          </cell>
          <cell r="E28">
            <v>60176</v>
          </cell>
          <cell r="L28">
            <v>60176</v>
          </cell>
        </row>
        <row r="29">
          <cell r="A29">
            <v>1000</v>
          </cell>
          <cell r="B29">
            <v>127010</v>
          </cell>
          <cell r="C29" t="str">
            <v>SALES: Matilda House</v>
          </cell>
          <cell r="E29">
            <v>15652</v>
          </cell>
          <cell r="F29">
            <v>0</v>
          </cell>
          <cell r="G29">
            <v>0</v>
          </cell>
          <cell r="K29">
            <v>0</v>
          </cell>
          <cell r="L29">
            <v>15652</v>
          </cell>
        </row>
        <row r="30">
          <cell r="A30">
            <v>1000</v>
          </cell>
          <cell r="B30">
            <v>130010</v>
          </cell>
          <cell r="C30" t="str">
            <v>SALES: Accommodation: Hotel</v>
          </cell>
          <cell r="E30">
            <v>120603</v>
          </cell>
          <cell r="F30">
            <v>0</v>
          </cell>
          <cell r="G30">
            <v>0</v>
          </cell>
          <cell r="H30">
            <v>4</v>
          </cell>
          <cell r="I30">
            <v>4215</v>
          </cell>
          <cell r="K30">
            <v>0</v>
          </cell>
          <cell r="L30">
            <v>116388</v>
          </cell>
        </row>
        <row r="31">
          <cell r="A31">
            <v>1000</v>
          </cell>
          <cell r="B31">
            <v>135010</v>
          </cell>
          <cell r="C31" t="str">
            <v>SALES: Accommodation: Host Family</v>
          </cell>
          <cell r="E31">
            <v>913891</v>
          </cell>
          <cell r="F31">
            <v>0</v>
          </cell>
          <cell r="G31">
            <v>0</v>
          </cell>
          <cell r="H31" t="str">
            <v>2,4,32</v>
          </cell>
          <cell r="I31">
            <v>96602</v>
          </cell>
          <cell r="K31">
            <v>0</v>
          </cell>
          <cell r="L31">
            <v>817289</v>
          </cell>
        </row>
        <row r="32">
          <cell r="A32">
            <v>1000</v>
          </cell>
          <cell r="B32">
            <v>140010</v>
          </cell>
          <cell r="C32" t="str">
            <v>SALES: Transfers</v>
          </cell>
          <cell r="E32">
            <v>125351</v>
          </cell>
          <cell r="F32">
            <v>0</v>
          </cell>
          <cell r="G32">
            <v>0</v>
          </cell>
          <cell r="H32" t="str">
            <v>4,28</v>
          </cell>
          <cell r="J32">
            <v>7770</v>
          </cell>
          <cell r="K32">
            <v>0</v>
          </cell>
          <cell r="L32">
            <v>133121</v>
          </cell>
        </row>
        <row r="33">
          <cell r="A33">
            <v>1000</v>
          </cell>
          <cell r="B33">
            <v>145010</v>
          </cell>
          <cell r="C33" t="str">
            <v>SALES: Excursions</v>
          </cell>
          <cell r="E33">
            <v>135915</v>
          </cell>
          <cell r="F33">
            <v>0</v>
          </cell>
          <cell r="G33">
            <v>0</v>
          </cell>
          <cell r="K33">
            <v>0</v>
          </cell>
          <cell r="L33">
            <v>135915</v>
          </cell>
        </row>
        <row r="34">
          <cell r="A34">
            <v>1000</v>
          </cell>
          <cell r="B34">
            <v>155010</v>
          </cell>
          <cell r="C34" t="str">
            <v>SALES: Course Books/M</v>
          </cell>
          <cell r="E34">
            <v>59722</v>
          </cell>
          <cell r="F34">
            <v>0</v>
          </cell>
          <cell r="G34">
            <v>0</v>
          </cell>
          <cell r="K34">
            <v>0</v>
          </cell>
          <cell r="L34">
            <v>59722</v>
          </cell>
        </row>
        <row r="35">
          <cell r="A35">
            <v>1000</v>
          </cell>
          <cell r="C35" t="str">
            <v>SALES: KC Tuition</v>
          </cell>
          <cell r="H35">
            <v>11</v>
          </cell>
          <cell r="J35">
            <v>190624</v>
          </cell>
          <cell r="L35">
            <v>190624</v>
          </cell>
        </row>
        <row r="36">
          <cell r="A36">
            <v>1000</v>
          </cell>
          <cell r="C36" t="str">
            <v>SALES: Residential Income</v>
          </cell>
          <cell r="E36">
            <v>94822</v>
          </cell>
          <cell r="K36">
            <v>0</v>
          </cell>
          <cell r="L36">
            <v>94822</v>
          </cell>
        </row>
        <row r="37">
          <cell r="A37">
            <v>1000</v>
          </cell>
          <cell r="B37">
            <v>190010</v>
          </cell>
          <cell r="C37" t="str">
            <v>SALES: Examination Fee</v>
          </cell>
          <cell r="E37">
            <v>4285</v>
          </cell>
          <cell r="F37">
            <v>0</v>
          </cell>
          <cell r="G37">
            <v>0</v>
          </cell>
          <cell r="K37">
            <v>0</v>
          </cell>
          <cell r="L37">
            <v>4285</v>
          </cell>
        </row>
        <row r="38">
          <cell r="A38">
            <v>1000</v>
          </cell>
          <cell r="B38">
            <v>195010</v>
          </cell>
          <cell r="C38" t="str">
            <v>SALES: Discounts Allo</v>
          </cell>
          <cell r="D38">
            <v>636032</v>
          </cell>
          <cell r="F38">
            <v>0</v>
          </cell>
          <cell r="G38">
            <v>0</v>
          </cell>
          <cell r="H38">
            <v>4</v>
          </cell>
          <cell r="J38">
            <v>19464</v>
          </cell>
          <cell r="K38">
            <v>616568</v>
          </cell>
          <cell r="L38">
            <v>0</v>
          </cell>
        </row>
        <row r="42">
          <cell r="A42" t="str">
            <v>Direct Costs</v>
          </cell>
          <cell r="F42">
            <v>0</v>
          </cell>
          <cell r="G42">
            <v>0</v>
          </cell>
          <cell r="K42">
            <v>0</v>
          </cell>
          <cell r="L42">
            <v>0</v>
          </cell>
        </row>
        <row r="43">
          <cell r="A43">
            <v>2000</v>
          </cell>
          <cell r="B43">
            <v>204010</v>
          </cell>
          <cell r="C43" t="str">
            <v>DC: Opening Stock</v>
          </cell>
          <cell r="D43">
            <v>98135</v>
          </cell>
          <cell r="F43">
            <v>0</v>
          </cell>
          <cell r="G43">
            <v>0</v>
          </cell>
          <cell r="K43">
            <v>98135</v>
          </cell>
          <cell r="L43">
            <v>0</v>
          </cell>
        </row>
        <row r="44">
          <cell r="A44">
            <v>2000</v>
          </cell>
          <cell r="B44">
            <v>208010</v>
          </cell>
          <cell r="C44" t="str">
            <v>DC: Closing Stock</v>
          </cell>
          <cell r="E44">
            <v>98135</v>
          </cell>
          <cell r="F44">
            <v>0</v>
          </cell>
          <cell r="G44">
            <v>0</v>
          </cell>
          <cell r="K44">
            <v>0</v>
          </cell>
          <cell r="L44">
            <v>98135</v>
          </cell>
        </row>
        <row r="45">
          <cell r="A45">
            <v>2000</v>
          </cell>
          <cell r="B45">
            <v>211010</v>
          </cell>
          <cell r="C45" t="str">
            <v>DC: Matilda House</v>
          </cell>
          <cell r="D45">
            <v>10250</v>
          </cell>
          <cell r="F45">
            <v>0</v>
          </cell>
          <cell r="G45">
            <v>310</v>
          </cell>
          <cell r="K45">
            <v>9940</v>
          </cell>
          <cell r="L45">
            <v>0</v>
          </cell>
        </row>
        <row r="46">
          <cell r="A46">
            <v>2000</v>
          </cell>
          <cell r="B46">
            <v>212010</v>
          </cell>
          <cell r="C46" t="str">
            <v>DC: Accommodation: HLH</v>
          </cell>
          <cell r="D46">
            <v>70171</v>
          </cell>
          <cell r="F46">
            <v>0</v>
          </cell>
          <cell r="G46">
            <v>0</v>
          </cell>
          <cell r="K46">
            <v>70171</v>
          </cell>
          <cell r="L46">
            <v>0</v>
          </cell>
        </row>
        <row r="47">
          <cell r="A47">
            <v>2000</v>
          </cell>
          <cell r="B47">
            <v>216010</v>
          </cell>
          <cell r="C47" t="str">
            <v>DC: Accommodation: Hotels</v>
          </cell>
          <cell r="D47">
            <v>83771</v>
          </cell>
          <cell r="F47">
            <v>24345</v>
          </cell>
          <cell r="G47">
            <v>0</v>
          </cell>
          <cell r="K47">
            <v>108116</v>
          </cell>
          <cell r="L47">
            <v>0</v>
          </cell>
        </row>
        <row r="48">
          <cell r="A48">
            <v>2000</v>
          </cell>
          <cell r="B48">
            <v>220010</v>
          </cell>
          <cell r="C48" t="str">
            <v>DC: Accommodation: Host Family</v>
          </cell>
          <cell r="D48">
            <v>124641</v>
          </cell>
          <cell r="F48">
            <v>5337</v>
          </cell>
          <cell r="G48">
            <v>0</v>
          </cell>
          <cell r="H48" t="str">
            <v>8,24,29</v>
          </cell>
          <cell r="I48">
            <v>464721</v>
          </cell>
          <cell r="J48">
            <v>12000</v>
          </cell>
          <cell r="K48">
            <v>582699</v>
          </cell>
          <cell r="L48">
            <v>0</v>
          </cell>
        </row>
        <row r="49">
          <cell r="A49">
            <v>2000</v>
          </cell>
          <cell r="B49">
            <v>220055</v>
          </cell>
          <cell r="C49" t="str">
            <v>DC: Accommodation: Residence</v>
          </cell>
          <cell r="D49">
            <v>2852</v>
          </cell>
          <cell r="F49">
            <v>31979</v>
          </cell>
          <cell r="G49">
            <v>0</v>
          </cell>
          <cell r="K49">
            <v>34831</v>
          </cell>
          <cell r="L49">
            <v>0</v>
          </cell>
        </row>
        <row r="50">
          <cell r="A50">
            <v>2000</v>
          </cell>
          <cell r="B50">
            <v>222055</v>
          </cell>
          <cell r="C50" t="str">
            <v>DC: Residential Education</v>
          </cell>
          <cell r="D50">
            <v>2</v>
          </cell>
          <cell r="F50">
            <v>0</v>
          </cell>
          <cell r="G50">
            <v>0</v>
          </cell>
          <cell r="K50">
            <v>2</v>
          </cell>
          <cell r="L50">
            <v>0</v>
          </cell>
        </row>
        <row r="51">
          <cell r="A51">
            <v>2000</v>
          </cell>
          <cell r="B51">
            <v>223010</v>
          </cell>
          <cell r="C51" t="str">
            <v>DC: Lunches</v>
          </cell>
          <cell r="D51">
            <v>77</v>
          </cell>
          <cell r="F51">
            <v>0</v>
          </cell>
          <cell r="G51">
            <v>0</v>
          </cell>
          <cell r="K51">
            <v>77</v>
          </cell>
          <cell r="L51">
            <v>0</v>
          </cell>
        </row>
        <row r="52">
          <cell r="A52">
            <v>2000</v>
          </cell>
          <cell r="B52">
            <v>228110</v>
          </cell>
          <cell r="C52" t="str">
            <v>DC: Transfers: Adults</v>
          </cell>
          <cell r="D52">
            <v>49663</v>
          </cell>
          <cell r="F52">
            <v>7750</v>
          </cell>
          <cell r="G52">
            <v>0</v>
          </cell>
          <cell r="K52">
            <v>57413</v>
          </cell>
          <cell r="L52">
            <v>0</v>
          </cell>
        </row>
        <row r="53">
          <cell r="A53">
            <v>2000</v>
          </cell>
          <cell r="B53">
            <v>229010</v>
          </cell>
          <cell r="C53" t="str">
            <v>DC: Meet &amp; Greet</v>
          </cell>
          <cell r="D53">
            <v>40667</v>
          </cell>
          <cell r="F53">
            <v>1500</v>
          </cell>
          <cell r="G53">
            <v>0</v>
          </cell>
          <cell r="K53">
            <v>42167</v>
          </cell>
          <cell r="L53">
            <v>0</v>
          </cell>
        </row>
        <row r="54">
          <cell r="A54">
            <v>2000</v>
          </cell>
          <cell r="B54">
            <v>230010</v>
          </cell>
          <cell r="C54" t="str">
            <v>DC: National Express</v>
          </cell>
          <cell r="D54">
            <v>6434</v>
          </cell>
          <cell r="F54">
            <v>500</v>
          </cell>
          <cell r="G54">
            <v>0</v>
          </cell>
          <cell r="H54">
            <v>25</v>
          </cell>
          <cell r="I54">
            <v>1779</v>
          </cell>
          <cell r="K54">
            <v>8713</v>
          </cell>
          <cell r="L54">
            <v>0</v>
          </cell>
        </row>
        <row r="55">
          <cell r="A55">
            <v>2000</v>
          </cell>
          <cell r="C55" t="str">
            <v>DC: FOC accommodation</v>
          </cell>
          <cell r="D55">
            <v>14172</v>
          </cell>
          <cell r="H55">
            <v>29</v>
          </cell>
          <cell r="I55">
            <v>12000</v>
          </cell>
          <cell r="K55">
            <v>26172</v>
          </cell>
          <cell r="L55">
            <v>0</v>
          </cell>
        </row>
        <row r="56">
          <cell r="A56">
            <v>2000</v>
          </cell>
          <cell r="B56">
            <v>236010</v>
          </cell>
          <cell r="C56" t="str">
            <v>DC: Excursions</v>
          </cell>
          <cell r="D56">
            <v>60848</v>
          </cell>
          <cell r="F56">
            <v>18678</v>
          </cell>
          <cell r="G56">
            <v>0</v>
          </cell>
          <cell r="K56">
            <v>79526</v>
          </cell>
          <cell r="L56">
            <v>0</v>
          </cell>
        </row>
        <row r="57">
          <cell r="A57">
            <v>2000</v>
          </cell>
          <cell r="B57">
            <v>240010</v>
          </cell>
          <cell r="C57" t="str">
            <v>DC: Wages: Academic: Pe</v>
          </cell>
          <cell r="D57">
            <v>273626</v>
          </cell>
          <cell r="F57">
            <v>50451</v>
          </cell>
          <cell r="G57">
            <v>0</v>
          </cell>
          <cell r="K57">
            <v>324077</v>
          </cell>
          <cell r="L57">
            <v>0</v>
          </cell>
          <cell r="O57" t="str">
            <v>wages</v>
          </cell>
        </row>
        <row r="58">
          <cell r="A58">
            <v>2000</v>
          </cell>
          <cell r="B58">
            <v>244020</v>
          </cell>
          <cell r="C58" t="str">
            <v xml:space="preserve">DC: Wages: Academic: P/T      </v>
          </cell>
          <cell r="D58">
            <v>90262</v>
          </cell>
          <cell r="F58">
            <v>0</v>
          </cell>
          <cell r="G58">
            <v>0</v>
          </cell>
          <cell r="K58">
            <v>90262</v>
          </cell>
          <cell r="L58">
            <v>0</v>
          </cell>
          <cell r="O58" t="str">
            <v>wages</v>
          </cell>
        </row>
        <row r="59">
          <cell r="A59">
            <v>2000</v>
          </cell>
          <cell r="B59" t="str">
            <v>244055</v>
          </cell>
          <cell r="C59" t="str">
            <v>DC: Residential Salaries</v>
          </cell>
          <cell r="D59">
            <v>42109</v>
          </cell>
          <cell r="F59">
            <v>0</v>
          </cell>
          <cell r="G59">
            <v>0</v>
          </cell>
          <cell r="K59">
            <v>42109</v>
          </cell>
        </row>
        <row r="60">
          <cell r="A60">
            <v>2000</v>
          </cell>
          <cell r="B60">
            <v>248070</v>
          </cell>
          <cell r="C60" t="str">
            <v xml:space="preserve">DC: Wages: Leisure             </v>
          </cell>
          <cell r="D60">
            <v>84955</v>
          </cell>
          <cell r="F60">
            <v>31470</v>
          </cell>
          <cell r="G60">
            <v>0</v>
          </cell>
          <cell r="K60">
            <v>116425</v>
          </cell>
          <cell r="L60">
            <v>0</v>
          </cell>
          <cell r="O60" t="str">
            <v>wages</v>
          </cell>
        </row>
        <row r="61">
          <cell r="A61">
            <v>2000</v>
          </cell>
          <cell r="B61">
            <v>248080</v>
          </cell>
          <cell r="C61" t="str">
            <v>DC: Wages: Leisure: Co NI</v>
          </cell>
          <cell r="D61">
            <v>33727</v>
          </cell>
          <cell r="F61">
            <v>0</v>
          </cell>
          <cell r="G61">
            <v>0</v>
          </cell>
          <cell r="K61">
            <v>33727</v>
          </cell>
          <cell r="L61">
            <v>0</v>
          </cell>
          <cell r="O61" t="str">
            <v>wages</v>
          </cell>
        </row>
        <row r="62">
          <cell r="A62">
            <v>2000</v>
          </cell>
          <cell r="B62">
            <v>248170</v>
          </cell>
          <cell r="C62" t="str">
            <v xml:space="preserve">DC: Wages: Admin               </v>
          </cell>
          <cell r="F62">
            <v>0</v>
          </cell>
          <cell r="G62">
            <v>0</v>
          </cell>
          <cell r="K62">
            <v>0</v>
          </cell>
          <cell r="L62">
            <v>0</v>
          </cell>
          <cell r="O62" t="str">
            <v>wages</v>
          </cell>
        </row>
        <row r="63">
          <cell r="A63">
            <v>2000</v>
          </cell>
          <cell r="B63">
            <v>252010</v>
          </cell>
          <cell r="C63" t="str">
            <v xml:space="preserve">DC: Course Books               </v>
          </cell>
          <cell r="D63">
            <v>38329</v>
          </cell>
          <cell r="F63">
            <v>4000</v>
          </cell>
          <cell r="G63">
            <v>0</v>
          </cell>
          <cell r="H63" t="str">
            <v>6,7</v>
          </cell>
          <cell r="I63">
            <v>3428</v>
          </cell>
          <cell r="K63">
            <v>45757</v>
          </cell>
          <cell r="L63">
            <v>0</v>
          </cell>
        </row>
        <row r="64">
          <cell r="A64">
            <v>2000</v>
          </cell>
          <cell r="B64">
            <v>252060</v>
          </cell>
          <cell r="C64" t="str">
            <v>DC: Books for Re-sale</v>
          </cell>
          <cell r="F64">
            <v>0</v>
          </cell>
          <cell r="G64">
            <v>0</v>
          </cell>
          <cell r="K64">
            <v>0</v>
          </cell>
          <cell r="L64">
            <v>0</v>
          </cell>
        </row>
        <row r="65">
          <cell r="A65">
            <v>2000</v>
          </cell>
          <cell r="B65">
            <v>253010</v>
          </cell>
          <cell r="C65" t="str">
            <v>DC: Resources</v>
          </cell>
          <cell r="D65">
            <v>3057</v>
          </cell>
          <cell r="F65">
            <v>0</v>
          </cell>
          <cell r="G65">
            <v>0</v>
          </cell>
          <cell r="H65">
            <v>6</v>
          </cell>
          <cell r="I65">
            <v>15376</v>
          </cell>
          <cell r="K65">
            <v>18433</v>
          </cell>
          <cell r="L65">
            <v>0</v>
          </cell>
        </row>
        <row r="66">
          <cell r="A66">
            <v>2000</v>
          </cell>
          <cell r="B66">
            <v>256020</v>
          </cell>
          <cell r="C66" t="str">
            <v>DC: Teaching Material</v>
          </cell>
          <cell r="D66">
            <v>229</v>
          </cell>
          <cell r="F66">
            <v>0</v>
          </cell>
          <cell r="G66">
            <v>0</v>
          </cell>
          <cell r="K66">
            <v>229</v>
          </cell>
          <cell r="L66">
            <v>0</v>
          </cell>
        </row>
        <row r="67">
          <cell r="A67">
            <v>2000</v>
          </cell>
          <cell r="B67">
            <v>264010</v>
          </cell>
          <cell r="C67" t="str">
            <v>DC: Coach Hire: Trans</v>
          </cell>
          <cell r="D67">
            <v>14779</v>
          </cell>
          <cell r="F67">
            <v>21173</v>
          </cell>
          <cell r="G67">
            <v>0</v>
          </cell>
          <cell r="K67">
            <v>35952</v>
          </cell>
          <cell r="L67">
            <v>0</v>
          </cell>
        </row>
        <row r="68">
          <cell r="A68">
            <v>2000</v>
          </cell>
          <cell r="B68">
            <v>264110</v>
          </cell>
          <cell r="C68" t="str">
            <v>DC: Coach Hire: Transp</v>
          </cell>
          <cell r="D68">
            <v>2606</v>
          </cell>
          <cell r="F68">
            <v>0</v>
          </cell>
          <cell r="G68">
            <v>0</v>
          </cell>
          <cell r="K68">
            <v>2606</v>
          </cell>
          <cell r="L68">
            <v>0</v>
          </cell>
        </row>
        <row r="69">
          <cell r="A69">
            <v>2000</v>
          </cell>
          <cell r="B69">
            <v>268010</v>
          </cell>
          <cell r="C69" t="str">
            <v>DC: Taxis</v>
          </cell>
          <cell r="D69">
            <v>11150</v>
          </cell>
          <cell r="F69">
            <v>1500</v>
          </cell>
          <cell r="G69">
            <v>0</v>
          </cell>
          <cell r="K69">
            <v>12650</v>
          </cell>
          <cell r="L69">
            <v>0</v>
          </cell>
        </row>
        <row r="70">
          <cell r="A70">
            <v>2000</v>
          </cell>
          <cell r="B70">
            <v>276010</v>
          </cell>
          <cell r="C70" t="str">
            <v>DC: Activities</v>
          </cell>
          <cell r="D70">
            <v>5902</v>
          </cell>
          <cell r="F70">
            <v>1000</v>
          </cell>
          <cell r="G70">
            <v>0</v>
          </cell>
          <cell r="K70">
            <v>6902</v>
          </cell>
          <cell r="L70">
            <v>0</v>
          </cell>
        </row>
        <row r="71">
          <cell r="A71">
            <v>2000</v>
          </cell>
          <cell r="B71" t="str">
            <v>220055</v>
          </cell>
          <cell r="C71" t="str">
            <v>DC: Activities Residential</v>
          </cell>
          <cell r="D71">
            <v>94861</v>
          </cell>
          <cell r="F71">
            <v>13426</v>
          </cell>
          <cell r="G71">
            <v>0</v>
          </cell>
          <cell r="H71" t="str">
            <v>9,31</v>
          </cell>
          <cell r="I71">
            <v>10000</v>
          </cell>
          <cell r="J71">
            <v>5000</v>
          </cell>
          <cell r="K71">
            <v>113287</v>
          </cell>
          <cell r="L71">
            <v>0</v>
          </cell>
        </row>
        <row r="72">
          <cell r="A72">
            <v>2000</v>
          </cell>
          <cell r="B72">
            <v>277020</v>
          </cell>
          <cell r="C72" t="str">
            <v>DC: Training Partners</v>
          </cell>
          <cell r="D72">
            <v>1090</v>
          </cell>
          <cell r="F72">
            <v>0</v>
          </cell>
          <cell r="G72">
            <v>0</v>
          </cell>
          <cell r="K72">
            <v>1090</v>
          </cell>
          <cell r="L72">
            <v>0</v>
          </cell>
        </row>
        <row r="73">
          <cell r="A73">
            <v>2000</v>
          </cell>
          <cell r="B73">
            <v>284010</v>
          </cell>
          <cell r="C73" t="str">
            <v>DC: Exam Fees</v>
          </cell>
          <cell r="D73">
            <v>4439</v>
          </cell>
          <cell r="F73">
            <v>250</v>
          </cell>
          <cell r="G73">
            <v>0</v>
          </cell>
          <cell r="K73">
            <v>4689</v>
          </cell>
          <cell r="L73">
            <v>0</v>
          </cell>
        </row>
        <row r="74">
          <cell r="C74" t="str">
            <v>DC: Miscellenous KC</v>
          </cell>
          <cell r="H74">
            <v>31</v>
          </cell>
          <cell r="I74">
            <v>5000</v>
          </cell>
          <cell r="K74">
            <v>5000</v>
          </cell>
          <cell r="L74">
            <v>0</v>
          </cell>
        </row>
        <row r="75">
          <cell r="A75">
            <v>2000</v>
          </cell>
          <cell r="B75" t="str">
            <v>295010</v>
          </cell>
          <cell r="C75" t="str">
            <v>DC: Sundry Expenses</v>
          </cell>
          <cell r="D75">
            <v>1021</v>
          </cell>
          <cell r="K75">
            <v>1021</v>
          </cell>
          <cell r="L75">
            <v>0</v>
          </cell>
        </row>
        <row r="76">
          <cell r="F76">
            <v>0</v>
          </cell>
          <cell r="G76">
            <v>0</v>
          </cell>
          <cell r="K76">
            <v>0</v>
          </cell>
          <cell r="L76">
            <v>0</v>
          </cell>
        </row>
        <row r="77">
          <cell r="A77" t="str">
            <v>Overheads</v>
          </cell>
          <cell r="F77">
            <v>0</v>
          </cell>
          <cell r="G77">
            <v>0</v>
          </cell>
          <cell r="K77">
            <v>0</v>
          </cell>
          <cell r="L77">
            <v>0</v>
          </cell>
        </row>
        <row r="78">
          <cell r="A78">
            <v>3000</v>
          </cell>
          <cell r="B78">
            <v>302010</v>
          </cell>
          <cell r="C78" t="str">
            <v>OS: Teacher Training</v>
          </cell>
          <cell r="E78">
            <v>32007</v>
          </cell>
          <cell r="F78">
            <v>0</v>
          </cell>
          <cell r="G78">
            <v>0</v>
          </cell>
          <cell r="K78">
            <v>0</v>
          </cell>
          <cell r="L78">
            <v>32007</v>
          </cell>
        </row>
        <row r="79">
          <cell r="A79">
            <v>3000</v>
          </cell>
          <cell r="B79">
            <v>303050</v>
          </cell>
          <cell r="C79" t="str">
            <v>OS: Tuckshop: Pgn</v>
          </cell>
          <cell r="E79">
            <v>12961</v>
          </cell>
          <cell r="F79">
            <v>0</v>
          </cell>
          <cell r="G79">
            <v>0</v>
          </cell>
          <cell r="H79" t="str">
            <v>16,21</v>
          </cell>
          <cell r="J79">
            <v>4549</v>
          </cell>
          <cell r="K79">
            <v>0</v>
          </cell>
          <cell r="L79">
            <v>17510</v>
          </cell>
        </row>
        <row r="80">
          <cell r="A80">
            <v>3000</v>
          </cell>
          <cell r="B80">
            <v>303150</v>
          </cell>
          <cell r="C80" t="str">
            <v>OS: Tuckshop: Tqy</v>
          </cell>
          <cell r="E80">
            <v>3588</v>
          </cell>
          <cell r="F80">
            <v>0</v>
          </cell>
          <cell r="G80">
            <v>0</v>
          </cell>
          <cell r="H80" t="str">
            <v>16,21</v>
          </cell>
          <cell r="J80">
            <v>1512</v>
          </cell>
          <cell r="K80">
            <v>0</v>
          </cell>
          <cell r="L80">
            <v>5100</v>
          </cell>
        </row>
        <row r="81">
          <cell r="A81">
            <v>3000</v>
          </cell>
          <cell r="B81">
            <v>306040</v>
          </cell>
          <cell r="C81" t="str">
            <v>OS: Bookshop</v>
          </cell>
          <cell r="E81">
            <v>6874</v>
          </cell>
          <cell r="F81">
            <v>0</v>
          </cell>
          <cell r="G81">
            <v>0</v>
          </cell>
          <cell r="H81" t="str">
            <v>16,21</v>
          </cell>
          <cell r="J81">
            <v>1797</v>
          </cell>
          <cell r="K81">
            <v>0</v>
          </cell>
          <cell r="L81">
            <v>8671</v>
          </cell>
        </row>
        <row r="82">
          <cell r="A82">
            <v>3000</v>
          </cell>
          <cell r="B82">
            <v>309030</v>
          </cell>
          <cell r="C82" t="str">
            <v>OS: Reception</v>
          </cell>
          <cell r="E82">
            <v>527</v>
          </cell>
          <cell r="F82">
            <v>0</v>
          </cell>
          <cell r="G82">
            <v>0</v>
          </cell>
          <cell r="H82">
            <v>21</v>
          </cell>
          <cell r="J82">
            <v>84</v>
          </cell>
          <cell r="K82">
            <v>0</v>
          </cell>
          <cell r="L82">
            <v>611</v>
          </cell>
        </row>
        <row r="83">
          <cell r="A83">
            <v>3000</v>
          </cell>
          <cell r="B83">
            <v>310030</v>
          </cell>
          <cell r="C83" t="str">
            <v>OS: Promotional Produ</v>
          </cell>
          <cell r="E83">
            <v>1259</v>
          </cell>
          <cell r="F83">
            <v>0</v>
          </cell>
          <cell r="G83">
            <v>0</v>
          </cell>
          <cell r="H83">
            <v>21</v>
          </cell>
          <cell r="J83">
            <v>216</v>
          </cell>
          <cell r="K83">
            <v>0</v>
          </cell>
          <cell r="L83">
            <v>1475</v>
          </cell>
        </row>
        <row r="84">
          <cell r="A84">
            <v>3000</v>
          </cell>
          <cell r="B84">
            <v>312060</v>
          </cell>
          <cell r="C84" t="str">
            <v>OS: Vending Machines</v>
          </cell>
          <cell r="E84">
            <v>663</v>
          </cell>
          <cell r="F84">
            <v>0</v>
          </cell>
          <cell r="G84">
            <v>0</v>
          </cell>
          <cell r="H84">
            <v>21</v>
          </cell>
          <cell r="J84">
            <v>122</v>
          </cell>
          <cell r="K84">
            <v>0</v>
          </cell>
          <cell r="L84">
            <v>785</v>
          </cell>
        </row>
        <row r="85">
          <cell r="A85">
            <v>3000</v>
          </cell>
          <cell r="B85">
            <v>318080</v>
          </cell>
          <cell r="C85" t="str">
            <v>OS: Excursions</v>
          </cell>
          <cell r="E85">
            <v>4568</v>
          </cell>
          <cell r="F85">
            <v>0</v>
          </cell>
          <cell r="G85">
            <v>0</v>
          </cell>
          <cell r="H85">
            <v>21</v>
          </cell>
          <cell r="J85">
            <v>7779</v>
          </cell>
          <cell r="K85">
            <v>0</v>
          </cell>
          <cell r="L85">
            <v>12347</v>
          </cell>
        </row>
        <row r="86">
          <cell r="A86">
            <v>3000</v>
          </cell>
          <cell r="B86">
            <v>319010</v>
          </cell>
          <cell r="C86" t="str">
            <v>OS: Room Hire</v>
          </cell>
          <cell r="E86">
            <v>200</v>
          </cell>
          <cell r="F86">
            <v>0</v>
          </cell>
          <cell r="G86">
            <v>0</v>
          </cell>
          <cell r="K86">
            <v>0</v>
          </cell>
          <cell r="L86">
            <v>200</v>
          </cell>
        </row>
        <row r="87">
          <cell r="A87">
            <v>3000</v>
          </cell>
          <cell r="B87">
            <v>320510</v>
          </cell>
          <cell r="C87" t="str">
            <v>OS: FOREX</v>
          </cell>
          <cell r="E87">
            <v>8</v>
          </cell>
          <cell r="F87">
            <v>0</v>
          </cell>
          <cell r="G87">
            <v>0</v>
          </cell>
          <cell r="K87">
            <v>0</v>
          </cell>
          <cell r="L87">
            <v>8</v>
          </cell>
        </row>
        <row r="88">
          <cell r="A88">
            <v>3000</v>
          </cell>
          <cell r="B88">
            <v>324010</v>
          </cell>
          <cell r="C88" t="str">
            <v>OS: Telephone</v>
          </cell>
          <cell r="E88">
            <v>171</v>
          </cell>
          <cell r="F88">
            <v>0</v>
          </cell>
          <cell r="G88">
            <v>0</v>
          </cell>
          <cell r="H88">
            <v>21</v>
          </cell>
          <cell r="J88">
            <v>39</v>
          </cell>
          <cell r="K88">
            <v>0</v>
          </cell>
          <cell r="L88">
            <v>210</v>
          </cell>
        </row>
        <row r="89">
          <cell r="A89">
            <v>3000</v>
          </cell>
          <cell r="B89">
            <v>324510</v>
          </cell>
          <cell r="C89" t="str">
            <v>OS: Telephone Cards</v>
          </cell>
          <cell r="E89">
            <v>1112</v>
          </cell>
          <cell r="F89">
            <v>0</v>
          </cell>
          <cell r="G89">
            <v>0</v>
          </cell>
          <cell r="H89">
            <v>21</v>
          </cell>
          <cell r="J89">
            <v>241</v>
          </cell>
          <cell r="K89">
            <v>0</v>
          </cell>
          <cell r="L89">
            <v>1353</v>
          </cell>
        </row>
        <row r="90">
          <cell r="A90">
            <v>3000</v>
          </cell>
          <cell r="B90">
            <v>325010</v>
          </cell>
          <cell r="C90" t="str">
            <v>OS: National Express</v>
          </cell>
          <cell r="D90">
            <v>466</v>
          </cell>
          <cell r="F90">
            <v>0</v>
          </cell>
          <cell r="G90">
            <v>0</v>
          </cell>
          <cell r="H90" t="str">
            <v>21,25</v>
          </cell>
          <cell r="J90">
            <v>1908</v>
          </cell>
          <cell r="K90">
            <v>0</v>
          </cell>
          <cell r="L90">
            <v>1442</v>
          </cell>
        </row>
        <row r="91">
          <cell r="A91">
            <v>3000</v>
          </cell>
          <cell r="B91">
            <v>327010</v>
          </cell>
          <cell r="C91" t="str">
            <v>OS: C.F.O. Recharges</v>
          </cell>
          <cell r="E91">
            <v>36874</v>
          </cell>
          <cell r="F91">
            <v>0</v>
          </cell>
          <cell r="G91">
            <v>0</v>
          </cell>
          <cell r="H91" t="str">
            <v>14,30</v>
          </cell>
          <cell r="I91">
            <v>8950</v>
          </cell>
          <cell r="K91">
            <v>0</v>
          </cell>
          <cell r="L91">
            <v>27924</v>
          </cell>
        </row>
        <row r="92">
          <cell r="A92">
            <v>3000</v>
          </cell>
          <cell r="B92">
            <v>342580</v>
          </cell>
          <cell r="C92" t="str">
            <v>OS: Transport: Int</v>
          </cell>
          <cell r="E92">
            <v>1980</v>
          </cell>
          <cell r="F92">
            <v>0</v>
          </cell>
          <cell r="G92">
            <v>0</v>
          </cell>
          <cell r="K92">
            <v>0</v>
          </cell>
          <cell r="L92">
            <v>1980</v>
          </cell>
        </row>
        <row r="93">
          <cell r="A93">
            <v>3000</v>
          </cell>
          <cell r="B93">
            <v>343010</v>
          </cell>
          <cell r="C93" t="str">
            <v>OS: Interest Received</v>
          </cell>
          <cell r="E93">
            <v>151</v>
          </cell>
          <cell r="F93">
            <v>0</v>
          </cell>
          <cell r="G93">
            <v>0</v>
          </cell>
          <cell r="K93">
            <v>0</v>
          </cell>
          <cell r="L93">
            <v>151</v>
          </cell>
        </row>
        <row r="94">
          <cell r="A94">
            <v>3000</v>
          </cell>
          <cell r="B94">
            <v>345010</v>
          </cell>
          <cell r="C94" t="str">
            <v>OS: Sundry</v>
          </cell>
          <cell r="E94">
            <v>934</v>
          </cell>
          <cell r="F94">
            <v>0</v>
          </cell>
          <cell r="G94">
            <v>0</v>
          </cell>
          <cell r="K94">
            <v>0</v>
          </cell>
          <cell r="L94">
            <v>934</v>
          </cell>
        </row>
        <row r="95">
          <cell r="A95">
            <v>3500</v>
          </cell>
          <cell r="B95">
            <v>204050</v>
          </cell>
          <cell r="C95" t="str">
            <v>OC: Opening Stock: Tuckshop</v>
          </cell>
          <cell r="D95">
            <v>707</v>
          </cell>
          <cell r="F95">
            <v>0</v>
          </cell>
          <cell r="G95">
            <v>0</v>
          </cell>
          <cell r="K95">
            <v>707</v>
          </cell>
          <cell r="L95">
            <v>0</v>
          </cell>
        </row>
        <row r="96">
          <cell r="A96">
            <v>3500</v>
          </cell>
          <cell r="B96">
            <v>208050</v>
          </cell>
          <cell r="C96" t="str">
            <v>OC: Closing Stock: Tuckshop</v>
          </cell>
          <cell r="E96">
            <v>597</v>
          </cell>
          <cell r="F96">
            <v>0</v>
          </cell>
          <cell r="G96">
            <v>0</v>
          </cell>
          <cell r="K96">
            <v>0</v>
          </cell>
          <cell r="L96">
            <v>597</v>
          </cell>
        </row>
        <row r="97">
          <cell r="A97">
            <v>3500</v>
          </cell>
          <cell r="B97">
            <v>352050</v>
          </cell>
          <cell r="C97" t="str">
            <v>OC: Purchases: Tuckshop</v>
          </cell>
          <cell r="D97">
            <v>14478</v>
          </cell>
          <cell r="F97">
            <v>2621</v>
          </cell>
          <cell r="G97">
            <v>0</v>
          </cell>
          <cell r="H97" t="str">
            <v>7,16</v>
          </cell>
          <cell r="I97">
            <v>1031</v>
          </cell>
          <cell r="J97">
            <v>636</v>
          </cell>
          <cell r="K97">
            <v>17494</v>
          </cell>
          <cell r="L97">
            <v>0</v>
          </cell>
        </row>
        <row r="98">
          <cell r="A98">
            <v>3500</v>
          </cell>
          <cell r="B98">
            <v>352150</v>
          </cell>
          <cell r="C98" t="str">
            <v>OC: Tuckshop: Other Purchases</v>
          </cell>
          <cell r="D98">
            <v>47</v>
          </cell>
          <cell r="F98">
            <v>750</v>
          </cell>
          <cell r="G98">
            <v>0</v>
          </cell>
          <cell r="H98">
            <v>6</v>
          </cell>
          <cell r="I98">
            <v>207</v>
          </cell>
          <cell r="K98">
            <v>1004</v>
          </cell>
          <cell r="L98">
            <v>0</v>
          </cell>
        </row>
        <row r="99">
          <cell r="A99">
            <v>3500</v>
          </cell>
          <cell r="B99">
            <v>354040</v>
          </cell>
          <cell r="C99" t="str">
            <v>OC: Purchases: Bookshop</v>
          </cell>
          <cell r="D99">
            <v>7826</v>
          </cell>
          <cell r="F99">
            <v>10000</v>
          </cell>
          <cell r="G99">
            <v>0</v>
          </cell>
          <cell r="H99" t="str">
            <v>6,16</v>
          </cell>
          <cell r="I99">
            <v>1692</v>
          </cell>
          <cell r="K99">
            <v>19518</v>
          </cell>
          <cell r="L99">
            <v>0</v>
          </cell>
        </row>
        <row r="100">
          <cell r="A100">
            <v>3500</v>
          </cell>
          <cell r="B100">
            <v>357030</v>
          </cell>
          <cell r="C100" t="str">
            <v>OC: Purchases: Promot</v>
          </cell>
          <cell r="D100">
            <v>276</v>
          </cell>
          <cell r="F100">
            <v>0</v>
          </cell>
          <cell r="G100">
            <v>0</v>
          </cell>
          <cell r="K100">
            <v>276</v>
          </cell>
          <cell r="L100">
            <v>0</v>
          </cell>
        </row>
        <row r="101">
          <cell r="A101">
            <v>3500</v>
          </cell>
          <cell r="B101">
            <v>360050</v>
          </cell>
          <cell r="C101" t="str">
            <v>OC: Salaries: Tuckshop</v>
          </cell>
          <cell r="D101">
            <v>7963</v>
          </cell>
          <cell r="F101">
            <v>911</v>
          </cell>
          <cell r="G101">
            <v>0</v>
          </cell>
          <cell r="K101">
            <v>8874</v>
          </cell>
          <cell r="L101">
            <v>0</v>
          </cell>
          <cell r="O101" t="str">
            <v>wages</v>
          </cell>
        </row>
        <row r="102">
          <cell r="A102">
            <v>3500</v>
          </cell>
          <cell r="B102">
            <v>362040</v>
          </cell>
          <cell r="C102" t="str">
            <v>OC: Salaries: Bookshop</v>
          </cell>
          <cell r="D102">
            <v>3424</v>
          </cell>
          <cell r="F102">
            <v>296</v>
          </cell>
          <cell r="G102">
            <v>0</v>
          </cell>
          <cell r="K102">
            <v>3720</v>
          </cell>
          <cell r="L102">
            <v>0</v>
          </cell>
          <cell r="O102" t="str">
            <v>wages</v>
          </cell>
        </row>
        <row r="103">
          <cell r="A103">
            <v>3500</v>
          </cell>
          <cell r="B103">
            <v>364080</v>
          </cell>
          <cell r="C103" t="str">
            <v>OC: Salaries: Adult</v>
          </cell>
          <cell r="D103">
            <v>73321</v>
          </cell>
          <cell r="F103">
            <v>3160</v>
          </cell>
          <cell r="G103">
            <v>0</v>
          </cell>
          <cell r="K103">
            <v>76481</v>
          </cell>
          <cell r="L103">
            <v>0</v>
          </cell>
          <cell r="O103" t="str">
            <v>wages</v>
          </cell>
        </row>
        <row r="104">
          <cell r="A104">
            <v>3500</v>
          </cell>
          <cell r="B104">
            <v>366030</v>
          </cell>
          <cell r="C104" t="str">
            <v>OC: Salaries: Co NI</v>
          </cell>
          <cell r="D104">
            <v>4645</v>
          </cell>
          <cell r="F104">
            <v>0</v>
          </cell>
          <cell r="G104">
            <v>0</v>
          </cell>
          <cell r="K104">
            <v>4645</v>
          </cell>
          <cell r="L104">
            <v>0</v>
          </cell>
          <cell r="O104" t="str">
            <v>wages</v>
          </cell>
        </row>
        <row r="105">
          <cell r="A105">
            <v>3500</v>
          </cell>
          <cell r="B105">
            <v>366580</v>
          </cell>
          <cell r="C105" t="str">
            <v>OC: Trailer</v>
          </cell>
          <cell r="D105">
            <v>62</v>
          </cell>
          <cell r="F105">
            <v>0</v>
          </cell>
          <cell r="G105">
            <v>0</v>
          </cell>
          <cell r="K105">
            <v>62</v>
          </cell>
          <cell r="L105">
            <v>0</v>
          </cell>
        </row>
        <row r="106">
          <cell r="A106">
            <v>3500</v>
          </cell>
          <cell r="B106">
            <v>370580</v>
          </cell>
          <cell r="C106" t="str">
            <v>OC: W857 WOD: Insurance</v>
          </cell>
          <cell r="D106">
            <v>434</v>
          </cell>
          <cell r="F106">
            <v>0</v>
          </cell>
          <cell r="G106">
            <v>0</v>
          </cell>
          <cell r="K106">
            <v>434</v>
          </cell>
          <cell r="L106">
            <v>0</v>
          </cell>
          <cell r="O106" t="str">
            <v>insurance</v>
          </cell>
        </row>
        <row r="107">
          <cell r="A107">
            <v>3500</v>
          </cell>
          <cell r="B107">
            <v>370680</v>
          </cell>
          <cell r="C107" t="str">
            <v>OC: W857 WOD: Fuel</v>
          </cell>
          <cell r="D107">
            <v>2998</v>
          </cell>
          <cell r="F107">
            <v>1000</v>
          </cell>
          <cell r="G107">
            <v>0</v>
          </cell>
          <cell r="K107">
            <v>3998</v>
          </cell>
          <cell r="L107">
            <v>0</v>
          </cell>
          <cell r="O107" t="str">
            <v>motor vehicle exp</v>
          </cell>
        </row>
        <row r="108">
          <cell r="A108">
            <v>3500</v>
          </cell>
          <cell r="B108">
            <v>370780</v>
          </cell>
          <cell r="C108" t="str">
            <v>OC: W857 WOD: Repairs</v>
          </cell>
          <cell r="D108">
            <v>1552</v>
          </cell>
          <cell r="F108">
            <v>0</v>
          </cell>
          <cell r="G108">
            <v>0</v>
          </cell>
          <cell r="K108">
            <v>1552</v>
          </cell>
          <cell r="L108">
            <v>0</v>
          </cell>
          <cell r="O108" t="str">
            <v>repairs &amp; m'tnce</v>
          </cell>
        </row>
        <row r="109">
          <cell r="A109">
            <v>3500</v>
          </cell>
          <cell r="B109">
            <v>371280</v>
          </cell>
          <cell r="C109" t="str">
            <v>OC:M463 KFJ: Repairs</v>
          </cell>
          <cell r="D109">
            <v>454</v>
          </cell>
          <cell r="F109">
            <v>0</v>
          </cell>
          <cell r="G109">
            <v>0</v>
          </cell>
          <cell r="K109">
            <v>454</v>
          </cell>
          <cell r="L109">
            <v>0</v>
          </cell>
          <cell r="O109" t="str">
            <v>repairs &amp; m'tnce</v>
          </cell>
        </row>
        <row r="110">
          <cell r="A110">
            <v>3500</v>
          </cell>
          <cell r="B110">
            <v>371580</v>
          </cell>
          <cell r="C110" t="str">
            <v>OC: P649 BOD: Insuarance</v>
          </cell>
          <cell r="D110">
            <v>504</v>
          </cell>
          <cell r="F110">
            <v>0</v>
          </cell>
          <cell r="G110">
            <v>0</v>
          </cell>
          <cell r="K110">
            <v>504</v>
          </cell>
          <cell r="L110">
            <v>0</v>
          </cell>
          <cell r="O110" t="str">
            <v>insurance</v>
          </cell>
        </row>
        <row r="111">
          <cell r="A111">
            <v>3500</v>
          </cell>
          <cell r="B111">
            <v>371680</v>
          </cell>
          <cell r="C111" t="str">
            <v>OC: P649 BOD: Fuel</v>
          </cell>
          <cell r="D111">
            <v>340</v>
          </cell>
          <cell r="F111">
            <v>0</v>
          </cell>
          <cell r="G111">
            <v>0</v>
          </cell>
          <cell r="K111">
            <v>340</v>
          </cell>
          <cell r="L111">
            <v>0</v>
          </cell>
          <cell r="O111" t="str">
            <v>motor vehicle exp</v>
          </cell>
        </row>
        <row r="112">
          <cell r="A112">
            <v>3500</v>
          </cell>
          <cell r="B112">
            <v>371780</v>
          </cell>
          <cell r="C112" t="str">
            <v>OC: P649 BOD: Repairs</v>
          </cell>
          <cell r="D112">
            <v>1423</v>
          </cell>
          <cell r="F112">
            <v>0</v>
          </cell>
          <cell r="G112">
            <v>0</v>
          </cell>
          <cell r="K112">
            <v>1423</v>
          </cell>
          <cell r="L112">
            <v>0</v>
          </cell>
          <cell r="O112" t="str">
            <v>repairs &amp; m'tnce</v>
          </cell>
        </row>
        <row r="113">
          <cell r="A113">
            <v>3500</v>
          </cell>
          <cell r="B113">
            <v>372080</v>
          </cell>
          <cell r="C113" t="str">
            <v>OC: P308 CFJ: Insurance</v>
          </cell>
          <cell r="D113">
            <v>460</v>
          </cell>
          <cell r="F113">
            <v>0</v>
          </cell>
          <cell r="G113">
            <v>0</v>
          </cell>
          <cell r="K113">
            <v>460</v>
          </cell>
          <cell r="L113">
            <v>0</v>
          </cell>
          <cell r="O113" t="str">
            <v>insurance</v>
          </cell>
        </row>
        <row r="114">
          <cell r="A114">
            <v>3500</v>
          </cell>
          <cell r="B114">
            <v>372180</v>
          </cell>
          <cell r="C114" t="str">
            <v>OC: P308 CFJ: Fuel</v>
          </cell>
          <cell r="D114">
            <v>960</v>
          </cell>
          <cell r="F114">
            <v>0</v>
          </cell>
          <cell r="G114">
            <v>0</v>
          </cell>
          <cell r="K114">
            <v>960</v>
          </cell>
          <cell r="L114">
            <v>0</v>
          </cell>
          <cell r="O114" t="str">
            <v>motor vehicle exp</v>
          </cell>
        </row>
        <row r="115">
          <cell r="A115">
            <v>3500</v>
          </cell>
          <cell r="B115">
            <v>372280</v>
          </cell>
          <cell r="C115" t="str">
            <v>OC: P308 CFJ: Repairs</v>
          </cell>
          <cell r="D115">
            <v>2016</v>
          </cell>
          <cell r="F115">
            <v>0</v>
          </cell>
          <cell r="G115">
            <v>0</v>
          </cell>
          <cell r="K115">
            <v>2016</v>
          </cell>
          <cell r="L115">
            <v>0</v>
          </cell>
          <cell r="O115" t="str">
            <v>repairs &amp; m'tnce</v>
          </cell>
        </row>
        <row r="116">
          <cell r="A116">
            <v>3500</v>
          </cell>
          <cell r="B116">
            <v>372580</v>
          </cell>
          <cell r="C116" t="str">
            <v>OC: R693 RFJ: Insurance</v>
          </cell>
          <cell r="D116">
            <v>506</v>
          </cell>
          <cell r="F116">
            <v>0</v>
          </cell>
          <cell r="G116">
            <v>0</v>
          </cell>
          <cell r="K116">
            <v>506</v>
          </cell>
          <cell r="L116">
            <v>0</v>
          </cell>
          <cell r="O116" t="str">
            <v>insurance</v>
          </cell>
        </row>
        <row r="117">
          <cell r="A117">
            <v>3500</v>
          </cell>
          <cell r="B117">
            <v>372680</v>
          </cell>
          <cell r="C117" t="str">
            <v>OC: R693 RFJ: Fuel</v>
          </cell>
          <cell r="D117">
            <v>702</v>
          </cell>
          <cell r="F117">
            <v>0</v>
          </cell>
          <cell r="G117">
            <v>0</v>
          </cell>
          <cell r="K117">
            <v>702</v>
          </cell>
          <cell r="L117">
            <v>0</v>
          </cell>
          <cell r="O117" t="str">
            <v>motor vehicle exp</v>
          </cell>
        </row>
        <row r="118">
          <cell r="A118">
            <v>3500</v>
          </cell>
          <cell r="B118">
            <v>372780</v>
          </cell>
          <cell r="C118" t="str">
            <v>OC: R693 RFJ: Repairs</v>
          </cell>
          <cell r="D118">
            <v>937</v>
          </cell>
          <cell r="F118">
            <v>0</v>
          </cell>
          <cell r="G118">
            <v>0</v>
          </cell>
          <cell r="K118">
            <v>937</v>
          </cell>
          <cell r="L118">
            <v>0</v>
          </cell>
          <cell r="O118" t="str">
            <v>repairs &amp; m'tnce</v>
          </cell>
        </row>
        <row r="119">
          <cell r="A119">
            <v>3500</v>
          </cell>
          <cell r="B119">
            <v>382030</v>
          </cell>
          <cell r="C119" t="str">
            <v>OC: Theatre Tickets</v>
          </cell>
          <cell r="D119">
            <v>54</v>
          </cell>
          <cell r="F119">
            <v>0</v>
          </cell>
          <cell r="G119">
            <v>0</v>
          </cell>
          <cell r="K119">
            <v>54</v>
          </cell>
          <cell r="L119">
            <v>0</v>
          </cell>
        </row>
        <row r="120">
          <cell r="A120">
            <v>3500</v>
          </cell>
          <cell r="B120">
            <v>384080</v>
          </cell>
          <cell r="C120" t="str">
            <v>OC: Excursions</v>
          </cell>
          <cell r="D120">
            <v>8770</v>
          </cell>
          <cell r="F120">
            <v>0</v>
          </cell>
          <cell r="G120">
            <v>0</v>
          </cell>
          <cell r="K120">
            <v>8770</v>
          </cell>
          <cell r="L120">
            <v>0</v>
          </cell>
        </row>
        <row r="121">
          <cell r="A121">
            <v>3500</v>
          </cell>
          <cell r="B121">
            <v>386050</v>
          </cell>
          <cell r="C121" t="str">
            <v>OC: Wastage: Tuckshop</v>
          </cell>
          <cell r="D121">
            <v>40</v>
          </cell>
          <cell r="F121">
            <v>0</v>
          </cell>
          <cell r="G121">
            <v>0</v>
          </cell>
          <cell r="K121">
            <v>40</v>
          </cell>
          <cell r="L121">
            <v>0</v>
          </cell>
        </row>
        <row r="122">
          <cell r="A122">
            <v>3500</v>
          </cell>
          <cell r="B122">
            <v>392060</v>
          </cell>
          <cell r="C122" t="str">
            <v>OC: Vending Machine R</v>
          </cell>
          <cell r="D122">
            <v>702</v>
          </cell>
          <cell r="F122">
            <v>0</v>
          </cell>
          <cell r="G122">
            <v>0</v>
          </cell>
          <cell r="H122">
            <v>17</v>
          </cell>
          <cell r="I122">
            <v>412</v>
          </cell>
          <cell r="K122">
            <v>1114</v>
          </cell>
          <cell r="L122">
            <v>0</v>
          </cell>
        </row>
        <row r="123">
          <cell r="A123">
            <v>3500</v>
          </cell>
          <cell r="B123">
            <v>394080</v>
          </cell>
          <cell r="C123" t="str">
            <v>OC: CPC Checks</v>
          </cell>
          <cell r="D123">
            <v>606</v>
          </cell>
          <cell r="F123">
            <v>0</v>
          </cell>
          <cell r="G123">
            <v>0</v>
          </cell>
          <cell r="K123">
            <v>606</v>
          </cell>
          <cell r="L123">
            <v>0</v>
          </cell>
          <cell r="O123" t="str">
            <v>sundry</v>
          </cell>
        </row>
        <row r="124">
          <cell r="A124">
            <v>3500</v>
          </cell>
          <cell r="B124">
            <v>398010</v>
          </cell>
          <cell r="C124" t="str">
            <v>OC: Sundry Expenses</v>
          </cell>
          <cell r="D124">
            <v>1054</v>
          </cell>
          <cell r="F124">
            <v>0</v>
          </cell>
          <cell r="G124">
            <v>0</v>
          </cell>
          <cell r="K124">
            <v>1054</v>
          </cell>
          <cell r="L124">
            <v>0</v>
          </cell>
          <cell r="O124" t="str">
            <v>sundry</v>
          </cell>
        </row>
      </sheetData>
      <sheetData sheetId="3" refreshError="1">
        <row r="1">
          <cell r="A1" t="str">
            <v>LAL Language Centre (Torbay) Ltd</v>
          </cell>
          <cell r="G1" t="str">
            <v/>
          </cell>
        </row>
        <row r="3">
          <cell r="A3" t="str">
            <v>A/c No</v>
          </cell>
          <cell r="C3" t="str">
            <v>ACCOUNT NAME</v>
          </cell>
          <cell r="D3" t="str">
            <v>DETAILS</v>
          </cell>
          <cell r="F3" t="str">
            <v/>
          </cell>
          <cell r="G3" t="str">
            <v>NET AMOUNT</v>
          </cell>
          <cell r="I3" t="str">
            <v>6300 PREPAYMENTS</v>
          </cell>
          <cell r="J3" t="str">
            <v>7250     ACCRUAL</v>
          </cell>
        </row>
        <row r="5">
          <cell r="A5" t="str">
            <v>Sales</v>
          </cell>
        </row>
        <row r="7">
          <cell r="A7">
            <v>1000</v>
          </cell>
          <cell r="B7">
            <v>105010</v>
          </cell>
          <cell r="C7" t="str">
            <v>SALES: Tuition: Main</v>
          </cell>
        </row>
        <row r="10">
          <cell r="A10">
            <v>1000</v>
          </cell>
          <cell r="B10">
            <v>105410</v>
          </cell>
          <cell r="C10" t="str">
            <v>SALES: Tuition: Cambr</v>
          </cell>
        </row>
        <row r="13">
          <cell r="A13">
            <v>1000</v>
          </cell>
          <cell r="B13">
            <v>105610</v>
          </cell>
          <cell r="C13" t="str">
            <v>SALES: Tuition: Priva</v>
          </cell>
        </row>
        <row r="16">
          <cell r="A16">
            <v>1000</v>
          </cell>
          <cell r="B16">
            <v>105810</v>
          </cell>
          <cell r="C16" t="str">
            <v>SALES: Abiturkurs</v>
          </cell>
          <cell r="F16">
            <v>0</v>
          </cell>
          <cell r="G16">
            <v>0</v>
          </cell>
        </row>
        <row r="19">
          <cell r="A19">
            <v>1000</v>
          </cell>
          <cell r="B19">
            <v>105910</v>
          </cell>
          <cell r="C19" t="str">
            <v>SALES: Tuition: Busin</v>
          </cell>
        </row>
        <row r="22">
          <cell r="A22">
            <v>1000</v>
          </cell>
          <cell r="B22">
            <v>106010</v>
          </cell>
          <cell r="C22" t="str">
            <v>SALES: Academic Year</v>
          </cell>
        </row>
        <row r="25">
          <cell r="A25">
            <v>1000</v>
          </cell>
          <cell r="B25">
            <v>106110</v>
          </cell>
          <cell r="C25" t="str">
            <v>SALES: General Englis</v>
          </cell>
        </row>
        <row r="28">
          <cell r="A28">
            <v>1000</v>
          </cell>
          <cell r="C28" t="str">
            <v>SALES: General English PLUS</v>
          </cell>
        </row>
        <row r="31">
          <cell r="A31">
            <v>1000</v>
          </cell>
          <cell r="C31" t="str">
            <v>SALES: Mini Group Torquay</v>
          </cell>
        </row>
        <row r="34">
          <cell r="A34">
            <v>1000</v>
          </cell>
          <cell r="C34" t="str">
            <v>SALES: Teenager Course Torquay</v>
          </cell>
        </row>
        <row r="37">
          <cell r="A37">
            <v>1000</v>
          </cell>
          <cell r="C37" t="str">
            <v>SALES: Teenager Course w/Activity Torquay</v>
          </cell>
        </row>
        <row r="40">
          <cell r="A40">
            <v>1000</v>
          </cell>
          <cell r="C40" t="str">
            <v>SALES: Junior Course Torquay</v>
          </cell>
        </row>
        <row r="43">
          <cell r="A43">
            <v>1000</v>
          </cell>
          <cell r="C43" t="str">
            <v>SALES: Teenager Course Paington</v>
          </cell>
        </row>
        <row r="46">
          <cell r="A46">
            <v>1000</v>
          </cell>
          <cell r="C46" t="str">
            <v>SALES: Teenager Course q/Activity Torquay</v>
          </cell>
        </row>
        <row r="49">
          <cell r="A49">
            <v>1000</v>
          </cell>
          <cell r="C49" t="str">
            <v>SALES: Junior Course Paington</v>
          </cell>
        </row>
        <row r="52">
          <cell r="A52">
            <v>1000</v>
          </cell>
          <cell r="B52">
            <v>110010</v>
          </cell>
          <cell r="C52" t="str">
            <v>SALES: Parties</v>
          </cell>
        </row>
        <row r="55">
          <cell r="A55">
            <v>1000</v>
          </cell>
          <cell r="B55">
            <v>115010</v>
          </cell>
          <cell r="C55" t="str">
            <v>SALES: Junior Suppliment</v>
          </cell>
        </row>
        <row r="58">
          <cell r="A58">
            <v>1000</v>
          </cell>
          <cell r="B58">
            <v>120010</v>
          </cell>
          <cell r="C58" t="str">
            <v>SALES: Activities</v>
          </cell>
        </row>
        <row r="61">
          <cell r="A61">
            <v>1000</v>
          </cell>
          <cell r="B61">
            <v>125010</v>
          </cell>
          <cell r="C61" t="str">
            <v>SALES: Accommodation: Hotels HLH</v>
          </cell>
        </row>
        <row r="64">
          <cell r="A64">
            <v>1000</v>
          </cell>
          <cell r="B64">
            <v>127010</v>
          </cell>
          <cell r="C64" t="str">
            <v>SALES: Matilda House</v>
          </cell>
        </row>
        <row r="67">
          <cell r="A67">
            <v>1000</v>
          </cell>
          <cell r="B67">
            <v>130010</v>
          </cell>
          <cell r="C67" t="str">
            <v>SALES: Accommodation: Hotel</v>
          </cell>
        </row>
        <row r="70">
          <cell r="A70">
            <v>1000</v>
          </cell>
          <cell r="B70">
            <v>135010</v>
          </cell>
          <cell r="C70" t="str">
            <v>SALES: Accommodation: Host Family</v>
          </cell>
        </row>
        <row r="73">
          <cell r="A73">
            <v>1000</v>
          </cell>
          <cell r="B73">
            <v>140010</v>
          </cell>
          <cell r="C73" t="str">
            <v>SALES: Transfers</v>
          </cell>
        </row>
        <row r="76">
          <cell r="A76">
            <v>1000</v>
          </cell>
          <cell r="B76">
            <v>145010</v>
          </cell>
          <cell r="C76" t="str">
            <v>SALES: Excursions</v>
          </cell>
        </row>
        <row r="79">
          <cell r="A79">
            <v>1000</v>
          </cell>
          <cell r="B79">
            <v>155010</v>
          </cell>
          <cell r="C79" t="str">
            <v>SALES: Course Books/M</v>
          </cell>
        </row>
        <row r="82">
          <cell r="A82">
            <v>1000</v>
          </cell>
          <cell r="B82">
            <v>190010</v>
          </cell>
          <cell r="C82" t="str">
            <v>SALES: Examination Fee</v>
          </cell>
        </row>
        <row r="85">
          <cell r="A85">
            <v>1000</v>
          </cell>
          <cell r="B85">
            <v>195010</v>
          </cell>
          <cell r="C85" t="str">
            <v>SALES: Discounts Allo</v>
          </cell>
        </row>
        <row r="88">
          <cell r="A88" t="str">
            <v>Direct Costs</v>
          </cell>
        </row>
        <row r="90">
          <cell r="A90">
            <v>2000</v>
          </cell>
          <cell r="B90">
            <v>204010</v>
          </cell>
          <cell r="C90" t="str">
            <v>DC: Opening Stock</v>
          </cell>
        </row>
        <row r="93">
          <cell r="A93">
            <v>2000</v>
          </cell>
          <cell r="B93">
            <v>208010</v>
          </cell>
          <cell r="C93" t="str">
            <v>DC: Closing Stock</v>
          </cell>
        </row>
        <row r="96">
          <cell r="A96">
            <v>2000</v>
          </cell>
          <cell r="B96">
            <v>211010</v>
          </cell>
          <cell r="C96" t="str">
            <v>DC: Matilda House</v>
          </cell>
          <cell r="D96" t="str">
            <v>Deferred income on Matilda house</v>
          </cell>
          <cell r="G96">
            <v>310</v>
          </cell>
          <cell r="I96">
            <v>310</v>
          </cell>
        </row>
        <row r="101">
          <cell r="A101">
            <v>2000</v>
          </cell>
          <cell r="B101">
            <v>212010</v>
          </cell>
          <cell r="C101" t="str">
            <v>DC: Accommodation: HLH</v>
          </cell>
          <cell r="J101">
            <v>0</v>
          </cell>
        </row>
        <row r="106">
          <cell r="A106">
            <v>2000</v>
          </cell>
          <cell r="B106">
            <v>216010</v>
          </cell>
          <cell r="C106" t="str">
            <v>DC: Accommodation: Hotels</v>
          </cell>
          <cell r="D106" t="str">
            <v>Wynncroft Hotel</v>
          </cell>
          <cell r="F106">
            <v>273</v>
          </cell>
          <cell r="G106">
            <v>24345</v>
          </cell>
          <cell r="J106">
            <v>24345</v>
          </cell>
        </row>
        <row r="107">
          <cell r="D107" t="str">
            <v>Summerhill Hotel</v>
          </cell>
          <cell r="E107">
            <v>144</v>
          </cell>
          <cell r="F107">
            <v>602</v>
          </cell>
        </row>
        <row r="108">
          <cell r="D108" t="str">
            <v>Summerhill Hotel</v>
          </cell>
          <cell r="E108">
            <v>143</v>
          </cell>
          <cell r="F108">
            <v>412</v>
          </cell>
        </row>
        <row r="109">
          <cell r="D109" t="str">
            <v>Summerhill Hotel</v>
          </cell>
          <cell r="E109">
            <v>142</v>
          </cell>
          <cell r="F109">
            <v>412</v>
          </cell>
        </row>
        <row r="110">
          <cell r="D110" t="str">
            <v>Summerhill Hotel</v>
          </cell>
          <cell r="E110">
            <v>141</v>
          </cell>
          <cell r="F110">
            <v>412</v>
          </cell>
        </row>
        <row r="111">
          <cell r="D111" t="str">
            <v>Summerhill Hotel</v>
          </cell>
          <cell r="E111">
            <v>140</v>
          </cell>
          <cell r="F111">
            <v>209</v>
          </cell>
        </row>
        <row r="112">
          <cell r="D112" t="str">
            <v>Summerhill Hotel</v>
          </cell>
          <cell r="E112">
            <v>139</v>
          </cell>
          <cell r="F112">
            <v>615</v>
          </cell>
        </row>
        <row r="113">
          <cell r="D113" t="str">
            <v>Summerhill Hotel</v>
          </cell>
          <cell r="E113">
            <v>133</v>
          </cell>
          <cell r="F113">
            <v>217</v>
          </cell>
        </row>
        <row r="114">
          <cell r="D114" t="str">
            <v>Summerhill Hotel</v>
          </cell>
          <cell r="E114">
            <v>134</v>
          </cell>
          <cell r="F114">
            <v>426</v>
          </cell>
        </row>
        <row r="115">
          <cell r="D115" t="str">
            <v>Summerhill Hotel</v>
          </cell>
          <cell r="E115">
            <v>135</v>
          </cell>
          <cell r="F115">
            <v>860</v>
          </cell>
        </row>
        <row r="116">
          <cell r="D116" t="str">
            <v>Summerhill Hotel</v>
          </cell>
          <cell r="F116">
            <v>852</v>
          </cell>
        </row>
        <row r="117">
          <cell r="D117" t="str">
            <v>Summerhill Hotel</v>
          </cell>
          <cell r="E117">
            <v>137</v>
          </cell>
          <cell r="F117">
            <v>426</v>
          </cell>
        </row>
        <row r="118">
          <cell r="D118" t="str">
            <v>Summerhill Hotel</v>
          </cell>
          <cell r="E118">
            <v>138</v>
          </cell>
          <cell r="F118">
            <v>629</v>
          </cell>
        </row>
        <row r="119">
          <cell r="D119" t="str">
            <v>Other assumed</v>
          </cell>
          <cell r="F119">
            <v>18000</v>
          </cell>
        </row>
        <row r="121">
          <cell r="A121">
            <v>2000</v>
          </cell>
          <cell r="B121">
            <v>220010</v>
          </cell>
          <cell r="C121" t="str">
            <v>DC: Accommodation: Host Family</v>
          </cell>
          <cell r="D121" t="str">
            <v>Accrual from 29-31 August</v>
          </cell>
          <cell r="G121">
            <v>5337</v>
          </cell>
          <cell r="J121">
            <v>5337</v>
          </cell>
        </row>
        <row r="124">
          <cell r="A124">
            <v>2000</v>
          </cell>
          <cell r="B124">
            <v>220055</v>
          </cell>
          <cell r="C124" t="str">
            <v>DC: Accommodation: Residence</v>
          </cell>
          <cell r="D124" t="str">
            <v>Inv 808</v>
          </cell>
          <cell r="F124">
            <v>10164</v>
          </cell>
          <cell r="G124">
            <v>31979</v>
          </cell>
          <cell r="J124">
            <v>31979</v>
          </cell>
        </row>
        <row r="125">
          <cell r="D125" t="str">
            <v>Inv 816</v>
          </cell>
          <cell r="F125">
            <v>10926</v>
          </cell>
        </row>
        <row r="126">
          <cell r="D126" t="str">
            <v>Inv 813</v>
          </cell>
          <cell r="F126">
            <v>6861</v>
          </cell>
        </row>
        <row r="127">
          <cell r="D127" t="str">
            <v>Inv 814</v>
          </cell>
          <cell r="F127">
            <v>1894</v>
          </cell>
        </row>
        <row r="128">
          <cell r="D128" t="str">
            <v>Inv 815</v>
          </cell>
          <cell r="F128">
            <v>2134</v>
          </cell>
        </row>
        <row r="130">
          <cell r="A130">
            <v>2000</v>
          </cell>
          <cell r="B130">
            <v>222055</v>
          </cell>
          <cell r="C130" t="str">
            <v>DC: Residential Education</v>
          </cell>
        </row>
        <row r="133">
          <cell r="A133">
            <v>2000</v>
          </cell>
          <cell r="B133">
            <v>223010</v>
          </cell>
          <cell r="C133" t="str">
            <v>DC: Lunches</v>
          </cell>
        </row>
        <row r="136">
          <cell r="A136">
            <v>2000</v>
          </cell>
          <cell r="B136">
            <v>228110</v>
          </cell>
          <cell r="C136" t="str">
            <v>DC: Transfers: Adults</v>
          </cell>
          <cell r="D136" t="str">
            <v>Orcharrd Transport</v>
          </cell>
          <cell r="E136" t="str">
            <v>InvTLC220804</v>
          </cell>
          <cell r="F136">
            <v>150</v>
          </cell>
          <cell r="G136">
            <v>7750</v>
          </cell>
          <cell r="J136">
            <v>7750</v>
          </cell>
        </row>
        <row r="137">
          <cell r="D137" t="str">
            <v>Target Travel</v>
          </cell>
          <cell r="E137" t="str">
            <v>InvBD/827/04</v>
          </cell>
          <cell r="F137">
            <v>2600</v>
          </cell>
        </row>
        <row r="138">
          <cell r="D138" t="str">
            <v>Assumed</v>
          </cell>
          <cell r="F138">
            <v>5000</v>
          </cell>
        </row>
        <row r="142">
          <cell r="A142">
            <v>2000</v>
          </cell>
          <cell r="B142">
            <v>229010</v>
          </cell>
          <cell r="C142" t="str">
            <v>DC: Meet &amp; Greet</v>
          </cell>
          <cell r="D142" t="str">
            <v>Assumed</v>
          </cell>
          <cell r="F142">
            <v>1500</v>
          </cell>
          <cell r="G142">
            <v>1500</v>
          </cell>
          <cell r="J142">
            <v>1500</v>
          </cell>
        </row>
        <row r="145">
          <cell r="A145">
            <v>2000</v>
          </cell>
          <cell r="B145">
            <v>230010</v>
          </cell>
          <cell r="C145" t="str">
            <v>DC: National Express</v>
          </cell>
          <cell r="D145" t="str">
            <v>Assumed</v>
          </cell>
          <cell r="F145">
            <v>500</v>
          </cell>
          <cell r="G145">
            <v>500</v>
          </cell>
          <cell r="J145">
            <v>500</v>
          </cell>
        </row>
        <row r="148">
          <cell r="A148">
            <v>2000</v>
          </cell>
          <cell r="B148">
            <v>236010</v>
          </cell>
          <cell r="C148" t="str">
            <v>DC: Excursions</v>
          </cell>
          <cell r="D148" t="str">
            <v>Beggars Banquet</v>
          </cell>
          <cell r="E148" t="str">
            <v>INV7972</v>
          </cell>
          <cell r="F148">
            <v>11.04</v>
          </cell>
          <cell r="G148">
            <v>18678.04</v>
          </cell>
          <cell r="J148">
            <v>18678.04</v>
          </cell>
        </row>
        <row r="149">
          <cell r="D149" t="str">
            <v>Beggars Banquet</v>
          </cell>
          <cell r="E149" t="str">
            <v>INV7971</v>
          </cell>
          <cell r="F149">
            <v>235</v>
          </cell>
        </row>
        <row r="150">
          <cell r="D150" t="str">
            <v>Kents Caverns</v>
          </cell>
          <cell r="E150" t="str">
            <v>INV04/133</v>
          </cell>
          <cell r="F150">
            <v>630</v>
          </cell>
        </row>
        <row r="151">
          <cell r="D151" t="str">
            <v>Kents Caverns</v>
          </cell>
          <cell r="E151" t="str">
            <v>INV04/138</v>
          </cell>
          <cell r="F151">
            <v>717</v>
          </cell>
        </row>
        <row r="152">
          <cell r="D152" t="str">
            <v>AMF Bowling</v>
          </cell>
          <cell r="E152" t="str">
            <v>INV150/I01016</v>
          </cell>
          <cell r="F152">
            <v>302</v>
          </cell>
        </row>
        <row r="153">
          <cell r="D153" t="str">
            <v>AMF Bowling</v>
          </cell>
          <cell r="E153" t="str">
            <v>INV150/I01026</v>
          </cell>
          <cell r="F153">
            <v>221</v>
          </cell>
        </row>
        <row r="154">
          <cell r="D154" t="str">
            <v>Riviera International</v>
          </cell>
          <cell r="E154" t="str">
            <v>Inv08976</v>
          </cell>
          <cell r="F154">
            <v>52</v>
          </cell>
        </row>
        <row r="155">
          <cell r="D155" t="str">
            <v>Riviera International</v>
          </cell>
          <cell r="E155" t="str">
            <v>Inv08965</v>
          </cell>
          <cell r="F155">
            <v>92</v>
          </cell>
        </row>
        <row r="156">
          <cell r="D156" t="str">
            <v>Woodlands</v>
          </cell>
          <cell r="E156" t="str">
            <v>Inv1165</v>
          </cell>
          <cell r="F156">
            <v>328</v>
          </cell>
        </row>
        <row r="157">
          <cell r="D157" t="str">
            <v>Woodlands</v>
          </cell>
          <cell r="E157" t="str">
            <v>Inv1187</v>
          </cell>
          <cell r="F157">
            <v>146</v>
          </cell>
        </row>
        <row r="158">
          <cell r="D158" t="str">
            <v>VISA exp</v>
          </cell>
          <cell r="F158">
            <v>944</v>
          </cell>
        </row>
        <row r="159">
          <cell r="D159" t="str">
            <v>Assumed</v>
          </cell>
          <cell r="F159">
            <v>15000</v>
          </cell>
        </row>
        <row r="161">
          <cell r="A161">
            <v>2000</v>
          </cell>
          <cell r="B161">
            <v>240010</v>
          </cell>
          <cell r="C161" t="str">
            <v>DC: Wages: Academic: Pe</v>
          </cell>
          <cell r="D161" t="str">
            <v>FT untaken leave</v>
          </cell>
          <cell r="F161">
            <v>4722</v>
          </cell>
          <cell r="G161">
            <v>50451</v>
          </cell>
          <cell r="J161">
            <v>50451</v>
          </cell>
        </row>
        <row r="162">
          <cell r="D162" t="str">
            <v>PT untaken leave</v>
          </cell>
          <cell r="F162">
            <v>17650</v>
          </cell>
        </row>
        <row r="163">
          <cell r="D163" t="str">
            <v>Wage accrual</v>
          </cell>
          <cell r="F163">
            <v>28079</v>
          </cell>
        </row>
        <row r="165">
          <cell r="A165">
            <v>2000</v>
          </cell>
          <cell r="B165">
            <v>244020</v>
          </cell>
          <cell r="C165" t="str">
            <v xml:space="preserve">DC: Wages: Academic: P/T      </v>
          </cell>
        </row>
        <row r="167">
          <cell r="A167">
            <v>2000</v>
          </cell>
          <cell r="B167" t="str">
            <v>244055</v>
          </cell>
          <cell r="C167" t="str">
            <v>DC: Residential Salaries</v>
          </cell>
          <cell r="G167">
            <v>0</v>
          </cell>
          <cell r="J167">
            <v>0</v>
          </cell>
        </row>
        <row r="169">
          <cell r="A169">
            <v>2000</v>
          </cell>
          <cell r="B169">
            <v>248070</v>
          </cell>
          <cell r="C169" t="str">
            <v xml:space="preserve">DC: Wages: Leisure             </v>
          </cell>
          <cell r="D169" t="str">
            <v>FT untaken leave</v>
          </cell>
          <cell r="F169">
            <v>2317</v>
          </cell>
          <cell r="G169">
            <v>31470</v>
          </cell>
          <cell r="J169">
            <v>31470</v>
          </cell>
        </row>
        <row r="170">
          <cell r="D170" t="str">
            <v>PT untaken leave</v>
          </cell>
          <cell r="F170">
            <v>11252</v>
          </cell>
        </row>
        <row r="171">
          <cell r="D171" t="str">
            <v>Wage accrual</v>
          </cell>
          <cell r="F171">
            <v>17901</v>
          </cell>
        </row>
        <row r="173">
          <cell r="A173">
            <v>2000</v>
          </cell>
          <cell r="B173">
            <v>248080</v>
          </cell>
          <cell r="C173" t="str">
            <v>DC: Wages: Leisure: Co NI</v>
          </cell>
        </row>
        <row r="176">
          <cell r="A176">
            <v>2000</v>
          </cell>
          <cell r="B176">
            <v>248170</v>
          </cell>
          <cell r="C176" t="str">
            <v xml:space="preserve">DC: Wages: Admin               </v>
          </cell>
        </row>
        <row r="179">
          <cell r="A179">
            <v>2000</v>
          </cell>
          <cell r="B179">
            <v>252010</v>
          </cell>
          <cell r="C179" t="str">
            <v xml:space="preserve">DC: Course Books               </v>
          </cell>
          <cell r="D179" t="str">
            <v>Assumed</v>
          </cell>
          <cell r="F179">
            <v>4000</v>
          </cell>
          <cell r="G179">
            <v>4000</v>
          </cell>
          <cell r="J179">
            <v>4000</v>
          </cell>
        </row>
        <row r="182">
          <cell r="A182">
            <v>2000</v>
          </cell>
          <cell r="B182">
            <v>252060</v>
          </cell>
          <cell r="C182" t="str">
            <v>DC: Books for Re-sale</v>
          </cell>
        </row>
        <row r="185">
          <cell r="A185">
            <v>2000</v>
          </cell>
          <cell r="B185">
            <v>253010</v>
          </cell>
          <cell r="C185" t="str">
            <v>DC: Resources</v>
          </cell>
          <cell r="J185">
            <v>0</v>
          </cell>
        </row>
        <row r="188">
          <cell r="A188">
            <v>2000</v>
          </cell>
          <cell r="B188">
            <v>256020</v>
          </cell>
          <cell r="C188" t="str">
            <v>DC: Teaching Material</v>
          </cell>
        </row>
        <row r="191">
          <cell r="A191">
            <v>2000</v>
          </cell>
          <cell r="B191">
            <v>264010</v>
          </cell>
          <cell r="C191" t="str">
            <v>DC: Coach Hire: Trans</v>
          </cell>
          <cell r="D191" t="str">
            <v>Millmans Coaches</v>
          </cell>
          <cell r="F191">
            <v>325</v>
          </cell>
          <cell r="G191">
            <v>21173</v>
          </cell>
          <cell r="J191">
            <v>21173</v>
          </cell>
        </row>
        <row r="192">
          <cell r="D192" t="str">
            <v>Town &amp; Country</v>
          </cell>
          <cell r="E192" t="str">
            <v>Inv1726</v>
          </cell>
          <cell r="F192">
            <v>5225</v>
          </cell>
        </row>
        <row r="193">
          <cell r="D193" t="str">
            <v>Town &amp; Country</v>
          </cell>
          <cell r="E193" t="str">
            <v>Inv1739</v>
          </cell>
          <cell r="F193">
            <v>907</v>
          </cell>
        </row>
        <row r="194">
          <cell r="D194" t="str">
            <v>Town &amp; Country</v>
          </cell>
          <cell r="E194" t="str">
            <v>Inv1744</v>
          </cell>
          <cell r="F194">
            <v>1064</v>
          </cell>
        </row>
        <row r="195">
          <cell r="D195" t="str">
            <v>Town &amp; Country</v>
          </cell>
          <cell r="E195" t="str">
            <v>Inv1714</v>
          </cell>
          <cell r="F195">
            <v>695</v>
          </cell>
        </row>
        <row r="196">
          <cell r="D196" t="str">
            <v>Town &amp; Country</v>
          </cell>
          <cell r="E196" t="str">
            <v>Inv1719</v>
          </cell>
          <cell r="F196">
            <v>328</v>
          </cell>
        </row>
        <row r="197">
          <cell r="D197" t="str">
            <v>Town &amp; Country</v>
          </cell>
          <cell r="E197" t="str">
            <v>Inv1720</v>
          </cell>
          <cell r="F197">
            <v>886</v>
          </cell>
        </row>
        <row r="198">
          <cell r="D198" t="str">
            <v>Town &amp; Country</v>
          </cell>
          <cell r="E198" t="str">
            <v>Inv1724</v>
          </cell>
          <cell r="F198">
            <v>5112</v>
          </cell>
        </row>
        <row r="199">
          <cell r="D199" t="str">
            <v>Town &amp; Country</v>
          </cell>
          <cell r="E199" t="str">
            <v>Inv1730</v>
          </cell>
          <cell r="F199">
            <v>1631</v>
          </cell>
        </row>
        <row r="200">
          <cell r="D200" t="str">
            <v>Assumed</v>
          </cell>
          <cell r="F200">
            <v>5000</v>
          </cell>
        </row>
        <row r="202">
          <cell r="A202">
            <v>2000</v>
          </cell>
          <cell r="B202">
            <v>264110</v>
          </cell>
          <cell r="C202" t="str">
            <v>DC: Coach Hire: Transp</v>
          </cell>
        </row>
        <row r="205">
          <cell r="A205">
            <v>2000</v>
          </cell>
          <cell r="B205">
            <v>268010</v>
          </cell>
          <cell r="C205" t="str">
            <v>DC: Taxis</v>
          </cell>
          <cell r="D205" t="str">
            <v>Assumed</v>
          </cell>
          <cell r="F205">
            <v>1500</v>
          </cell>
          <cell r="G205">
            <v>1500</v>
          </cell>
          <cell r="J205">
            <v>1500</v>
          </cell>
        </row>
        <row r="210">
          <cell r="A210">
            <v>2000</v>
          </cell>
          <cell r="B210">
            <v>276010</v>
          </cell>
          <cell r="C210" t="str">
            <v>DC: Activities</v>
          </cell>
          <cell r="D210" t="str">
            <v>Assumed</v>
          </cell>
          <cell r="F210">
            <v>1000</v>
          </cell>
          <cell r="G210">
            <v>1000</v>
          </cell>
          <cell r="J210">
            <v>1000</v>
          </cell>
        </row>
        <row r="213">
          <cell r="A213">
            <v>2000</v>
          </cell>
          <cell r="B213" t="str">
            <v>220055</v>
          </cell>
          <cell r="C213" t="str">
            <v>DC: Activities Residential</v>
          </cell>
          <cell r="D213" t="str">
            <v>Refer to workings</v>
          </cell>
          <cell r="F213">
            <v>10926</v>
          </cell>
          <cell r="G213">
            <v>13426</v>
          </cell>
          <cell r="J213">
            <v>13426</v>
          </cell>
        </row>
        <row r="214">
          <cell r="D214" t="str">
            <v>Additional costs (group leader, lunches, etc)</v>
          </cell>
          <cell r="F214">
            <v>2500</v>
          </cell>
        </row>
        <row r="216">
          <cell r="A216">
            <v>2000</v>
          </cell>
          <cell r="B216">
            <v>277020</v>
          </cell>
          <cell r="C216" t="str">
            <v>DC: Training Partners</v>
          </cell>
        </row>
        <row r="219">
          <cell r="A219">
            <v>2000</v>
          </cell>
          <cell r="B219">
            <v>284010</v>
          </cell>
          <cell r="C219" t="str">
            <v>DC: Exam Fees</v>
          </cell>
          <cell r="D219" t="str">
            <v>Assumed</v>
          </cell>
          <cell r="F219">
            <v>250</v>
          </cell>
          <cell r="G219">
            <v>250</v>
          </cell>
          <cell r="J219">
            <v>250</v>
          </cell>
        </row>
        <row r="222">
          <cell r="A222" t="str">
            <v>Direct Overheads</v>
          </cell>
        </row>
        <row r="224">
          <cell r="A224">
            <v>3000</v>
          </cell>
          <cell r="B224">
            <v>302010</v>
          </cell>
          <cell r="C224" t="str">
            <v>OS: Teacher Training</v>
          </cell>
        </row>
        <row r="227">
          <cell r="A227">
            <v>3000</v>
          </cell>
          <cell r="B227">
            <v>303050</v>
          </cell>
          <cell r="C227" t="str">
            <v>OS: Tuckshop: Pgn</v>
          </cell>
        </row>
        <row r="230">
          <cell r="A230">
            <v>3000</v>
          </cell>
          <cell r="B230">
            <v>303150</v>
          </cell>
          <cell r="C230" t="str">
            <v>OS: Tuckshop: Tqy</v>
          </cell>
        </row>
        <row r="233">
          <cell r="A233">
            <v>3000</v>
          </cell>
          <cell r="B233">
            <v>306040</v>
          </cell>
          <cell r="C233" t="str">
            <v>OS: Bookshop</v>
          </cell>
        </row>
        <row r="236">
          <cell r="A236">
            <v>3000</v>
          </cell>
          <cell r="B236">
            <v>309030</v>
          </cell>
          <cell r="C236" t="str">
            <v>OS: Reception</v>
          </cell>
        </row>
        <row r="239">
          <cell r="A239">
            <v>3000</v>
          </cell>
          <cell r="B239">
            <v>310030</v>
          </cell>
          <cell r="C239" t="str">
            <v>OS: Promotional Produ</v>
          </cell>
        </row>
        <row r="242">
          <cell r="A242">
            <v>3000</v>
          </cell>
          <cell r="B242">
            <v>312060</v>
          </cell>
          <cell r="C242" t="str">
            <v>OS: Vending Machines</v>
          </cell>
        </row>
        <row r="245">
          <cell r="A245">
            <v>3000</v>
          </cell>
          <cell r="B245">
            <v>318080</v>
          </cell>
          <cell r="C245" t="str">
            <v>OS: Excursions</v>
          </cell>
        </row>
        <row r="248">
          <cell r="A248">
            <v>3000</v>
          </cell>
          <cell r="B248">
            <v>319010</v>
          </cell>
          <cell r="C248" t="str">
            <v>OS: Room Hire</v>
          </cell>
        </row>
        <row r="251">
          <cell r="A251">
            <v>3000</v>
          </cell>
          <cell r="B251">
            <v>320510</v>
          </cell>
          <cell r="C251" t="str">
            <v>OS: FOREX</v>
          </cell>
        </row>
        <row r="254">
          <cell r="A254">
            <v>3000</v>
          </cell>
          <cell r="B254">
            <v>324010</v>
          </cell>
          <cell r="C254" t="str">
            <v>OS: Telephone</v>
          </cell>
        </row>
        <row r="257">
          <cell r="A257">
            <v>3000</v>
          </cell>
          <cell r="B257">
            <v>324510</v>
          </cell>
          <cell r="C257" t="str">
            <v>OS: Telephone Cards</v>
          </cell>
        </row>
        <row r="260">
          <cell r="A260">
            <v>3000</v>
          </cell>
          <cell r="B260">
            <v>325010</v>
          </cell>
          <cell r="C260" t="str">
            <v>OS: National Express</v>
          </cell>
        </row>
        <row r="263">
          <cell r="A263">
            <v>3000</v>
          </cell>
          <cell r="B263">
            <v>327010</v>
          </cell>
          <cell r="C263" t="str">
            <v>OS: C.F.O. Recharges</v>
          </cell>
        </row>
        <row r="266">
          <cell r="A266">
            <v>3000</v>
          </cell>
          <cell r="B266">
            <v>342580</v>
          </cell>
          <cell r="C266" t="str">
            <v>OS: Transport: Int</v>
          </cell>
        </row>
        <row r="269">
          <cell r="A269">
            <v>3000</v>
          </cell>
          <cell r="B269">
            <v>343010</v>
          </cell>
          <cell r="C269" t="str">
            <v>OS: Interest Received</v>
          </cell>
        </row>
        <row r="272">
          <cell r="A272">
            <v>3000</v>
          </cell>
          <cell r="B272">
            <v>345010</v>
          </cell>
          <cell r="C272" t="str">
            <v>OS: Sundry</v>
          </cell>
        </row>
        <row r="275">
          <cell r="A275">
            <v>3500</v>
          </cell>
          <cell r="B275">
            <v>204050</v>
          </cell>
          <cell r="C275" t="str">
            <v>OC: Opening Stock: Tuckshop</v>
          </cell>
        </row>
        <row r="278">
          <cell r="A278">
            <v>3500</v>
          </cell>
          <cell r="B278">
            <v>208050</v>
          </cell>
          <cell r="C278" t="str">
            <v>OC: Closing Stock: Tuckshop</v>
          </cell>
        </row>
        <row r="281">
          <cell r="A281">
            <v>3500</v>
          </cell>
          <cell r="B281">
            <v>352050</v>
          </cell>
          <cell r="C281" t="str">
            <v>OC: Purchases: Tuckshop</v>
          </cell>
          <cell r="D281" t="str">
            <v>MJ Baker</v>
          </cell>
          <cell r="E281" t="str">
            <v>INV003134</v>
          </cell>
          <cell r="F281">
            <v>104</v>
          </cell>
          <cell r="G281">
            <v>2621</v>
          </cell>
          <cell r="J281">
            <v>2621</v>
          </cell>
        </row>
        <row r="282">
          <cell r="D282" t="str">
            <v>Ron Dewdney</v>
          </cell>
          <cell r="E282" t="str">
            <v>INV138186</v>
          </cell>
          <cell r="F282">
            <v>17</v>
          </cell>
        </row>
        <row r="283">
          <cell r="D283" t="str">
            <v>Assumed</v>
          </cell>
          <cell r="F283">
            <v>2500</v>
          </cell>
        </row>
        <row r="287">
          <cell r="A287">
            <v>3500</v>
          </cell>
          <cell r="B287">
            <v>352150</v>
          </cell>
          <cell r="C287" t="str">
            <v>OC: Tuckshop: Other Purchases</v>
          </cell>
          <cell r="D287" t="str">
            <v>Assumed</v>
          </cell>
          <cell r="F287">
            <v>750</v>
          </cell>
          <cell r="G287">
            <v>750</v>
          </cell>
          <cell r="J287">
            <v>750</v>
          </cell>
        </row>
        <row r="290">
          <cell r="A290">
            <v>3500</v>
          </cell>
          <cell r="B290">
            <v>354040</v>
          </cell>
          <cell r="C290" t="str">
            <v>OC: Purchases: Bookshop</v>
          </cell>
          <cell r="D290" t="str">
            <v>Assumed</v>
          </cell>
          <cell r="F290">
            <v>10000</v>
          </cell>
          <cell r="G290">
            <v>10000</v>
          </cell>
          <cell r="J290">
            <v>10000</v>
          </cell>
        </row>
        <row r="293">
          <cell r="A293">
            <v>3500</v>
          </cell>
          <cell r="B293">
            <v>357030</v>
          </cell>
          <cell r="C293" t="str">
            <v>OC: Purchases: Promot</v>
          </cell>
        </row>
        <row r="296">
          <cell r="A296">
            <v>3500</v>
          </cell>
          <cell r="B296">
            <v>360050</v>
          </cell>
          <cell r="C296" t="str">
            <v>OC: Salaries: Tuckshop</v>
          </cell>
          <cell r="D296" t="str">
            <v>FT untaken leave</v>
          </cell>
          <cell r="F296">
            <v>471</v>
          </cell>
          <cell r="G296">
            <v>911</v>
          </cell>
          <cell r="J296">
            <v>911</v>
          </cell>
        </row>
        <row r="297">
          <cell r="D297" t="str">
            <v>PT untaken leave</v>
          </cell>
          <cell r="F297">
            <v>170</v>
          </cell>
        </row>
        <row r="298">
          <cell r="D298" t="str">
            <v>Wage accrual</v>
          </cell>
          <cell r="F298">
            <v>270</v>
          </cell>
        </row>
        <row r="300">
          <cell r="A300">
            <v>3500</v>
          </cell>
          <cell r="B300">
            <v>362040</v>
          </cell>
          <cell r="C300" t="str">
            <v>OC: Salaries: Bookshop</v>
          </cell>
          <cell r="D300" t="str">
            <v>FT untaken leave</v>
          </cell>
          <cell r="F300">
            <v>296</v>
          </cell>
          <cell r="G300">
            <v>296</v>
          </cell>
          <cell r="J300">
            <v>296</v>
          </cell>
        </row>
        <row r="303">
          <cell r="A303">
            <v>3500</v>
          </cell>
          <cell r="B303">
            <v>364080</v>
          </cell>
          <cell r="C303" t="str">
            <v>OC: Salaries: Adult</v>
          </cell>
          <cell r="D303" t="str">
            <v>FT untaken leave</v>
          </cell>
          <cell r="F303">
            <v>968</v>
          </cell>
          <cell r="G303">
            <v>3160</v>
          </cell>
          <cell r="J303">
            <v>3160</v>
          </cell>
        </row>
        <row r="304">
          <cell r="D304" t="str">
            <v>PT untaken leave</v>
          </cell>
          <cell r="F304">
            <v>846</v>
          </cell>
        </row>
        <row r="305">
          <cell r="D305" t="str">
            <v>Wage accrual</v>
          </cell>
          <cell r="F305">
            <v>1346</v>
          </cell>
        </row>
        <row r="307">
          <cell r="A307">
            <v>3500</v>
          </cell>
          <cell r="B307">
            <v>366030</v>
          </cell>
          <cell r="C307" t="str">
            <v>OC: Salaries: Co NI</v>
          </cell>
        </row>
        <row r="310">
          <cell r="A310">
            <v>3500</v>
          </cell>
          <cell r="B310">
            <v>366580</v>
          </cell>
          <cell r="C310" t="str">
            <v>OC: Trailer</v>
          </cell>
        </row>
        <row r="313">
          <cell r="A313">
            <v>3500</v>
          </cell>
          <cell r="B313">
            <v>370580</v>
          </cell>
          <cell r="C313" t="str">
            <v>OC: W857 WOD: Insurance</v>
          </cell>
        </row>
        <row r="316">
          <cell r="A316">
            <v>3500</v>
          </cell>
          <cell r="B316">
            <v>370680</v>
          </cell>
          <cell r="C316" t="str">
            <v>OC: W857 WOD: Fuel</v>
          </cell>
          <cell r="D316" t="str">
            <v>Assumed</v>
          </cell>
          <cell r="F316">
            <v>1000</v>
          </cell>
          <cell r="G316">
            <v>1000</v>
          </cell>
          <cell r="J316">
            <v>1000</v>
          </cell>
        </row>
        <row r="319">
          <cell r="A319">
            <v>3500</v>
          </cell>
          <cell r="B319">
            <v>370780</v>
          </cell>
          <cell r="C319" t="str">
            <v>OC: W857 WOD: Repairs</v>
          </cell>
        </row>
        <row r="322">
          <cell r="A322">
            <v>3500</v>
          </cell>
          <cell r="B322">
            <v>371280</v>
          </cell>
          <cell r="C322" t="str">
            <v>OC:M463 KFJ: Repairs</v>
          </cell>
        </row>
        <row r="325">
          <cell r="A325">
            <v>3500</v>
          </cell>
          <cell r="B325">
            <v>371580</v>
          </cell>
          <cell r="C325" t="str">
            <v>OC: P649 BOD: Insuarance</v>
          </cell>
        </row>
        <row r="328">
          <cell r="A328">
            <v>3500</v>
          </cell>
          <cell r="B328">
            <v>371680</v>
          </cell>
          <cell r="C328" t="str">
            <v>OC: P649 BOD: Fuel</v>
          </cell>
        </row>
        <row r="331">
          <cell r="A331">
            <v>3500</v>
          </cell>
          <cell r="B331">
            <v>371780</v>
          </cell>
          <cell r="C331" t="str">
            <v>OC: P649 BOD: Repairs</v>
          </cell>
        </row>
        <row r="334">
          <cell r="A334">
            <v>3500</v>
          </cell>
          <cell r="B334">
            <v>372080</v>
          </cell>
          <cell r="C334" t="str">
            <v>OC: P308 CFJ: Insurance</v>
          </cell>
        </row>
        <row r="337">
          <cell r="A337">
            <v>3500</v>
          </cell>
          <cell r="B337">
            <v>372180</v>
          </cell>
          <cell r="C337" t="str">
            <v>OC: P308 CFJ: Fuel</v>
          </cell>
        </row>
        <row r="340">
          <cell r="A340">
            <v>3500</v>
          </cell>
          <cell r="B340">
            <v>372280</v>
          </cell>
          <cell r="C340" t="str">
            <v>OC: P308 CFJ: Repairs</v>
          </cell>
        </row>
        <row r="343">
          <cell r="A343">
            <v>3500</v>
          </cell>
          <cell r="B343">
            <v>372580</v>
          </cell>
          <cell r="C343" t="str">
            <v>OC: R693 RFJ: Insurance</v>
          </cell>
        </row>
        <row r="346">
          <cell r="A346">
            <v>3500</v>
          </cell>
          <cell r="B346">
            <v>372680</v>
          </cell>
          <cell r="C346" t="str">
            <v>OC: R693 RFJ: Fuel</v>
          </cell>
        </row>
        <row r="349">
          <cell r="A349">
            <v>3500</v>
          </cell>
          <cell r="B349">
            <v>372780</v>
          </cell>
          <cell r="C349" t="str">
            <v>OC: R693 RFJ: Repairs</v>
          </cell>
        </row>
        <row r="352">
          <cell r="A352">
            <v>3500</v>
          </cell>
          <cell r="B352">
            <v>382030</v>
          </cell>
          <cell r="C352" t="str">
            <v>OC: Theatre Tickets</v>
          </cell>
        </row>
        <row r="355">
          <cell r="A355">
            <v>3500</v>
          </cell>
          <cell r="B355">
            <v>384080</v>
          </cell>
          <cell r="C355" t="str">
            <v>OC: Excursions</v>
          </cell>
        </row>
        <row r="358">
          <cell r="A358">
            <v>3500</v>
          </cell>
          <cell r="B358">
            <v>386050</v>
          </cell>
          <cell r="C358" t="str">
            <v>OC: Wastage: Tuckshop</v>
          </cell>
        </row>
        <row r="361">
          <cell r="A361">
            <v>3500</v>
          </cell>
          <cell r="B361">
            <v>392060</v>
          </cell>
          <cell r="C361" t="str">
            <v>OC: Vending Machine R</v>
          </cell>
        </row>
        <row r="364">
          <cell r="A364">
            <v>3500</v>
          </cell>
          <cell r="B364">
            <v>394080</v>
          </cell>
          <cell r="C364" t="str">
            <v>OC: CPC Checks</v>
          </cell>
        </row>
        <row r="367">
          <cell r="A367">
            <v>3500</v>
          </cell>
          <cell r="B367">
            <v>398010</v>
          </cell>
          <cell r="C367" t="str">
            <v>OC: Sundry Expenses</v>
          </cell>
        </row>
        <row r="370">
          <cell r="A370" t="str">
            <v>Indirect Overheads</v>
          </cell>
        </row>
        <row r="372">
          <cell r="A372">
            <v>4000</v>
          </cell>
          <cell r="B372">
            <v>405010</v>
          </cell>
          <cell r="C372" t="str">
            <v>EC: Rates</v>
          </cell>
          <cell r="D372" t="str">
            <v>Last amount invoiced £26676 covered period from April 04 to</v>
          </cell>
          <cell r="F372">
            <v>13340</v>
          </cell>
          <cell r="G372">
            <v>13340</v>
          </cell>
          <cell r="I372">
            <v>13340</v>
          </cell>
        </row>
        <row r="373">
          <cell r="D373" t="str">
            <v>Jan 05 (ie £2668 per month)</v>
          </cell>
        </row>
        <row r="374">
          <cell r="D374" t="str">
            <v>Prepayment a Augy = 5 months @2668</v>
          </cell>
        </row>
        <row r="376">
          <cell r="A376">
            <v>4000</v>
          </cell>
          <cell r="B376">
            <v>405070</v>
          </cell>
          <cell r="C376" t="str">
            <v>EC: Rates: C/C</v>
          </cell>
          <cell r="D376" t="str">
            <v>Rates for CC included in above prepayment calculation</v>
          </cell>
          <cell r="J376">
            <v>0</v>
          </cell>
        </row>
        <row r="379">
          <cell r="A379">
            <v>4000</v>
          </cell>
          <cell r="B379">
            <v>410010</v>
          </cell>
          <cell r="C379" t="str">
            <v>EC: Light &amp; Heat</v>
          </cell>
          <cell r="D379" t="str">
            <v>SWEB 16/4 - 16/7</v>
          </cell>
          <cell r="E379" t="str">
            <v>Inv</v>
          </cell>
          <cell r="F379">
            <v>535</v>
          </cell>
          <cell r="G379">
            <v>1505.8902877697842</v>
          </cell>
          <cell r="J379">
            <v>1505.8902877697842</v>
          </cell>
        </row>
        <row r="380">
          <cell r="D380" t="str">
            <v>Accrual 17/7 - 31/8</v>
          </cell>
          <cell r="F380">
            <v>401.25</v>
          </cell>
        </row>
        <row r="381">
          <cell r="D381" t="str">
            <v>British Gas 9/3 - 26/7</v>
          </cell>
          <cell r="F381">
            <v>55</v>
          </cell>
        </row>
        <row r="382">
          <cell r="D382" t="str">
            <v>Accrual 26/7 - 31/8</v>
          </cell>
          <cell r="F382">
            <v>14.640287769784171</v>
          </cell>
        </row>
        <row r="383">
          <cell r="D383" t="str">
            <v>Assumed</v>
          </cell>
          <cell r="F383">
            <v>500</v>
          </cell>
        </row>
        <row r="385">
          <cell r="A385">
            <v>4000</v>
          </cell>
          <cell r="B385">
            <v>410070</v>
          </cell>
          <cell r="C385" t="str">
            <v>EC: Light &amp; Heat: C/C</v>
          </cell>
          <cell r="J385">
            <v>0</v>
          </cell>
        </row>
        <row r="388">
          <cell r="A388">
            <v>4000</v>
          </cell>
          <cell r="B388">
            <v>410090</v>
          </cell>
          <cell r="C388" t="str">
            <v>EC: Light &amp; Heat: B/H</v>
          </cell>
        </row>
        <row r="391">
          <cell r="A391">
            <v>4000</v>
          </cell>
          <cell r="B391">
            <v>415010</v>
          </cell>
          <cell r="C391" t="str">
            <v>EC: Insurances</v>
          </cell>
          <cell r="D391" t="str">
            <v>AON</v>
          </cell>
          <cell r="E391" t="str">
            <v>CN806480</v>
          </cell>
          <cell r="F391">
            <v>-823</v>
          </cell>
          <cell r="G391">
            <v>-823</v>
          </cell>
          <cell r="J391">
            <v>-823</v>
          </cell>
        </row>
        <row r="394">
          <cell r="A394">
            <v>4000</v>
          </cell>
          <cell r="B394">
            <v>415070</v>
          </cell>
          <cell r="C394" t="str">
            <v>EC: Insurances: Castle</v>
          </cell>
        </row>
        <row r="397">
          <cell r="A397">
            <v>4000</v>
          </cell>
          <cell r="B397">
            <v>415170</v>
          </cell>
          <cell r="C397" t="str">
            <v>EC: Service Charge: C</v>
          </cell>
        </row>
        <row r="400">
          <cell r="A400">
            <v>4000</v>
          </cell>
          <cell r="B400">
            <v>415270</v>
          </cell>
          <cell r="C400" t="str">
            <v>EC: Rent: Castle Cham</v>
          </cell>
          <cell r="D400" t="str">
            <v>Rent accrual as per Gary up to March £10,800</v>
          </cell>
          <cell r="F400">
            <v>10800</v>
          </cell>
          <cell r="G400">
            <v>14000</v>
          </cell>
          <cell r="J400">
            <v>14000</v>
          </cell>
        </row>
        <row r="401">
          <cell r="D401" t="str">
            <v>Rent accrual being added each month by Gary - £800</v>
          </cell>
        </row>
        <row r="402">
          <cell r="D402" t="str">
            <v>Accrual April - July</v>
          </cell>
          <cell r="F402">
            <v>3200</v>
          </cell>
        </row>
        <row r="404">
          <cell r="A404">
            <v>4000</v>
          </cell>
          <cell r="B404">
            <v>420010</v>
          </cell>
          <cell r="C404" t="str">
            <v>EC: Waste Disposal</v>
          </cell>
        </row>
        <row r="407">
          <cell r="A407">
            <v>4000</v>
          </cell>
          <cell r="B407">
            <v>420070</v>
          </cell>
          <cell r="C407" t="str">
            <v>EC: Renewals: C/C</v>
          </cell>
        </row>
        <row r="410">
          <cell r="A410">
            <v>4000</v>
          </cell>
          <cell r="B410">
            <v>420170</v>
          </cell>
          <cell r="C410" t="str">
            <v>EC: Waste Disposal: C</v>
          </cell>
          <cell r="D410" t="str">
            <v>Assumed</v>
          </cell>
          <cell r="F410">
            <v>500</v>
          </cell>
          <cell r="G410">
            <v>500</v>
          </cell>
          <cell r="J410">
            <v>500</v>
          </cell>
        </row>
        <row r="413">
          <cell r="A413">
            <v>4000</v>
          </cell>
          <cell r="B413">
            <v>425010</v>
          </cell>
          <cell r="C413" t="str">
            <v>EC: Repairs &amp; Mainten</v>
          </cell>
          <cell r="D413" t="str">
            <v>Assumed</v>
          </cell>
          <cell r="F413">
            <v>1000</v>
          </cell>
          <cell r="G413">
            <v>1000</v>
          </cell>
          <cell r="J413">
            <v>1000</v>
          </cell>
        </row>
        <row r="416">
          <cell r="A416">
            <v>4000</v>
          </cell>
          <cell r="B416">
            <v>425070</v>
          </cell>
          <cell r="C416" t="str">
            <v>EC: Repairs &amp; Maintent</v>
          </cell>
        </row>
        <row r="419">
          <cell r="A419">
            <v>4000</v>
          </cell>
          <cell r="B419">
            <v>426010</v>
          </cell>
          <cell r="C419" t="str">
            <v>EC: Gardening</v>
          </cell>
        </row>
        <row r="422">
          <cell r="A422">
            <v>4000</v>
          </cell>
          <cell r="B422">
            <v>430010</v>
          </cell>
          <cell r="C422" t="str">
            <v>EC: Depreciation</v>
          </cell>
        </row>
        <row r="425">
          <cell r="A425">
            <v>4000</v>
          </cell>
          <cell r="B425">
            <v>435010</v>
          </cell>
          <cell r="C425" t="str">
            <v>EC: Hire of Equipment</v>
          </cell>
          <cell r="D425" t="str">
            <v>Assumed</v>
          </cell>
          <cell r="F425">
            <v>1000</v>
          </cell>
          <cell r="G425">
            <v>1000</v>
          </cell>
          <cell r="J425">
            <v>1000</v>
          </cell>
        </row>
        <row r="428">
          <cell r="A428">
            <v>4000</v>
          </cell>
          <cell r="B428">
            <v>435070</v>
          </cell>
          <cell r="C428" t="str">
            <v>EC: Hire of Equipment2</v>
          </cell>
        </row>
        <row r="431">
          <cell r="A431">
            <v>4000</v>
          </cell>
          <cell r="B431">
            <v>442510</v>
          </cell>
          <cell r="C431" t="str">
            <v>EC: Salaries</v>
          </cell>
          <cell r="D431" t="str">
            <v>FT untaken leave</v>
          </cell>
          <cell r="F431">
            <v>663</v>
          </cell>
          <cell r="G431">
            <v>1160</v>
          </cell>
          <cell r="J431">
            <v>1160</v>
          </cell>
        </row>
        <row r="432">
          <cell r="D432" t="str">
            <v>PT untaken leave</v>
          </cell>
          <cell r="F432">
            <v>192</v>
          </cell>
        </row>
        <row r="433">
          <cell r="D433" t="str">
            <v>Wage accrual</v>
          </cell>
          <cell r="F433">
            <v>305</v>
          </cell>
        </row>
        <row r="435">
          <cell r="A435">
            <v>4000</v>
          </cell>
          <cell r="B435">
            <v>445010</v>
          </cell>
          <cell r="C435" t="str">
            <v>EC: Sundry Expenses</v>
          </cell>
        </row>
        <row r="438">
          <cell r="A438">
            <v>4500</v>
          </cell>
          <cell r="B438">
            <v>452210</v>
          </cell>
          <cell r="C438" t="str">
            <v>SM: Comlimentary Dri</v>
          </cell>
        </row>
        <row r="441">
          <cell r="A441">
            <v>4500</v>
          </cell>
          <cell r="B441">
            <v>452310</v>
          </cell>
          <cell r="C441" t="str">
            <v>SM: Lunches for Foreign</v>
          </cell>
        </row>
        <row r="444">
          <cell r="A444">
            <v>4500</v>
          </cell>
          <cell r="B444">
            <v>452410</v>
          </cell>
          <cell r="C444" t="str">
            <v>SM: Brochure Contribution</v>
          </cell>
        </row>
        <row r="447">
          <cell r="A447">
            <v>4500</v>
          </cell>
          <cell r="B447">
            <v>453510</v>
          </cell>
          <cell r="C447" t="str">
            <v>SM: Subscriptions</v>
          </cell>
          <cell r="D447" t="str">
            <v>Assumed</v>
          </cell>
          <cell r="F447">
            <v>2250</v>
          </cell>
          <cell r="G447">
            <v>2250</v>
          </cell>
          <cell r="J447">
            <v>2250</v>
          </cell>
        </row>
        <row r="450">
          <cell r="A450">
            <v>4500</v>
          </cell>
          <cell r="B450">
            <v>454010</v>
          </cell>
          <cell r="C450" t="str">
            <v>SM: Advertising</v>
          </cell>
          <cell r="D450" t="str">
            <v>Westcountry Publications</v>
          </cell>
          <cell r="E450" t="str">
            <v>CN55446</v>
          </cell>
          <cell r="F450">
            <v>-76.260000000000005</v>
          </cell>
          <cell r="G450">
            <v>-40.260000000000005</v>
          </cell>
          <cell r="J450">
            <v>-40.260000000000005</v>
          </cell>
        </row>
        <row r="451">
          <cell r="D451" t="str">
            <v>Visa</v>
          </cell>
          <cell r="F451">
            <v>36</v>
          </cell>
        </row>
        <row r="453">
          <cell r="A453">
            <v>4500</v>
          </cell>
          <cell r="B453">
            <v>454310</v>
          </cell>
          <cell r="C453" t="str">
            <v>SM: Promotional</v>
          </cell>
        </row>
        <row r="456">
          <cell r="A456">
            <v>4500</v>
          </cell>
          <cell r="B456">
            <v>454510</v>
          </cell>
          <cell r="C456" t="str">
            <v>SM: Travel</v>
          </cell>
          <cell r="D456" t="str">
            <v>Assumed</v>
          </cell>
          <cell r="F456">
            <v>1000</v>
          </cell>
          <cell r="G456">
            <v>1000</v>
          </cell>
          <cell r="J456">
            <v>1000</v>
          </cell>
        </row>
        <row r="459">
          <cell r="A459">
            <v>4500</v>
          </cell>
          <cell r="B459">
            <v>455510</v>
          </cell>
          <cell r="C459" t="str">
            <v>SM: Entertainment: LAL</v>
          </cell>
          <cell r="D459" t="str">
            <v>Assumed</v>
          </cell>
          <cell r="F459">
            <v>1000</v>
          </cell>
          <cell r="G459">
            <v>1000</v>
          </cell>
          <cell r="J459">
            <v>1000</v>
          </cell>
        </row>
        <row r="462">
          <cell r="A462">
            <v>4500</v>
          </cell>
          <cell r="B462">
            <v>456010</v>
          </cell>
          <cell r="C462" t="str">
            <v>SM: Entertaining: Cli</v>
          </cell>
        </row>
        <row r="465">
          <cell r="A465">
            <v>4500</v>
          </cell>
          <cell r="B465">
            <v>457010</v>
          </cell>
          <cell r="C465" t="str">
            <v>SM: Entertaining: Stu</v>
          </cell>
          <cell r="D465" t="str">
            <v>Visa expenses July</v>
          </cell>
          <cell r="F465">
            <v>23</v>
          </cell>
          <cell r="G465">
            <v>23</v>
          </cell>
          <cell r="J465">
            <v>23</v>
          </cell>
        </row>
        <row r="468">
          <cell r="A468">
            <v>4500</v>
          </cell>
          <cell r="B468">
            <v>457910</v>
          </cell>
          <cell r="C468" t="str">
            <v>SM: Internet</v>
          </cell>
          <cell r="D468" t="str">
            <v>Visa exp July</v>
          </cell>
          <cell r="F468">
            <v>320</v>
          </cell>
          <cell r="G468">
            <v>320</v>
          </cell>
          <cell r="J468">
            <v>320</v>
          </cell>
        </row>
        <row r="471">
          <cell r="A471">
            <v>4500</v>
          </cell>
          <cell r="B471">
            <v>458010</v>
          </cell>
          <cell r="C471" t="str">
            <v>SM: Telephone</v>
          </cell>
          <cell r="D471" t="str">
            <v>Assumed</v>
          </cell>
          <cell r="F471">
            <v>250</v>
          </cell>
          <cell r="G471">
            <v>250</v>
          </cell>
          <cell r="J471">
            <v>250</v>
          </cell>
        </row>
        <row r="474">
          <cell r="A474">
            <v>4500</v>
          </cell>
          <cell r="B474">
            <v>459010</v>
          </cell>
          <cell r="C474" t="str">
            <v>SM: Fax</v>
          </cell>
        </row>
        <row r="477">
          <cell r="A477">
            <v>4500</v>
          </cell>
          <cell r="B477">
            <v>459110</v>
          </cell>
          <cell r="C477" t="str">
            <v>SM: Central Marketing Office</v>
          </cell>
          <cell r="D477" t="str">
            <v>Assumed £4500 per month  for 11 months</v>
          </cell>
          <cell r="F477">
            <v>49500</v>
          </cell>
          <cell r="G477">
            <v>49500</v>
          </cell>
          <cell r="J477">
            <v>49500</v>
          </cell>
        </row>
        <row r="480">
          <cell r="A480">
            <v>4500</v>
          </cell>
          <cell r="B480">
            <v>459510</v>
          </cell>
          <cell r="C480" t="str">
            <v>SM: Salaries</v>
          </cell>
          <cell r="D480" t="str">
            <v>FT untaken leave</v>
          </cell>
          <cell r="F480">
            <v>1806</v>
          </cell>
          <cell r="G480">
            <v>6724</v>
          </cell>
          <cell r="J480">
            <v>6724</v>
          </cell>
        </row>
        <row r="481">
          <cell r="D481" t="str">
            <v>PT untaken leave</v>
          </cell>
          <cell r="F481">
            <v>1898</v>
          </cell>
        </row>
        <row r="482">
          <cell r="D482" t="str">
            <v>Wage Accrual</v>
          </cell>
          <cell r="F482">
            <v>3020</v>
          </cell>
        </row>
        <row r="484">
          <cell r="A484">
            <v>4500</v>
          </cell>
          <cell r="B484">
            <v>459520</v>
          </cell>
          <cell r="C484" t="str">
            <v>SM: Salaries: Co NI</v>
          </cell>
        </row>
        <row r="487">
          <cell r="A487">
            <v>4500</v>
          </cell>
          <cell r="B487">
            <v>460510</v>
          </cell>
          <cell r="C487" t="str">
            <v>AC: Fax</v>
          </cell>
        </row>
        <row r="490">
          <cell r="A490">
            <v>4600</v>
          </cell>
          <cell r="B490">
            <v>461010</v>
          </cell>
          <cell r="C490" t="str">
            <v>AC: Telephone</v>
          </cell>
          <cell r="D490" t="str">
            <v>Assumed</v>
          </cell>
          <cell r="F490">
            <v>1500</v>
          </cell>
          <cell r="G490">
            <v>1500</v>
          </cell>
          <cell r="J490">
            <v>1500</v>
          </cell>
        </row>
        <row r="496">
          <cell r="A496">
            <v>4600</v>
          </cell>
          <cell r="B496">
            <v>461020</v>
          </cell>
          <cell r="C496" t="str">
            <v>AC: Study Centre: E-m</v>
          </cell>
        </row>
        <row r="499">
          <cell r="A499">
            <v>4600</v>
          </cell>
          <cell r="B499">
            <v>461410</v>
          </cell>
          <cell r="C499" t="str">
            <v>AC: Mobile Telephones</v>
          </cell>
          <cell r="D499" t="str">
            <v>Assumed</v>
          </cell>
          <cell r="F499">
            <v>750</v>
          </cell>
          <cell r="G499">
            <v>750</v>
          </cell>
          <cell r="J499">
            <v>750</v>
          </cell>
        </row>
        <row r="502">
          <cell r="A502">
            <v>4600</v>
          </cell>
          <cell r="B502">
            <v>462010</v>
          </cell>
          <cell r="C502" t="str">
            <v>AC: Medicals</v>
          </cell>
        </row>
        <row r="505">
          <cell r="A505">
            <v>4600</v>
          </cell>
          <cell r="B505">
            <v>462510</v>
          </cell>
          <cell r="C505" t="str">
            <v>AC: Accountancy: Audit</v>
          </cell>
          <cell r="D505" t="str">
            <v>Audit fee charged last year £6100</v>
          </cell>
          <cell r="F505">
            <v>5591.666666666667</v>
          </cell>
          <cell r="G505">
            <v>8013.9583333333339</v>
          </cell>
          <cell r="J505">
            <v>8013.9583333333339</v>
          </cell>
        </row>
        <row r="506">
          <cell r="D506" t="str">
            <v>Audit fee to be charged in Malta Lm1750</v>
          </cell>
          <cell r="F506">
            <v>2422.2916666666665</v>
          </cell>
        </row>
        <row r="509">
          <cell r="A509">
            <v>4600</v>
          </cell>
          <cell r="B509">
            <v>463010</v>
          </cell>
          <cell r="C509" t="str">
            <v>AC: Accountancy: Others</v>
          </cell>
          <cell r="G509">
            <v>1100</v>
          </cell>
          <cell r="J509">
            <v>1100</v>
          </cell>
        </row>
        <row r="510">
          <cell r="D510" t="str">
            <v>Additional accountancy fees being accrued by Gary (tax???)</v>
          </cell>
          <cell r="E510" t="str">
            <v>100 per month</v>
          </cell>
          <cell r="F510">
            <v>1100</v>
          </cell>
        </row>
        <row r="512">
          <cell r="A512">
            <v>4600</v>
          </cell>
          <cell r="B512">
            <v>463510</v>
          </cell>
          <cell r="C512" t="str">
            <v>AC: Legal &amp; Professio</v>
          </cell>
        </row>
        <row r="515">
          <cell r="A515">
            <v>4600</v>
          </cell>
          <cell r="B515">
            <v>464510</v>
          </cell>
          <cell r="C515" t="str">
            <v>AC: Computer: Data Line</v>
          </cell>
        </row>
        <row r="518">
          <cell r="A518">
            <v>4600</v>
          </cell>
          <cell r="B518">
            <v>465010</v>
          </cell>
          <cell r="C518" t="str">
            <v>AC: Computer: Stationery</v>
          </cell>
          <cell r="D518" t="str">
            <v>Visa exp July</v>
          </cell>
          <cell r="F518">
            <v>50</v>
          </cell>
          <cell r="G518">
            <v>50</v>
          </cell>
          <cell r="J518">
            <v>50</v>
          </cell>
        </row>
        <row r="521">
          <cell r="A521">
            <v>4600</v>
          </cell>
          <cell r="B521">
            <v>465210</v>
          </cell>
          <cell r="C521" t="str">
            <v>AC: Computer: Maintenance</v>
          </cell>
          <cell r="D521" t="str">
            <v>Visa exp July</v>
          </cell>
          <cell r="F521">
            <v>31</v>
          </cell>
          <cell r="G521">
            <v>31</v>
          </cell>
          <cell r="J521">
            <v>31</v>
          </cell>
        </row>
        <row r="524">
          <cell r="A524">
            <v>4600</v>
          </cell>
          <cell r="B524">
            <v>465510</v>
          </cell>
          <cell r="C524" t="str">
            <v>AC: Computer: Expenses</v>
          </cell>
        </row>
        <row r="527">
          <cell r="A527">
            <v>4600</v>
          </cell>
          <cell r="B527">
            <v>466020</v>
          </cell>
          <cell r="C527" t="str">
            <v>AC: Unused</v>
          </cell>
        </row>
        <row r="530">
          <cell r="A530">
            <v>4600</v>
          </cell>
          <cell r="B530">
            <v>466510</v>
          </cell>
          <cell r="C530" t="str">
            <v>AC: Stationery</v>
          </cell>
          <cell r="D530" t="str">
            <v>Almega</v>
          </cell>
          <cell r="E530" t="str">
            <v>Inv2727</v>
          </cell>
          <cell r="F530">
            <v>196</v>
          </cell>
          <cell r="G530">
            <v>1196</v>
          </cell>
          <cell r="J530">
            <v>1196</v>
          </cell>
        </row>
        <row r="531">
          <cell r="D531" t="str">
            <v>Assumed</v>
          </cell>
          <cell r="F531">
            <v>1000</v>
          </cell>
        </row>
        <row r="540">
          <cell r="A540">
            <v>4600</v>
          </cell>
          <cell r="B540">
            <v>467010</v>
          </cell>
          <cell r="C540" t="str">
            <v>AC: Postage</v>
          </cell>
          <cell r="D540" t="str">
            <v xml:space="preserve">Pack n Post </v>
          </cell>
          <cell r="E540" t="str">
            <v>Inv100</v>
          </cell>
          <cell r="F540">
            <v>41</v>
          </cell>
          <cell r="G540">
            <v>2417</v>
          </cell>
          <cell r="J540">
            <v>2417</v>
          </cell>
        </row>
        <row r="541">
          <cell r="D541" t="str">
            <v xml:space="preserve">Pack n Post </v>
          </cell>
          <cell r="E541" t="str">
            <v>Inv118</v>
          </cell>
          <cell r="F541">
            <v>11</v>
          </cell>
        </row>
        <row r="542">
          <cell r="D542" t="str">
            <v xml:space="preserve">Pack n Post </v>
          </cell>
          <cell r="E542" t="str">
            <v>Inv128</v>
          </cell>
          <cell r="F542">
            <v>34</v>
          </cell>
        </row>
        <row r="543">
          <cell r="D543" t="str">
            <v xml:space="preserve">Pack n Post </v>
          </cell>
          <cell r="E543" t="str">
            <v>Inv145</v>
          </cell>
          <cell r="F543">
            <v>14</v>
          </cell>
        </row>
        <row r="544">
          <cell r="D544" t="str">
            <v xml:space="preserve">Pack n Post </v>
          </cell>
          <cell r="E544" t="str">
            <v>Inv163</v>
          </cell>
          <cell r="F544">
            <v>11</v>
          </cell>
        </row>
        <row r="545">
          <cell r="D545" t="str">
            <v xml:space="preserve">Pack n Post </v>
          </cell>
          <cell r="E545" t="str">
            <v>Inv196</v>
          </cell>
          <cell r="F545">
            <v>11</v>
          </cell>
        </row>
        <row r="546">
          <cell r="D546" t="str">
            <v>Royal Mail</v>
          </cell>
          <cell r="E546" t="str">
            <v>Inv IM320792</v>
          </cell>
          <cell r="F546">
            <v>1264</v>
          </cell>
        </row>
        <row r="547">
          <cell r="D547" t="str">
            <v>DHL</v>
          </cell>
          <cell r="F547">
            <v>531</v>
          </cell>
        </row>
        <row r="548">
          <cell r="D548" t="str">
            <v>Assumed</v>
          </cell>
          <cell r="F548">
            <v>500</v>
          </cell>
        </row>
        <row r="550">
          <cell r="A550">
            <v>4600</v>
          </cell>
          <cell r="B550">
            <v>467510</v>
          </cell>
          <cell r="C550" t="str">
            <v>AC: Photocopier: Admin</v>
          </cell>
          <cell r="D550" t="str">
            <v>Assumed</v>
          </cell>
          <cell r="F550">
            <v>500</v>
          </cell>
          <cell r="G550">
            <v>500</v>
          </cell>
          <cell r="J550">
            <v>500</v>
          </cell>
        </row>
        <row r="554">
          <cell r="A554">
            <v>4600</v>
          </cell>
          <cell r="B554">
            <v>468020</v>
          </cell>
          <cell r="C554" t="str">
            <v>AC: Photocopier: Acad</v>
          </cell>
        </row>
        <row r="557">
          <cell r="A557">
            <v>4600</v>
          </cell>
          <cell r="B557">
            <v>468055</v>
          </cell>
          <cell r="C557" t="str">
            <v>AC: Photocopier: Resi</v>
          </cell>
        </row>
        <row r="560">
          <cell r="A560">
            <v>4600</v>
          </cell>
          <cell r="B560">
            <v>46800</v>
          </cell>
          <cell r="C560" t="str">
            <v>AC: Photocopier: C/C</v>
          </cell>
        </row>
        <row r="563">
          <cell r="A563">
            <v>4600</v>
          </cell>
          <cell r="B563">
            <v>468510</v>
          </cell>
          <cell r="C563" t="str">
            <v>AC: Photocopier: Stat</v>
          </cell>
        </row>
        <row r="566">
          <cell r="A566">
            <v>4600</v>
          </cell>
          <cell r="B566">
            <v>470010</v>
          </cell>
          <cell r="C566" t="str">
            <v>AC: Salaries</v>
          </cell>
          <cell r="D566" t="str">
            <v>FT untaken leave</v>
          </cell>
          <cell r="F566">
            <v>5649</v>
          </cell>
          <cell r="G566">
            <v>6649</v>
          </cell>
          <cell r="J566">
            <v>6649</v>
          </cell>
        </row>
        <row r="567">
          <cell r="D567" t="str">
            <v>Assumed</v>
          </cell>
          <cell r="F567">
            <v>1000</v>
          </cell>
        </row>
        <row r="569">
          <cell r="A569">
            <v>4600</v>
          </cell>
          <cell r="B569">
            <v>470110</v>
          </cell>
          <cell r="C569" t="str">
            <v>AC: Salaries: Travel</v>
          </cell>
        </row>
        <row r="572">
          <cell r="A572">
            <v>4600</v>
          </cell>
          <cell r="B572">
            <v>470510</v>
          </cell>
          <cell r="C572" t="str">
            <v>AC: Salaries: CFO</v>
          </cell>
        </row>
        <row r="575">
          <cell r="A575">
            <v>4600</v>
          </cell>
          <cell r="B575">
            <v>470520</v>
          </cell>
          <cell r="C575" t="str">
            <v>AC: Salariies: IT</v>
          </cell>
        </row>
        <row r="578">
          <cell r="A578">
            <v>4600</v>
          </cell>
          <cell r="B578">
            <v>470530</v>
          </cell>
          <cell r="C578" t="str">
            <v>AC: Salaries: Car All</v>
          </cell>
        </row>
        <row r="581">
          <cell r="A581">
            <v>4600</v>
          </cell>
          <cell r="B581">
            <v>470540</v>
          </cell>
          <cell r="C581" t="str">
            <v>AC: Salaries: Co NI</v>
          </cell>
        </row>
        <row r="584">
          <cell r="A584">
            <v>4600</v>
          </cell>
          <cell r="B584">
            <v>470710</v>
          </cell>
          <cell r="C584" t="str">
            <v>AC: Casual Labour</v>
          </cell>
        </row>
        <row r="587">
          <cell r="A587">
            <v>4600</v>
          </cell>
          <cell r="B587">
            <v>471010</v>
          </cell>
          <cell r="C587" t="str">
            <v>AC: Ex-Gratia Payment</v>
          </cell>
        </row>
        <row r="590">
          <cell r="A590">
            <v>4600</v>
          </cell>
          <cell r="B590">
            <v>473515</v>
          </cell>
          <cell r="C590" t="str">
            <v>AC: Relocation Costs</v>
          </cell>
        </row>
        <row r="593">
          <cell r="A593">
            <v>4600</v>
          </cell>
          <cell r="B593">
            <v>473515</v>
          </cell>
          <cell r="C593" t="str">
            <v>AC: Car Allowance</v>
          </cell>
        </row>
        <row r="596">
          <cell r="A596">
            <v>4600</v>
          </cell>
          <cell r="B596">
            <v>474510</v>
          </cell>
          <cell r="C596" t="str">
            <v>AC: Subscriptions</v>
          </cell>
          <cell r="D596" t="str">
            <v>Assumed</v>
          </cell>
          <cell r="F596">
            <v>1000</v>
          </cell>
          <cell r="G596">
            <v>1000</v>
          </cell>
          <cell r="J596">
            <v>1000</v>
          </cell>
        </row>
        <row r="599">
          <cell r="A599">
            <v>4600</v>
          </cell>
          <cell r="B599">
            <v>475010</v>
          </cell>
          <cell r="C599" t="str">
            <v>AC: Donations</v>
          </cell>
        </row>
        <row r="602">
          <cell r="A602">
            <v>4600</v>
          </cell>
          <cell r="B602">
            <v>476010</v>
          </cell>
          <cell r="C602" t="str">
            <v>AC: Renewals</v>
          </cell>
        </row>
        <row r="605">
          <cell r="A605">
            <v>4600</v>
          </cell>
          <cell r="B605">
            <v>478510</v>
          </cell>
          <cell r="C605" t="str">
            <v>AC: Travel</v>
          </cell>
        </row>
        <row r="608">
          <cell r="A608">
            <v>4600</v>
          </cell>
          <cell r="B608">
            <v>479510</v>
          </cell>
          <cell r="C608" t="str">
            <v>AC: Recruitment: Host</v>
          </cell>
          <cell r="D608" t="str">
            <v>Assumed</v>
          </cell>
          <cell r="F608">
            <v>1500</v>
          </cell>
          <cell r="G608">
            <v>1500</v>
          </cell>
          <cell r="J608">
            <v>1500</v>
          </cell>
        </row>
        <row r="611">
          <cell r="A611">
            <v>4600</v>
          </cell>
          <cell r="B611">
            <v>480010</v>
          </cell>
          <cell r="C611" t="str">
            <v>AC: Recruitment: Staff</v>
          </cell>
        </row>
        <row r="614">
          <cell r="A614">
            <v>4600</v>
          </cell>
          <cell r="B614">
            <v>480110</v>
          </cell>
          <cell r="C614" t="str">
            <v>AC: Entertaining: Cli</v>
          </cell>
        </row>
        <row r="617">
          <cell r="A617">
            <v>4600</v>
          </cell>
          <cell r="B617">
            <v>480210</v>
          </cell>
          <cell r="C617" t="str">
            <v>AC: Entertaining: Sta</v>
          </cell>
          <cell r="D617" t="str">
            <v>The News Shop</v>
          </cell>
          <cell r="F617">
            <v>34</v>
          </cell>
          <cell r="G617">
            <v>284</v>
          </cell>
          <cell r="J617">
            <v>284</v>
          </cell>
        </row>
        <row r="618">
          <cell r="D618" t="str">
            <v>Assumed</v>
          </cell>
          <cell r="F618">
            <v>250</v>
          </cell>
        </row>
        <row r="620">
          <cell r="A620">
            <v>4600</v>
          </cell>
          <cell r="B620">
            <v>480310</v>
          </cell>
          <cell r="C620" t="str">
            <v>AC: Entertaining: Hos</v>
          </cell>
        </row>
        <row r="623">
          <cell r="A623">
            <v>4600</v>
          </cell>
          <cell r="B623">
            <v>480510</v>
          </cell>
          <cell r="C623" t="str">
            <v>AC: Staff Training</v>
          </cell>
        </row>
        <row r="626">
          <cell r="A626">
            <v>4600</v>
          </cell>
          <cell r="B626">
            <v>481010</v>
          </cell>
          <cell r="C626" t="str">
            <v>AC: Staff Consumables</v>
          </cell>
        </row>
        <row r="629">
          <cell r="A629">
            <v>4600</v>
          </cell>
          <cell r="B629">
            <v>481710</v>
          </cell>
          <cell r="C629" t="str">
            <v>AC: Staff Uniforms</v>
          </cell>
          <cell r="D629" t="str">
            <v>Almega Ltd</v>
          </cell>
          <cell r="E629" t="str">
            <v>IUnv2744</v>
          </cell>
          <cell r="F629">
            <v>405</v>
          </cell>
          <cell r="G629">
            <v>405</v>
          </cell>
          <cell r="J629">
            <v>405</v>
          </cell>
        </row>
        <row r="632">
          <cell r="A632">
            <v>4600</v>
          </cell>
          <cell r="B632">
            <v>482010</v>
          </cell>
          <cell r="C632" t="str">
            <v>AC: Household</v>
          </cell>
          <cell r="D632" t="str">
            <v>A&amp;D Industrial</v>
          </cell>
          <cell r="E632" t="str">
            <v>Inv4081299</v>
          </cell>
          <cell r="F632">
            <v>124</v>
          </cell>
          <cell r="G632">
            <v>874</v>
          </cell>
          <cell r="J632">
            <v>874</v>
          </cell>
        </row>
        <row r="633">
          <cell r="D633" t="str">
            <v>Assumed</v>
          </cell>
          <cell r="F633">
            <v>750</v>
          </cell>
        </row>
        <row r="635">
          <cell r="A635">
            <v>4600</v>
          </cell>
          <cell r="B635">
            <v>482070</v>
          </cell>
          <cell r="C635" t="str">
            <v>AC: Household: C/C</v>
          </cell>
        </row>
        <row r="638">
          <cell r="A638">
            <v>4600</v>
          </cell>
          <cell r="B638">
            <v>483010</v>
          </cell>
          <cell r="C638" t="str">
            <v>AC: Equipment Repairs</v>
          </cell>
          <cell r="D638" t="str">
            <v>Assumed</v>
          </cell>
          <cell r="F638">
            <v>1500</v>
          </cell>
          <cell r="G638">
            <v>1500</v>
          </cell>
          <cell r="J638">
            <v>1500</v>
          </cell>
        </row>
        <row r="641">
          <cell r="A641">
            <v>4600</v>
          </cell>
          <cell r="B641">
            <v>483510</v>
          </cell>
          <cell r="C641" t="str">
            <v>AC: Hire of Equipment</v>
          </cell>
        </row>
        <row r="644">
          <cell r="A644">
            <v>4600</v>
          </cell>
          <cell r="B644">
            <v>483570</v>
          </cell>
          <cell r="C644" t="str">
            <v>AC: Hire of Equipment2</v>
          </cell>
        </row>
        <row r="647">
          <cell r="A647">
            <v>4600</v>
          </cell>
          <cell r="B647">
            <v>484010</v>
          </cell>
          <cell r="C647" t="str">
            <v>AC: Service Contracts</v>
          </cell>
        </row>
        <row r="650">
          <cell r="A650">
            <v>4600</v>
          </cell>
          <cell r="B650">
            <v>484070</v>
          </cell>
          <cell r="C650" t="str">
            <v>AC: Service Contracts2</v>
          </cell>
        </row>
        <row r="653">
          <cell r="A653">
            <v>4600</v>
          </cell>
          <cell r="B653">
            <v>485110</v>
          </cell>
          <cell r="C653" t="str">
            <v>AC: Profit/Loss on Exchange</v>
          </cell>
        </row>
        <row r="656">
          <cell r="A656">
            <v>4600</v>
          </cell>
          <cell r="B656">
            <v>485510</v>
          </cell>
          <cell r="C656" t="str">
            <v>AC: Depreciation</v>
          </cell>
        </row>
        <row r="659">
          <cell r="A659">
            <v>4600</v>
          </cell>
          <cell r="B659">
            <v>486010</v>
          </cell>
          <cell r="C659" t="str">
            <v>AC: Bad Debts Provision</v>
          </cell>
          <cell r="J659">
            <v>0</v>
          </cell>
        </row>
        <row r="662">
          <cell r="A662">
            <v>4600</v>
          </cell>
          <cell r="B662">
            <v>487010</v>
          </cell>
          <cell r="C662" t="str">
            <v>AC: Bad Debts Written Off</v>
          </cell>
        </row>
        <row r="665">
          <cell r="A665">
            <v>4600</v>
          </cell>
          <cell r="B665">
            <v>487015</v>
          </cell>
          <cell r="C665" t="str">
            <v>W/Off Alloc Diff</v>
          </cell>
          <cell r="J665">
            <v>0</v>
          </cell>
        </row>
        <row r="668">
          <cell r="A668">
            <v>4600</v>
          </cell>
          <cell r="B668">
            <v>487510</v>
          </cell>
          <cell r="C668" t="str">
            <v>AC: Bank Charges</v>
          </cell>
          <cell r="D668" t="str">
            <v>Assumed</v>
          </cell>
          <cell r="F668">
            <v>100</v>
          </cell>
          <cell r="G668">
            <v>100</v>
          </cell>
          <cell r="J668">
            <v>100</v>
          </cell>
        </row>
        <row r="671">
          <cell r="A671">
            <v>4600</v>
          </cell>
          <cell r="B671">
            <v>488010</v>
          </cell>
          <cell r="C671" t="str">
            <v>AC: Bank Commission</v>
          </cell>
        </row>
        <row r="674">
          <cell r="A674">
            <v>4600</v>
          </cell>
          <cell r="B674">
            <v>488510</v>
          </cell>
          <cell r="C674" t="str">
            <v>AC: Lease of Equipment</v>
          </cell>
          <cell r="D674" t="str">
            <v>Assumed</v>
          </cell>
          <cell r="F674">
            <v>1000</v>
          </cell>
          <cell r="G674">
            <v>1000</v>
          </cell>
          <cell r="J674">
            <v>1000</v>
          </cell>
        </row>
        <row r="677">
          <cell r="A677">
            <v>4600</v>
          </cell>
          <cell r="B677">
            <v>489010</v>
          </cell>
          <cell r="C677" t="str">
            <v>AC: Other Interest Charges</v>
          </cell>
        </row>
        <row r="680">
          <cell r="A680">
            <v>4600</v>
          </cell>
          <cell r="B680">
            <v>489110</v>
          </cell>
          <cell r="C680" t="str">
            <v>AC: Credit Card Commission</v>
          </cell>
          <cell r="D680" t="str">
            <v>Assumed</v>
          </cell>
          <cell r="F680">
            <v>2000</v>
          </cell>
          <cell r="G680">
            <v>2000</v>
          </cell>
          <cell r="J680">
            <v>2000</v>
          </cell>
        </row>
        <row r="683">
          <cell r="A683">
            <v>4600</v>
          </cell>
          <cell r="B683">
            <v>189510</v>
          </cell>
          <cell r="C683" t="str">
            <v>AC: H.P. Interest</v>
          </cell>
        </row>
        <row r="686">
          <cell r="A686">
            <v>4600</v>
          </cell>
          <cell r="B686">
            <v>489910</v>
          </cell>
          <cell r="C686" t="str">
            <v>Not Attributable</v>
          </cell>
          <cell r="D686" t="str">
            <v>Assuming all the VAT in B/S is not claimable (£18,305)</v>
          </cell>
          <cell r="F686">
            <v>18305</v>
          </cell>
          <cell r="G686">
            <v>21050.75</v>
          </cell>
          <cell r="J686">
            <v>21050.75</v>
          </cell>
        </row>
        <row r="687">
          <cell r="D687" t="str">
            <v xml:space="preserve">Assuming 15% increase in provision due to expenses accrued for </v>
          </cell>
        </row>
        <row r="688">
          <cell r="D688" t="str">
            <v>on which VAT would not be claimed if they had been posted.</v>
          </cell>
          <cell r="F688">
            <v>2745.75</v>
          </cell>
        </row>
        <row r="690">
          <cell r="A690">
            <v>4600</v>
          </cell>
          <cell r="B690">
            <v>490010</v>
          </cell>
          <cell r="C690" t="str">
            <v>AC: FTI Management Fees</v>
          </cell>
          <cell r="D690" t="str">
            <v>1% of gross turnover for the month</v>
          </cell>
          <cell r="E690">
            <v>1118534</v>
          </cell>
          <cell r="F690">
            <v>0.01</v>
          </cell>
          <cell r="G690">
            <v>11185.34</v>
          </cell>
          <cell r="J690">
            <v>11185.34</v>
          </cell>
        </row>
        <row r="693">
          <cell r="A693">
            <v>4600</v>
          </cell>
          <cell r="B693">
            <v>499010</v>
          </cell>
          <cell r="C693" t="str">
            <v>AC: Sundry Expenses</v>
          </cell>
          <cell r="D693" t="str">
            <v>Write off of debit balances in creditors list (See mgt accounts file)</v>
          </cell>
          <cell r="F693">
            <v>16002</v>
          </cell>
          <cell r="G693">
            <v>26002</v>
          </cell>
          <cell r="J693">
            <v>26002</v>
          </cell>
        </row>
        <row r="694">
          <cell r="D694" t="str">
            <v>Estimated refunds to clients</v>
          </cell>
          <cell r="F694">
            <v>10000</v>
          </cell>
        </row>
        <row r="696">
          <cell r="A696">
            <v>4600</v>
          </cell>
          <cell r="B696">
            <v>499910</v>
          </cell>
          <cell r="C696" t="str">
            <v>AC: Bank Interest</v>
          </cell>
        </row>
        <row r="699">
          <cell r="A699" t="str">
            <v>TOTALS</v>
          </cell>
          <cell r="G699">
            <v>414224.71862110309</v>
          </cell>
          <cell r="I699">
            <v>13650</v>
          </cell>
          <cell r="J699">
            <v>400574.71862110309</v>
          </cell>
        </row>
      </sheetData>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Customize Your Purchase Order"/>
      <sheetName val="Purchase Order"/>
      <sheetName val="Macros"/>
      <sheetName val="ATW"/>
      <sheetName val="Lock"/>
      <sheetName val="Intl Data Table"/>
      <sheetName val="TemplateInformation"/>
    </sheetNames>
    <sheetDataSet>
      <sheetData sheetId="0" refreshError="1"/>
      <sheetData sheetId="1" refreshError="1"/>
      <sheetData sheetId="2">
        <row r="52">
          <cell r="E52">
            <v>1</v>
          </cell>
        </row>
      </sheetData>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sheetName val="summary.."/>
      <sheetName val="شيكات "/>
      <sheetName val="التحويلات "/>
      <sheetName val="Payments"/>
      <sheetName val="ا. تامر البهي"/>
      <sheetName val="Sheet1"/>
      <sheetName val="Sheet1 (2)"/>
      <sheetName val="Sheet2"/>
      <sheetName val="Sheet3"/>
      <sheetName val="الاصناف "/>
      <sheetName val="رسبي المشروبات "/>
      <sheetName val="طلب تحويل"/>
    </sheetNames>
    <definedNames>
      <definedName name="Loan_Start" refersTo="#REF!" sheetId="4"/>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راس المال "/>
      <sheetName val="Sheet3"/>
      <sheetName val="توزيعات الارباح"/>
      <sheetName val="جارى الشركاء"/>
    </sheetNames>
    <definedNames>
      <definedName name="Header_Row" refersTo="#REF!"/>
      <definedName name="Loan_Start" refersTo="#REF!"/>
    </definedNames>
    <sheetDataSet>
      <sheetData sheetId="0" refreshError="1"/>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C"/>
      <sheetName val="NPL"/>
      <sheetName val="سهولة "/>
      <sheetName val="رايا "/>
      <sheetName val="فاليو "/>
      <sheetName val="كريدى w.o "/>
      <sheetName val="criedt cards"/>
      <sheetName val="loans"/>
      <sheetName val="مانى فللوز "/>
      <sheetName val="تنمية W.o"/>
      <sheetName val="تنمية Gcl"/>
      <sheetName val="ميد تقسيط"/>
      <sheetName val="عمولات المنصورة"/>
    </sheetNames>
    <definedNames>
      <definedName name="Loan_Start"/>
    </defined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_B_Final"/>
      <sheetName val="MUC Format"/>
      <sheetName val="Sum P&amp;L, BS"/>
      <sheetName val="Det P&amp;L CCC"/>
      <sheetName val="Det P&amp;L DCC"/>
      <sheetName val="Deferred Income Adjustment"/>
      <sheetName val="Accruals CPT"/>
      <sheetName val="Accruals DUR"/>
      <sheetName val="Journal CPT"/>
      <sheetName val="Journal DUR"/>
      <sheetName val="SoftM Journal"/>
      <sheetName val="Hotel Accom Accrual"/>
      <sheetName val="IC Adjustments"/>
      <sheetName val="Cons"/>
      <sheetName val="Print Modules"/>
      <sheetName val="Sheet1"/>
      <sheetName val="Sheet2"/>
      <sheetName val="Sheet3"/>
    </sheetNames>
    <sheetDataSet>
      <sheetData sheetId="0" refreshError="1"/>
      <sheetData sheetId="1" refreshError="1"/>
      <sheetData sheetId="2"/>
      <sheetData sheetId="3"/>
      <sheetData sheetId="4"/>
      <sheetData sheetId="5" refreshError="1"/>
      <sheetData sheetId="6" refreshError="1">
        <row r="1">
          <cell r="A1" t="str">
            <v>CAPE COMMINICATION CENTRE PTY LIMITED</v>
          </cell>
          <cell r="E1" t="str">
            <v>EUR -&gt; ZAR</v>
          </cell>
          <cell r="F1">
            <v>11.85</v>
          </cell>
        </row>
        <row r="2">
          <cell r="A2" t="str">
            <v>Accruals As At:</v>
          </cell>
          <cell r="B2">
            <v>39903</v>
          </cell>
          <cell r="E2" t="str">
            <v>USD -&gt; ZAR</v>
          </cell>
          <cell r="F2">
            <v>7.71484375</v>
          </cell>
        </row>
        <row r="3">
          <cell r="A3" t="str">
            <v>Month No:</v>
          </cell>
          <cell r="B3">
            <v>6</v>
          </cell>
        </row>
        <row r="4">
          <cell r="A4" t="str">
            <v>Currency:</v>
          </cell>
          <cell r="B4" t="str">
            <v>ZAR</v>
          </cell>
        </row>
        <row r="6">
          <cell r="A6" t="str">
            <v>ACCOUNT NAME</v>
          </cell>
          <cell r="B6" t="str">
            <v>DETAILS</v>
          </cell>
          <cell r="E6" t="str">
            <v/>
          </cell>
          <cell r="F6" t="str">
            <v>AMOUNT</v>
          </cell>
          <cell r="G6" t="str">
            <v>ACC/(PRE)</v>
          </cell>
        </row>
        <row r="7">
          <cell r="A7" t="str">
            <v>Commissions Payable</v>
          </cell>
          <cell r="D7" t="str">
            <v>Sales</v>
          </cell>
          <cell r="E7" t="str">
            <v>Comm Acct Bal</v>
          </cell>
        </row>
        <row r="8">
          <cell r="B8" t="str">
            <v>FTI</v>
          </cell>
          <cell r="C8" t="str">
            <v>ZA0101</v>
          </cell>
          <cell r="D8">
            <v>1282495.5399999998</v>
          </cell>
          <cell r="E8">
            <v>316219</v>
          </cell>
        </row>
        <row r="9">
          <cell r="B9" t="str">
            <v>3rd Party</v>
          </cell>
          <cell r="C9" t="str">
            <v>ZA0100</v>
          </cell>
          <cell r="D9">
            <v>6378479.1899999995</v>
          </cell>
          <cell r="E9">
            <v>1368973</v>
          </cell>
        </row>
        <row r="11">
          <cell r="F11">
            <v>0</v>
          </cell>
        </row>
        <row r="12">
          <cell r="G12">
            <v>0</v>
          </cell>
        </row>
        <row r="14">
          <cell r="A14" t="str">
            <v>Other Income - Telephone Booth</v>
          </cell>
          <cell r="F14">
            <v>0</v>
          </cell>
        </row>
        <row r="15">
          <cell r="F15">
            <v>0</v>
          </cell>
        </row>
        <row r="16">
          <cell r="F16">
            <v>0</v>
          </cell>
        </row>
        <row r="17">
          <cell r="G17">
            <v>0</v>
          </cell>
        </row>
        <row r="19">
          <cell r="A19" t="str">
            <v>Bookshop Sales</v>
          </cell>
          <cell r="F19">
            <v>0</v>
          </cell>
        </row>
        <row r="20">
          <cell r="F20">
            <v>0</v>
          </cell>
        </row>
        <row r="21">
          <cell r="F21">
            <v>0</v>
          </cell>
        </row>
        <row r="22">
          <cell r="G22">
            <v>0</v>
          </cell>
        </row>
        <row r="24">
          <cell r="A24" t="str">
            <v>Bookshop Cost of Sales</v>
          </cell>
          <cell r="F24">
            <v>0</v>
          </cell>
        </row>
        <row r="25">
          <cell r="F25">
            <v>0</v>
          </cell>
        </row>
        <row r="26">
          <cell r="F26">
            <v>0</v>
          </cell>
        </row>
        <row r="27">
          <cell r="G27">
            <v>0</v>
          </cell>
        </row>
        <row r="29">
          <cell r="A29" t="str">
            <v>Residence Costs</v>
          </cell>
          <cell r="D29" t="str">
            <v>Paid from</v>
          </cell>
          <cell r="E29" t="str">
            <v>Paid till</v>
          </cell>
          <cell r="F29" t="str">
            <v>Amount paid</v>
          </cell>
          <cell r="G29" t="str">
            <v>Accr/(Prep)</v>
          </cell>
        </row>
        <row r="30">
          <cell r="C30" t="str">
            <v>Lamese Borges</v>
          </cell>
          <cell r="D30">
            <v>39845</v>
          </cell>
          <cell r="E30">
            <v>39872</v>
          </cell>
          <cell r="F30">
            <v>21201</v>
          </cell>
          <cell r="G30">
            <v>23473</v>
          </cell>
        </row>
        <row r="31">
          <cell r="C31" t="str">
            <v>Lamese Borges - B'Fasts</v>
          </cell>
          <cell r="D31">
            <v>39845</v>
          </cell>
          <cell r="E31">
            <v>39872</v>
          </cell>
          <cell r="F31">
            <v>18711</v>
          </cell>
          <cell r="G31">
            <v>20716</v>
          </cell>
        </row>
        <row r="32">
          <cell r="F32">
            <v>0</v>
          </cell>
        </row>
        <row r="33">
          <cell r="F33">
            <v>0</v>
          </cell>
        </row>
        <row r="34">
          <cell r="F34">
            <v>0</v>
          </cell>
        </row>
        <row r="35">
          <cell r="G35">
            <v>44189</v>
          </cell>
        </row>
        <row r="37">
          <cell r="A37" t="str">
            <v>Water &amp; Electricity</v>
          </cell>
          <cell r="D37" t="str">
            <v>Paid from</v>
          </cell>
          <cell r="E37" t="str">
            <v>Paid till</v>
          </cell>
          <cell r="F37" t="str">
            <v>Amount paid</v>
          </cell>
          <cell r="G37" t="str">
            <v>Accr/(Prep)</v>
          </cell>
        </row>
        <row r="38">
          <cell r="B38">
            <v>206886726</v>
          </cell>
          <cell r="C38" t="str">
            <v>Electricity - City of Cape Town</v>
          </cell>
          <cell r="D38">
            <v>39793</v>
          </cell>
          <cell r="E38">
            <v>39828</v>
          </cell>
          <cell r="F38">
            <v>32.6</v>
          </cell>
          <cell r="G38">
            <v>70</v>
          </cell>
        </row>
        <row r="39">
          <cell r="B39">
            <v>206896453</v>
          </cell>
          <cell r="C39" t="str">
            <v>Electricity - City of Cape Town</v>
          </cell>
          <cell r="D39">
            <v>39793</v>
          </cell>
          <cell r="E39">
            <v>39828</v>
          </cell>
          <cell r="F39">
            <v>14169.29</v>
          </cell>
          <cell r="G39">
            <v>30363</v>
          </cell>
        </row>
        <row r="40">
          <cell r="B40">
            <v>206896341</v>
          </cell>
          <cell r="C40" t="str">
            <v>Electricity - City of Cape Town</v>
          </cell>
          <cell r="D40">
            <v>39793</v>
          </cell>
          <cell r="E40">
            <v>39828</v>
          </cell>
          <cell r="F40">
            <v>65.69</v>
          </cell>
          <cell r="G40">
            <v>141</v>
          </cell>
        </row>
        <row r="41">
          <cell r="B41">
            <v>206896483</v>
          </cell>
          <cell r="C41" t="str">
            <v>Electricity - City of Cape Town</v>
          </cell>
          <cell r="D41">
            <v>39793</v>
          </cell>
          <cell r="E41">
            <v>39828</v>
          </cell>
          <cell r="F41">
            <v>120.59</v>
          </cell>
          <cell r="G41">
            <v>258</v>
          </cell>
        </row>
        <row r="42">
          <cell r="B42">
            <v>206896512</v>
          </cell>
          <cell r="C42" t="str">
            <v>Electricity - City of Cape Town</v>
          </cell>
          <cell r="D42">
            <v>39793</v>
          </cell>
          <cell r="E42">
            <v>39828</v>
          </cell>
          <cell r="F42">
            <v>49.87</v>
          </cell>
          <cell r="G42">
            <v>107</v>
          </cell>
        </row>
        <row r="43">
          <cell r="B43">
            <v>206896490</v>
          </cell>
          <cell r="C43" t="str">
            <v>Electricity - City of Cape Town</v>
          </cell>
          <cell r="D43">
            <v>39793</v>
          </cell>
          <cell r="E43">
            <v>39828</v>
          </cell>
          <cell r="F43">
            <v>33.049999999999997</v>
          </cell>
          <cell r="G43">
            <v>71</v>
          </cell>
        </row>
        <row r="44">
          <cell r="B44">
            <v>206896505</v>
          </cell>
          <cell r="C44" t="str">
            <v>Electricity - City of Cape Town</v>
          </cell>
          <cell r="D44">
            <v>39793</v>
          </cell>
          <cell r="E44">
            <v>39828</v>
          </cell>
          <cell r="F44">
            <v>84.98</v>
          </cell>
          <cell r="G44">
            <v>182</v>
          </cell>
        </row>
        <row r="45">
          <cell r="B45">
            <v>206896460</v>
          </cell>
          <cell r="C45" t="str">
            <v>Electricity - City of Cape Town</v>
          </cell>
          <cell r="D45">
            <v>39793</v>
          </cell>
          <cell r="E45">
            <v>39828</v>
          </cell>
          <cell r="F45">
            <v>47.39</v>
          </cell>
          <cell r="G45">
            <v>102</v>
          </cell>
        </row>
        <row r="46">
          <cell r="B46">
            <v>206896430</v>
          </cell>
          <cell r="C46" t="str">
            <v>Electricity - City of Cape Town</v>
          </cell>
          <cell r="D46">
            <v>39793</v>
          </cell>
          <cell r="E46">
            <v>39828</v>
          </cell>
          <cell r="F46">
            <v>27.61</v>
          </cell>
          <cell r="G46">
            <v>59</v>
          </cell>
        </row>
        <row r="47">
          <cell r="B47">
            <v>206896542</v>
          </cell>
          <cell r="C47" t="str">
            <v>Electricity - City of Cape Town</v>
          </cell>
          <cell r="D47">
            <v>39793</v>
          </cell>
          <cell r="E47">
            <v>39828</v>
          </cell>
          <cell r="F47">
            <v>257.10000000000002</v>
          </cell>
          <cell r="G47">
            <v>551</v>
          </cell>
        </row>
        <row r="48">
          <cell r="B48">
            <v>208654040</v>
          </cell>
          <cell r="C48" t="str">
            <v>Electricity - City of Cape Town</v>
          </cell>
          <cell r="D48">
            <v>39793</v>
          </cell>
          <cell r="E48">
            <v>39828</v>
          </cell>
          <cell r="F48">
            <v>111.2</v>
          </cell>
          <cell r="G48">
            <v>238</v>
          </cell>
        </row>
        <row r="49">
          <cell r="B49">
            <v>206896371</v>
          </cell>
          <cell r="C49" t="str">
            <v>Electricity - City of Cape Town</v>
          </cell>
          <cell r="D49">
            <v>39793</v>
          </cell>
          <cell r="E49">
            <v>39828</v>
          </cell>
          <cell r="F49">
            <v>42.94</v>
          </cell>
          <cell r="G49">
            <v>92</v>
          </cell>
        </row>
        <row r="50">
          <cell r="B50">
            <v>206896601</v>
          </cell>
          <cell r="C50" t="str">
            <v>Electricity - City of Cape Town</v>
          </cell>
          <cell r="D50">
            <v>39793</v>
          </cell>
          <cell r="E50">
            <v>39828</v>
          </cell>
          <cell r="F50">
            <v>58.77</v>
          </cell>
          <cell r="G50">
            <v>126</v>
          </cell>
        </row>
        <row r="51">
          <cell r="B51">
            <v>206896387</v>
          </cell>
          <cell r="C51" t="str">
            <v>Electricity - City of Cape Town</v>
          </cell>
          <cell r="D51">
            <v>39765</v>
          </cell>
          <cell r="E51">
            <v>39792</v>
          </cell>
          <cell r="F51">
            <v>0.48</v>
          </cell>
          <cell r="G51">
            <v>2</v>
          </cell>
        </row>
        <row r="52">
          <cell r="B52">
            <v>208653692</v>
          </cell>
          <cell r="C52" t="str">
            <v>Electricity - City of Cape Town</v>
          </cell>
          <cell r="D52">
            <v>39793</v>
          </cell>
          <cell r="E52">
            <v>39828</v>
          </cell>
          <cell r="F52">
            <v>1535.09</v>
          </cell>
          <cell r="G52">
            <v>3289</v>
          </cell>
        </row>
        <row r="53">
          <cell r="B53">
            <v>208497385</v>
          </cell>
          <cell r="C53" t="str">
            <v>Electricity - City of Cape Town</v>
          </cell>
          <cell r="D53">
            <v>39793</v>
          </cell>
          <cell r="E53">
            <v>39828</v>
          </cell>
          <cell r="F53">
            <v>326.77</v>
          </cell>
          <cell r="G53">
            <v>700</v>
          </cell>
        </row>
        <row r="54">
          <cell r="B54">
            <v>206896423</v>
          </cell>
          <cell r="C54" t="str">
            <v>Electricity - City of Cape Town</v>
          </cell>
          <cell r="D54">
            <v>39765</v>
          </cell>
          <cell r="E54">
            <v>39792</v>
          </cell>
          <cell r="F54">
            <v>6.91</v>
          </cell>
          <cell r="G54">
            <v>28</v>
          </cell>
        </row>
        <row r="55">
          <cell r="B55">
            <v>206896400</v>
          </cell>
          <cell r="C55" t="str">
            <v>Electricity - City of Cape Town</v>
          </cell>
          <cell r="D55">
            <v>39793</v>
          </cell>
          <cell r="E55">
            <v>39828</v>
          </cell>
          <cell r="F55">
            <v>38.99</v>
          </cell>
          <cell r="G55">
            <v>84</v>
          </cell>
        </row>
        <row r="56">
          <cell r="B56">
            <v>206896565</v>
          </cell>
          <cell r="C56" t="str">
            <v>Electricity - City of Cape Town</v>
          </cell>
          <cell r="D56">
            <v>39793</v>
          </cell>
          <cell r="E56">
            <v>39828</v>
          </cell>
          <cell r="F56">
            <v>8.32</v>
          </cell>
          <cell r="G56">
            <v>18</v>
          </cell>
        </row>
        <row r="57">
          <cell r="B57">
            <v>206896588</v>
          </cell>
          <cell r="C57" t="str">
            <v>Electricity - City of Cape Town</v>
          </cell>
          <cell r="D57">
            <v>39793</v>
          </cell>
          <cell r="E57">
            <v>39828</v>
          </cell>
          <cell r="F57">
            <v>81.52</v>
          </cell>
          <cell r="G57">
            <v>175</v>
          </cell>
        </row>
        <row r="58">
          <cell r="B58">
            <v>113525038</v>
          </cell>
          <cell r="C58" t="str">
            <v>Electricity - City of Cape Town</v>
          </cell>
          <cell r="D58">
            <v>39820</v>
          </cell>
          <cell r="E58">
            <v>39846</v>
          </cell>
          <cell r="F58">
            <v>3349.67</v>
          </cell>
          <cell r="G58">
            <v>7344</v>
          </cell>
        </row>
        <row r="59">
          <cell r="B59">
            <v>209990973</v>
          </cell>
          <cell r="C59" t="str">
            <v>Electricity - City of Cape Town</v>
          </cell>
          <cell r="D59">
            <v>39829</v>
          </cell>
          <cell r="E59">
            <v>39857</v>
          </cell>
          <cell r="F59">
            <v>72.37</v>
          </cell>
          <cell r="G59">
            <v>119</v>
          </cell>
        </row>
        <row r="60">
          <cell r="A60" t="str">
            <v>Water</v>
          </cell>
          <cell r="B60">
            <v>112312511</v>
          </cell>
          <cell r="C60" t="str">
            <v>Electricity - City of Cape Town</v>
          </cell>
          <cell r="D60">
            <v>39820</v>
          </cell>
          <cell r="E60">
            <v>39846</v>
          </cell>
          <cell r="F60">
            <v>711.1</v>
          </cell>
          <cell r="G60">
            <v>1559</v>
          </cell>
        </row>
        <row r="61">
          <cell r="B61" t="str">
            <v>prepayments</v>
          </cell>
          <cell r="C61" t="str">
            <v>City of Cape Town - Debit in Creditors List</v>
          </cell>
          <cell r="F61">
            <v>18497.329999999998</v>
          </cell>
        </row>
        <row r="62">
          <cell r="G62">
            <v>64175</v>
          </cell>
        </row>
        <row r="64">
          <cell r="A64" t="str">
            <v>Waste Disposal</v>
          </cell>
          <cell r="D64" t="str">
            <v>Paid from</v>
          </cell>
          <cell r="E64" t="str">
            <v>Paid till</v>
          </cell>
          <cell r="F64" t="str">
            <v>Amount paid</v>
          </cell>
          <cell r="G64" t="str">
            <v>Accr/(Prep)</v>
          </cell>
        </row>
        <row r="65">
          <cell r="C65" t="str">
            <v>Sewerage - 319 MR (payable to LHL)</v>
          </cell>
          <cell r="D65">
            <v>39847</v>
          </cell>
          <cell r="E65">
            <v>39870</v>
          </cell>
          <cell r="F65">
            <v>1301.76</v>
          </cell>
          <cell r="G65">
            <v>1790</v>
          </cell>
        </row>
        <row r="66">
          <cell r="C66" t="str">
            <v>Waste Removal - 319 MR (payable to LHL) - Carisbrook</v>
          </cell>
          <cell r="D66">
            <v>39849</v>
          </cell>
          <cell r="E66">
            <v>39876</v>
          </cell>
          <cell r="F66">
            <v>49.97</v>
          </cell>
          <cell r="G66">
            <v>48</v>
          </cell>
        </row>
        <row r="67">
          <cell r="B67">
            <v>112312511</v>
          </cell>
          <cell r="C67" t="str">
            <v>Refuse - Shirlyn</v>
          </cell>
          <cell r="D67">
            <v>39821</v>
          </cell>
          <cell r="E67">
            <v>39848</v>
          </cell>
          <cell r="F67">
            <v>499.75</v>
          </cell>
          <cell r="G67">
            <v>982</v>
          </cell>
        </row>
        <row r="68">
          <cell r="B68">
            <v>112312511</v>
          </cell>
          <cell r="C68" t="str">
            <v>Sewerage - Shirlyn</v>
          </cell>
          <cell r="D68">
            <v>39820</v>
          </cell>
          <cell r="E68">
            <v>39846</v>
          </cell>
          <cell r="F68">
            <v>1026.56</v>
          </cell>
          <cell r="G68">
            <v>2167</v>
          </cell>
        </row>
        <row r="69">
          <cell r="F69">
            <v>0</v>
          </cell>
        </row>
        <row r="70">
          <cell r="G70">
            <v>4987</v>
          </cell>
        </row>
        <row r="72">
          <cell r="A72" t="str">
            <v>Sundry Expenses - Residence</v>
          </cell>
          <cell r="F72">
            <v>0</v>
          </cell>
        </row>
        <row r="73">
          <cell r="F73">
            <v>0</v>
          </cell>
        </row>
        <row r="74">
          <cell r="F74">
            <v>0</v>
          </cell>
        </row>
        <row r="75">
          <cell r="G75">
            <v>0</v>
          </cell>
        </row>
        <row r="77">
          <cell r="A77" t="str">
            <v>Accommodation: Hotels</v>
          </cell>
          <cell r="C77" t="str">
            <v>Ritz Hotel</v>
          </cell>
          <cell r="F77">
            <v>7105.32</v>
          </cell>
        </row>
        <row r="78">
          <cell r="C78" t="str">
            <v>Check Inn Hotel</v>
          </cell>
          <cell r="F78">
            <v>0</v>
          </cell>
        </row>
        <row r="79">
          <cell r="C79" t="str">
            <v>Lions Head Lodge</v>
          </cell>
          <cell r="F79">
            <v>0</v>
          </cell>
        </row>
        <row r="80">
          <cell r="F80">
            <v>0</v>
          </cell>
        </row>
        <row r="81">
          <cell r="G81">
            <v>7105</v>
          </cell>
        </row>
        <row r="83">
          <cell r="A83" t="str">
            <v>Accommodation: Host Families</v>
          </cell>
          <cell r="B83" t="str">
            <v>H/Fams paid till 28/02/2009 - accrual from 28/02/09 - 31/03/09</v>
          </cell>
          <cell r="F83">
            <v>240</v>
          </cell>
        </row>
        <row r="84">
          <cell r="F84">
            <v>0</v>
          </cell>
        </row>
        <row r="85">
          <cell r="F85">
            <v>0</v>
          </cell>
        </row>
        <row r="86">
          <cell r="G86">
            <v>240</v>
          </cell>
        </row>
        <row r="88">
          <cell r="A88" t="str">
            <v>Accommodation: Host Families Advertising</v>
          </cell>
          <cell r="F88">
            <v>0</v>
          </cell>
        </row>
        <row r="89">
          <cell r="F89">
            <v>0</v>
          </cell>
        </row>
        <row r="90">
          <cell r="F90">
            <v>0</v>
          </cell>
        </row>
        <row r="91">
          <cell r="G91">
            <v>0</v>
          </cell>
        </row>
        <row r="93">
          <cell r="A93" t="str">
            <v>Transfer Costs</v>
          </cell>
          <cell r="D93" t="str">
            <v>Paid from</v>
          </cell>
          <cell r="E93" t="str">
            <v>Paid till</v>
          </cell>
          <cell r="F93" t="str">
            <v>Amount paid</v>
          </cell>
          <cell r="G93" t="str">
            <v>Accr/(Prep)</v>
          </cell>
        </row>
        <row r="94">
          <cell r="C94" t="str">
            <v>Travel Outcomes</v>
          </cell>
          <cell r="F94">
            <v>0</v>
          </cell>
          <cell r="G94">
            <v>0</v>
          </cell>
        </row>
        <row r="95">
          <cell r="B95" t="str">
            <v>As per transfers report   01/03/09 - 31/03/09</v>
          </cell>
          <cell r="F95">
            <v>4900</v>
          </cell>
          <cell r="G95">
            <v>4900</v>
          </cell>
        </row>
        <row r="96">
          <cell r="F96">
            <v>0</v>
          </cell>
        </row>
        <row r="97">
          <cell r="G97">
            <v>4900</v>
          </cell>
        </row>
        <row r="99">
          <cell r="A99" t="str">
            <v>Exam Fees - Costs</v>
          </cell>
          <cell r="F99">
            <v>0</v>
          </cell>
        </row>
        <row r="100">
          <cell r="F100">
            <v>0</v>
          </cell>
        </row>
        <row r="101">
          <cell r="F101">
            <v>0</v>
          </cell>
        </row>
        <row r="102">
          <cell r="G102">
            <v>0</v>
          </cell>
        </row>
        <row r="104">
          <cell r="A104" t="str">
            <v>Excursions Costs</v>
          </cell>
          <cell r="F104" t="str">
            <v>Amount paid</v>
          </cell>
          <cell r="G104" t="str">
            <v>Accr/(Prep)</v>
          </cell>
        </row>
        <row r="105">
          <cell r="B105" t="str">
            <v>prepayments</v>
          </cell>
          <cell r="C105" t="str">
            <v>The Bundu Tours - Debit in Creditors List</v>
          </cell>
          <cell r="F105">
            <v>2560</v>
          </cell>
        </row>
        <row r="106">
          <cell r="B106" t="str">
            <v>prepayments</v>
          </cell>
          <cell r="C106" t="str">
            <v>White Shark Ecoventures - Debit in Creditors List</v>
          </cell>
          <cell r="F106">
            <v>2700</v>
          </cell>
        </row>
        <row r="107">
          <cell r="G107">
            <v>5260</v>
          </cell>
        </row>
        <row r="109">
          <cell r="A109" t="str">
            <v>Activities Costs</v>
          </cell>
          <cell r="F109">
            <v>0</v>
          </cell>
        </row>
        <row r="110">
          <cell r="F110">
            <v>0</v>
          </cell>
        </row>
        <row r="111">
          <cell r="F111">
            <v>0</v>
          </cell>
        </row>
        <row r="112">
          <cell r="G112">
            <v>0</v>
          </cell>
        </row>
        <row r="114">
          <cell r="A114" t="str">
            <v>Salaries - Residence</v>
          </cell>
          <cell r="C114" t="str">
            <v>Posted till 31/03/09</v>
          </cell>
          <cell r="F114">
            <v>0</v>
          </cell>
        </row>
        <row r="115">
          <cell r="F115">
            <v>0</v>
          </cell>
        </row>
        <row r="116">
          <cell r="F116">
            <v>0</v>
          </cell>
        </row>
        <row r="117">
          <cell r="G117">
            <v>0</v>
          </cell>
        </row>
        <row r="119">
          <cell r="A119" t="str">
            <v>Salaries UIF - Residence</v>
          </cell>
          <cell r="C119" t="str">
            <v>Posted till 31/03/09</v>
          </cell>
          <cell r="F119">
            <v>0</v>
          </cell>
        </row>
        <row r="120">
          <cell r="F120">
            <v>0</v>
          </cell>
        </row>
        <row r="121">
          <cell r="F121">
            <v>0</v>
          </cell>
        </row>
        <row r="122">
          <cell r="G122">
            <v>0</v>
          </cell>
        </row>
        <row r="124">
          <cell r="A124" t="str">
            <v>Salaries - Tuition FT</v>
          </cell>
          <cell r="C124" t="str">
            <v>Posted till 31/03/09</v>
          </cell>
          <cell r="F124">
            <v>0</v>
          </cell>
        </row>
        <row r="126">
          <cell r="D126" t="str">
            <v>Paid from</v>
          </cell>
          <cell r="E126" t="str">
            <v>Paid till</v>
          </cell>
          <cell r="F126" t="str">
            <v>Amount paid</v>
          </cell>
          <cell r="G126" t="str">
            <v>Accr/(Prep)</v>
          </cell>
        </row>
        <row r="127">
          <cell r="C127" t="str">
            <v>Bonus - Wiebke Fiallo</v>
          </cell>
          <cell r="D127">
            <v>39083</v>
          </cell>
          <cell r="E127">
            <v>39447</v>
          </cell>
          <cell r="F127">
            <v>0</v>
          </cell>
          <cell r="G127">
            <v>0</v>
          </cell>
        </row>
        <row r="128">
          <cell r="F128">
            <v>0</v>
          </cell>
        </row>
        <row r="129">
          <cell r="F129">
            <v>0</v>
          </cell>
        </row>
        <row r="130">
          <cell r="G130">
            <v>0</v>
          </cell>
        </row>
        <row r="132">
          <cell r="A132" t="str">
            <v>Salaries - Tuition FT</v>
          </cell>
          <cell r="C132" t="str">
            <v>Posted till 31/03/09</v>
          </cell>
          <cell r="F132">
            <v>0</v>
          </cell>
        </row>
        <row r="134">
          <cell r="D134" t="str">
            <v>Paid from</v>
          </cell>
          <cell r="E134" t="str">
            <v>Paid till</v>
          </cell>
          <cell r="F134" t="str">
            <v>Amount paid</v>
          </cell>
          <cell r="G134" t="str">
            <v>Accr/(Prep)</v>
          </cell>
        </row>
        <row r="135">
          <cell r="C135" t="str">
            <v>Bonus - John Meyring</v>
          </cell>
          <cell r="D135">
            <v>39083</v>
          </cell>
          <cell r="E135">
            <v>39447</v>
          </cell>
          <cell r="F135">
            <v>0</v>
          </cell>
          <cell r="G135">
            <v>0</v>
          </cell>
        </row>
        <row r="136">
          <cell r="F136">
            <v>0</v>
          </cell>
        </row>
        <row r="137">
          <cell r="F137">
            <v>0</v>
          </cell>
        </row>
        <row r="138">
          <cell r="G138">
            <v>0</v>
          </cell>
        </row>
        <row r="140">
          <cell r="A140" t="str">
            <v>Salaries UIF - Tuition</v>
          </cell>
          <cell r="C140" t="str">
            <v>Posted till 31/03/09</v>
          </cell>
          <cell r="F140">
            <v>0</v>
          </cell>
        </row>
        <row r="142">
          <cell r="D142" t="str">
            <v>Paid from</v>
          </cell>
          <cell r="E142" t="str">
            <v>Paid till</v>
          </cell>
          <cell r="F142" t="str">
            <v>Amount paid</v>
          </cell>
          <cell r="G142" t="str">
            <v>Accr/(Prep)</v>
          </cell>
        </row>
        <row r="143">
          <cell r="B143" t="str">
            <v>UIF/SDL/PAYE not payable on Bonuses - see KR e-mail 13/05/2008 ---&gt; Karl changed his mind and wants to pay them now.  See e mail</v>
          </cell>
          <cell r="C143" t="str">
            <v>Bonus - Wiebke Fiallo</v>
          </cell>
          <cell r="D143">
            <v>39083</v>
          </cell>
          <cell r="E143">
            <v>39447</v>
          </cell>
          <cell r="F143">
            <v>0</v>
          </cell>
          <cell r="G143">
            <v>0</v>
          </cell>
        </row>
        <row r="144">
          <cell r="B144" t="str">
            <v>UIF/SDL/PAYE not payable on Bonuses - see KR e-mail 13/05/2008 ---&gt; Karl changed his mind and wants to pay them now.  See e mail</v>
          </cell>
          <cell r="C144" t="str">
            <v>Bonus - John Meyring</v>
          </cell>
          <cell r="D144">
            <v>39083</v>
          </cell>
          <cell r="E144">
            <v>39447</v>
          </cell>
          <cell r="F144">
            <v>0</v>
          </cell>
          <cell r="G144">
            <v>0</v>
          </cell>
        </row>
        <row r="145">
          <cell r="F145">
            <v>0</v>
          </cell>
        </row>
        <row r="146">
          <cell r="F146">
            <v>0</v>
          </cell>
        </row>
        <row r="147">
          <cell r="G147">
            <v>0</v>
          </cell>
        </row>
        <row r="149">
          <cell r="A149" t="str">
            <v>Salaries - Excursions</v>
          </cell>
          <cell r="C149" t="str">
            <v>Posted till 31/03/09</v>
          </cell>
          <cell r="F149">
            <v>0</v>
          </cell>
        </row>
        <row r="151">
          <cell r="D151" t="str">
            <v>Paid from</v>
          </cell>
          <cell r="E151" t="str">
            <v>Paid till</v>
          </cell>
          <cell r="F151" t="str">
            <v>Amount paid</v>
          </cell>
          <cell r="G151" t="str">
            <v>Accr/(Prep)</v>
          </cell>
        </row>
        <row r="152">
          <cell r="C152" t="str">
            <v>Bonus - Julius Wulf</v>
          </cell>
          <cell r="D152">
            <v>39083</v>
          </cell>
          <cell r="E152">
            <v>39447</v>
          </cell>
          <cell r="F152">
            <v>0</v>
          </cell>
          <cell r="G152">
            <v>0</v>
          </cell>
        </row>
        <row r="153">
          <cell r="F153">
            <v>0</v>
          </cell>
        </row>
        <row r="154">
          <cell r="G154">
            <v>0</v>
          </cell>
        </row>
        <row r="156">
          <cell r="A156" t="str">
            <v>Salaries UIF - Excursions</v>
          </cell>
          <cell r="C156" t="str">
            <v>Posted till 31/03/09</v>
          </cell>
          <cell r="F156">
            <v>0</v>
          </cell>
        </row>
        <row r="158">
          <cell r="D158" t="str">
            <v>Paid from</v>
          </cell>
          <cell r="E158" t="str">
            <v>Paid till</v>
          </cell>
          <cell r="F158" t="str">
            <v>Amount paid</v>
          </cell>
          <cell r="G158" t="str">
            <v>Accr/(Prep)</v>
          </cell>
        </row>
        <row r="159">
          <cell r="B159" t="str">
            <v>UIF/SDL/PAYE not payable on Bonuses - see KR e-mail 13/05/2008 ---&gt; Karl changed his mind and wants to pay them now.  See e mail</v>
          </cell>
          <cell r="C159" t="str">
            <v>Bonus - Julius Wulf</v>
          </cell>
          <cell r="D159">
            <v>39083</v>
          </cell>
          <cell r="E159">
            <v>39447</v>
          </cell>
          <cell r="F159">
            <v>0</v>
          </cell>
          <cell r="G159">
            <v>0</v>
          </cell>
        </row>
        <row r="160">
          <cell r="F160">
            <v>0</v>
          </cell>
        </row>
        <row r="161">
          <cell r="G161">
            <v>0</v>
          </cell>
        </row>
        <row r="163">
          <cell r="A163" t="str">
            <v>Salaries - Administration</v>
          </cell>
          <cell r="C163" t="str">
            <v>Posted till 31/03/09</v>
          </cell>
          <cell r="F163">
            <v>0</v>
          </cell>
        </row>
        <row r="165">
          <cell r="D165" t="str">
            <v>Paid from</v>
          </cell>
          <cell r="E165" t="str">
            <v>Paid till</v>
          </cell>
          <cell r="F165" t="str">
            <v>Amount paid</v>
          </cell>
          <cell r="G165" t="str">
            <v>Accr/(Prep)</v>
          </cell>
        </row>
        <row r="166">
          <cell r="C166" t="str">
            <v>Bonus - Candice Hanmer</v>
          </cell>
          <cell r="D166">
            <v>39083</v>
          </cell>
          <cell r="E166">
            <v>39447</v>
          </cell>
          <cell r="F166">
            <v>0</v>
          </cell>
          <cell r="G166">
            <v>0</v>
          </cell>
        </row>
        <row r="167">
          <cell r="C167" t="str">
            <v>Bonus - Gavin Eyre</v>
          </cell>
          <cell r="D167">
            <v>39083</v>
          </cell>
          <cell r="E167">
            <v>39447</v>
          </cell>
          <cell r="F167">
            <v>0</v>
          </cell>
          <cell r="G167">
            <v>0</v>
          </cell>
        </row>
        <row r="168">
          <cell r="C168" t="str">
            <v>Bonus - Tatiana Cavarsam</v>
          </cell>
          <cell r="D168">
            <v>39083</v>
          </cell>
          <cell r="E168">
            <v>39447</v>
          </cell>
          <cell r="F168">
            <v>0</v>
          </cell>
          <cell r="G168">
            <v>0</v>
          </cell>
        </row>
        <row r="169">
          <cell r="C169" t="str">
            <v>Bonus - Gerzell</v>
          </cell>
          <cell r="D169">
            <v>39083</v>
          </cell>
          <cell r="E169">
            <v>39447</v>
          </cell>
          <cell r="F169">
            <v>0</v>
          </cell>
          <cell r="G169">
            <v>0</v>
          </cell>
        </row>
        <row r="170">
          <cell r="C170" t="str">
            <v>Bonus - Rehana Ruetti</v>
          </cell>
          <cell r="D170">
            <v>39083</v>
          </cell>
          <cell r="E170">
            <v>39447</v>
          </cell>
          <cell r="F170">
            <v>0</v>
          </cell>
          <cell r="G170">
            <v>0</v>
          </cell>
        </row>
        <row r="171">
          <cell r="F171">
            <v>0</v>
          </cell>
        </row>
        <row r="172">
          <cell r="G172">
            <v>0</v>
          </cell>
        </row>
        <row r="174">
          <cell r="A174" t="str">
            <v>Salaries UIF - Administration</v>
          </cell>
          <cell r="C174" t="str">
            <v>Posted till 31/03/09</v>
          </cell>
          <cell r="F174">
            <v>0</v>
          </cell>
        </row>
        <row r="176">
          <cell r="D176" t="str">
            <v>Paid from</v>
          </cell>
          <cell r="E176" t="str">
            <v>Paid till</v>
          </cell>
          <cell r="F176" t="str">
            <v>Amount paid</v>
          </cell>
          <cell r="G176" t="str">
            <v>Accr/(Prep)</v>
          </cell>
        </row>
        <row r="177">
          <cell r="B177" t="str">
            <v>UIF/SDL/PAYE not payable on Bonuses - see KR e-mail 13/05/2008 ---&gt; Karl changed his mind and wants to pay them now.  See e mail</v>
          </cell>
          <cell r="C177" t="str">
            <v>Bonus - Candice Hanmer</v>
          </cell>
          <cell r="D177">
            <v>39083</v>
          </cell>
          <cell r="E177">
            <v>39447</v>
          </cell>
          <cell r="F177">
            <v>0</v>
          </cell>
          <cell r="G177">
            <v>0</v>
          </cell>
        </row>
        <row r="178">
          <cell r="B178" t="str">
            <v>UIF/SDL/PAYE not payable on Bonuses - see KR e-mail 13/05/2008 ---&gt; Karl changed his mind and wants to pay them now.  See e mail</v>
          </cell>
          <cell r="C178" t="str">
            <v>Bonus - Gavin Eyre</v>
          </cell>
          <cell r="D178">
            <v>39083</v>
          </cell>
          <cell r="E178">
            <v>39447</v>
          </cell>
          <cell r="F178">
            <v>0</v>
          </cell>
          <cell r="G178">
            <v>0</v>
          </cell>
        </row>
        <row r="179">
          <cell r="B179" t="str">
            <v>UIF/SDL/PAYE not payable on Bonuses - see KR e-mail 13/05/2008 ---&gt; Karl changed his mind and wants to pay them now.  See e mail</v>
          </cell>
          <cell r="C179" t="str">
            <v>Bonus - Tatiana Cavarsam</v>
          </cell>
          <cell r="D179">
            <v>39083</v>
          </cell>
          <cell r="E179">
            <v>39447</v>
          </cell>
          <cell r="F179">
            <v>0</v>
          </cell>
          <cell r="G179">
            <v>0</v>
          </cell>
        </row>
        <row r="180">
          <cell r="B180" t="str">
            <v>UIF/SDL/PAYE not payable on Bonuses - see KR e-mail 13/05/2008 ---&gt; Karl changed his mind and wants to pay them now.  See e mail</v>
          </cell>
          <cell r="C180" t="str">
            <v>Bonus - Gerzell</v>
          </cell>
          <cell r="D180">
            <v>39083</v>
          </cell>
          <cell r="E180">
            <v>39447</v>
          </cell>
          <cell r="F180">
            <v>0</v>
          </cell>
          <cell r="G180">
            <v>0</v>
          </cell>
        </row>
        <row r="181">
          <cell r="B181" t="str">
            <v>UIF/SDL/PAYE not payable on Bonuses - see KR e-mail 13/05/2008 ---&gt; Karl changed his mind and wants to pay them now.  See e mail</v>
          </cell>
          <cell r="C181" t="str">
            <v>Bonus - Rehana Ruetti</v>
          </cell>
          <cell r="D181">
            <v>39083</v>
          </cell>
          <cell r="E181">
            <v>39447</v>
          </cell>
          <cell r="F181">
            <v>0</v>
          </cell>
          <cell r="G181">
            <v>0</v>
          </cell>
        </row>
        <row r="182">
          <cell r="F182">
            <v>0</v>
          </cell>
        </row>
        <row r="183">
          <cell r="G183">
            <v>0</v>
          </cell>
        </row>
        <row r="185">
          <cell r="A185" t="str">
            <v>Salaries SDL Contribution</v>
          </cell>
          <cell r="C185" t="str">
            <v>Posted till 31/03/09</v>
          </cell>
          <cell r="F185">
            <v>0</v>
          </cell>
        </row>
        <row r="187">
          <cell r="D187" t="str">
            <v>Paid from</v>
          </cell>
          <cell r="E187" t="str">
            <v>Paid till</v>
          </cell>
          <cell r="F187" t="str">
            <v>Amount paid</v>
          </cell>
          <cell r="G187" t="str">
            <v>Accr/(Prep)</v>
          </cell>
        </row>
        <row r="188">
          <cell r="B188" t="str">
            <v>UIF/SDL/PAYE not payable on Bonuses - see KR e-mail 13/05/2008 ---&gt; Karl changed his mind and wants to pay them now.  See e mail</v>
          </cell>
          <cell r="C188" t="str">
            <v>SDL Payable on Bonuses</v>
          </cell>
          <cell r="D188">
            <v>39083</v>
          </cell>
          <cell r="E188">
            <v>39447</v>
          </cell>
          <cell r="F188">
            <v>0</v>
          </cell>
          <cell r="G188">
            <v>0</v>
          </cell>
        </row>
        <row r="189">
          <cell r="F189">
            <v>0</v>
          </cell>
        </row>
        <row r="190">
          <cell r="F190">
            <v>0</v>
          </cell>
        </row>
        <row r="191">
          <cell r="G191">
            <v>0</v>
          </cell>
        </row>
        <row r="193">
          <cell r="A193" t="str">
            <v>Staff Expenses</v>
          </cell>
          <cell r="F193">
            <v>0</v>
          </cell>
        </row>
        <row r="194">
          <cell r="F194">
            <v>0</v>
          </cell>
        </row>
        <row r="195">
          <cell r="F195">
            <v>0</v>
          </cell>
        </row>
        <row r="196">
          <cell r="G196">
            <v>0</v>
          </cell>
        </row>
        <row r="198">
          <cell r="A198" t="str">
            <v>Repairs &amp; Maintentenance - F &amp; F - Residence</v>
          </cell>
          <cell r="F198">
            <v>0</v>
          </cell>
        </row>
        <row r="199">
          <cell r="F199">
            <v>0</v>
          </cell>
        </row>
        <row r="200">
          <cell r="F200">
            <v>0</v>
          </cell>
        </row>
        <row r="201">
          <cell r="G201">
            <v>0</v>
          </cell>
        </row>
        <row r="203">
          <cell r="A203" t="str">
            <v>Repairs &amp; Maintentenance - Other Assets</v>
          </cell>
          <cell r="D203" t="str">
            <v>Paid from</v>
          </cell>
          <cell r="E203" t="str">
            <v>Paid till</v>
          </cell>
          <cell r="F203" t="str">
            <v>Amount paid</v>
          </cell>
          <cell r="G203" t="str">
            <v>Accr/(Prep)</v>
          </cell>
        </row>
        <row r="204">
          <cell r="C204" t="str">
            <v>Kavnat</v>
          </cell>
          <cell r="D204">
            <v>39845</v>
          </cell>
          <cell r="E204">
            <v>39872</v>
          </cell>
          <cell r="F204">
            <v>3053.88</v>
          </cell>
          <cell r="G204">
            <v>3381</v>
          </cell>
        </row>
        <row r="205">
          <cell r="C205" t="str">
            <v>Peninsula Pest Control</v>
          </cell>
          <cell r="D205">
            <v>39862</v>
          </cell>
          <cell r="E205">
            <v>39921</v>
          </cell>
          <cell r="F205">
            <v>3250</v>
          </cell>
          <cell r="G205">
            <v>-975</v>
          </cell>
        </row>
        <row r="206">
          <cell r="C206" t="str">
            <v>Schindler - Lift Maintenance Agreement</v>
          </cell>
          <cell r="D206">
            <v>39845</v>
          </cell>
          <cell r="E206">
            <v>39872</v>
          </cell>
          <cell r="F206">
            <v>1654.43</v>
          </cell>
          <cell r="G206">
            <v>1832</v>
          </cell>
        </row>
        <row r="207">
          <cell r="F207">
            <v>0</v>
          </cell>
        </row>
        <row r="208">
          <cell r="F208">
            <v>0</v>
          </cell>
        </row>
        <row r="209">
          <cell r="G209">
            <v>4238</v>
          </cell>
        </row>
        <row r="211">
          <cell r="A211" t="str">
            <v>Repairs &amp; Maintentenance - Motor Vehicles (Van)</v>
          </cell>
          <cell r="F211">
            <v>0</v>
          </cell>
        </row>
        <row r="212">
          <cell r="F212">
            <v>0</v>
          </cell>
        </row>
        <row r="213">
          <cell r="F213">
            <v>0</v>
          </cell>
        </row>
        <row r="214">
          <cell r="G214">
            <v>0</v>
          </cell>
        </row>
        <row r="216">
          <cell r="A216" t="str">
            <v>Repairs &amp; Maintentenance - Gardening</v>
          </cell>
          <cell r="D216" t="str">
            <v>Paid from</v>
          </cell>
          <cell r="E216" t="str">
            <v>Paid till</v>
          </cell>
          <cell r="F216" t="str">
            <v>Amount paid</v>
          </cell>
          <cell r="G216" t="str">
            <v>Accr/(Prep)</v>
          </cell>
        </row>
        <row r="217">
          <cell r="C217" t="str">
            <v>The Office Plant</v>
          </cell>
          <cell r="D217">
            <v>39845</v>
          </cell>
          <cell r="E217">
            <v>39872</v>
          </cell>
          <cell r="F217">
            <v>425.25</v>
          </cell>
          <cell r="G217">
            <v>471</v>
          </cell>
        </row>
        <row r="218">
          <cell r="B218" t="str">
            <v>prepayments</v>
          </cell>
          <cell r="C218" t="str">
            <v xml:space="preserve"> The Office Plant - Debit in Creditors List</v>
          </cell>
          <cell r="F218">
            <v>484.79</v>
          </cell>
        </row>
        <row r="219">
          <cell r="F219">
            <v>0</v>
          </cell>
        </row>
        <row r="220">
          <cell r="G220">
            <v>956</v>
          </cell>
        </row>
        <row r="222">
          <cell r="A222" t="str">
            <v xml:space="preserve">Rent </v>
          </cell>
          <cell r="D222" t="str">
            <v>Paid from</v>
          </cell>
          <cell r="E222" t="str">
            <v>Paid till</v>
          </cell>
          <cell r="F222" t="str">
            <v>Amount paid</v>
          </cell>
          <cell r="G222" t="str">
            <v>Accr/(Prep)</v>
          </cell>
        </row>
        <row r="223">
          <cell r="C223" t="str">
            <v>Lions Head Lodge</v>
          </cell>
          <cell r="D223">
            <v>39904</v>
          </cell>
          <cell r="E223">
            <v>39933</v>
          </cell>
          <cell r="F223">
            <v>170460.17</v>
          </cell>
          <cell r="G223">
            <v>-170460</v>
          </cell>
        </row>
        <row r="224">
          <cell r="G224">
            <v>0</v>
          </cell>
        </row>
        <row r="225">
          <cell r="G225">
            <v>0</v>
          </cell>
        </row>
        <row r="226">
          <cell r="F226">
            <v>0</v>
          </cell>
        </row>
        <row r="227">
          <cell r="G227">
            <v>-170460</v>
          </cell>
        </row>
        <row r="229">
          <cell r="A229" t="str">
            <v>Printing Costs - Tuition</v>
          </cell>
          <cell r="D229" t="str">
            <v>Paid from</v>
          </cell>
          <cell r="E229" t="str">
            <v>Paid till</v>
          </cell>
          <cell r="F229" t="str">
            <v>Amount paid</v>
          </cell>
          <cell r="G229" t="str">
            <v>Accr/(Prep)</v>
          </cell>
        </row>
        <row r="230">
          <cell r="B230" t="str">
            <v>prepayments</v>
          </cell>
          <cell r="C230" t="str">
            <v>ZAMORI 73 - Debit in Creditors List</v>
          </cell>
          <cell r="D230">
            <v>39661</v>
          </cell>
          <cell r="E230">
            <v>39691</v>
          </cell>
          <cell r="F230">
            <v>0</v>
          </cell>
          <cell r="G230">
            <v>0</v>
          </cell>
        </row>
        <row r="231">
          <cell r="C231" t="str">
            <v>ITEC - Copies K7145</v>
          </cell>
          <cell r="D231">
            <v>39834</v>
          </cell>
          <cell r="E231">
            <v>39855</v>
          </cell>
          <cell r="F231">
            <v>2309.08</v>
          </cell>
          <cell r="G231">
            <v>5038</v>
          </cell>
        </row>
        <row r="232">
          <cell r="C232" t="str">
            <v>ITEC - Debit in Creditors</v>
          </cell>
          <cell r="F232">
            <v>14623.38</v>
          </cell>
        </row>
        <row r="233">
          <cell r="F233">
            <v>0</v>
          </cell>
        </row>
        <row r="234">
          <cell r="F234">
            <v>0</v>
          </cell>
        </row>
        <row r="235">
          <cell r="G235">
            <v>19661</v>
          </cell>
        </row>
        <row r="237">
          <cell r="A237" t="str">
            <v>Printing Costs - Administration</v>
          </cell>
          <cell r="F237">
            <v>0</v>
          </cell>
        </row>
        <row r="238">
          <cell r="F238">
            <v>0</v>
          </cell>
        </row>
        <row r="239">
          <cell r="F239">
            <v>0</v>
          </cell>
        </row>
        <row r="240">
          <cell r="G240">
            <v>0</v>
          </cell>
        </row>
        <row r="242">
          <cell r="A242" t="str">
            <v>Rent - Plant and Machinery</v>
          </cell>
          <cell r="D242" t="str">
            <v>Paid from</v>
          </cell>
          <cell r="E242" t="str">
            <v>Paid till</v>
          </cell>
          <cell r="F242" t="str">
            <v>Amount paid</v>
          </cell>
          <cell r="G242" t="str">
            <v>Accr/(Prep)</v>
          </cell>
        </row>
        <row r="243">
          <cell r="C243" t="str">
            <v>U Store it</v>
          </cell>
          <cell r="D243">
            <v>39904</v>
          </cell>
          <cell r="E243">
            <v>39933</v>
          </cell>
          <cell r="F243">
            <v>930</v>
          </cell>
          <cell r="G243">
            <v>-930</v>
          </cell>
        </row>
        <row r="244">
          <cell r="C244" t="str">
            <v>Container World</v>
          </cell>
          <cell r="D244">
            <v>39873</v>
          </cell>
          <cell r="E244">
            <v>39933</v>
          </cell>
          <cell r="F244">
            <v>2196</v>
          </cell>
          <cell r="G244">
            <v>-1080</v>
          </cell>
        </row>
        <row r="246">
          <cell r="G246">
            <v>-2010</v>
          </cell>
        </row>
        <row r="248">
          <cell r="A248" t="str">
            <v>Express Mail</v>
          </cell>
          <cell r="D248" t="str">
            <v>Paid from</v>
          </cell>
          <cell r="E248" t="str">
            <v>Paid till</v>
          </cell>
          <cell r="F248" t="str">
            <v>Amount paid</v>
          </cell>
          <cell r="G248" t="str">
            <v>Accr/(Prep)</v>
          </cell>
        </row>
        <row r="249">
          <cell r="F249">
            <v>0</v>
          </cell>
        </row>
        <row r="250">
          <cell r="F250">
            <v>0</v>
          </cell>
        </row>
        <row r="251">
          <cell r="F251">
            <v>0</v>
          </cell>
        </row>
        <row r="252">
          <cell r="G252">
            <v>0</v>
          </cell>
        </row>
        <row r="254">
          <cell r="A254" t="str">
            <v>Stationery</v>
          </cell>
          <cell r="F254">
            <v>0</v>
          </cell>
        </row>
        <row r="255">
          <cell r="F255">
            <v>0</v>
          </cell>
        </row>
        <row r="256">
          <cell r="F256">
            <v>0</v>
          </cell>
        </row>
        <row r="257">
          <cell r="G257">
            <v>0</v>
          </cell>
        </row>
        <row r="259">
          <cell r="A259" t="str">
            <v>Insurance &amp; Licenses</v>
          </cell>
          <cell r="D259" t="str">
            <v>Paid from</v>
          </cell>
          <cell r="E259" t="str">
            <v>Paid till</v>
          </cell>
          <cell r="F259" t="str">
            <v>Amount paid</v>
          </cell>
          <cell r="G259" t="str">
            <v>Accr/(Prep)</v>
          </cell>
        </row>
        <row r="260">
          <cell r="B260" t="str">
            <v>AON</v>
          </cell>
          <cell r="C260" t="str">
            <v>Office Contents</v>
          </cell>
          <cell r="D260">
            <v>39387</v>
          </cell>
          <cell r="E260">
            <v>39752</v>
          </cell>
          <cell r="F260">
            <v>1855.64</v>
          </cell>
          <cell r="G260">
            <v>768</v>
          </cell>
        </row>
        <row r="261">
          <cell r="B261" t="str">
            <v>AON</v>
          </cell>
          <cell r="C261" t="str">
            <v>Building</v>
          </cell>
          <cell r="D261">
            <v>39753</v>
          </cell>
          <cell r="E261">
            <v>40117</v>
          </cell>
          <cell r="F261">
            <v>41797.15</v>
          </cell>
          <cell r="G261">
            <v>-24573</v>
          </cell>
        </row>
        <row r="262">
          <cell r="B262" t="str">
            <v>AON</v>
          </cell>
          <cell r="C262" t="str">
            <v>Business Interruption</v>
          </cell>
          <cell r="D262">
            <v>39387</v>
          </cell>
          <cell r="E262">
            <v>39752</v>
          </cell>
          <cell r="F262">
            <v>7894.74</v>
          </cell>
          <cell r="G262">
            <v>3266</v>
          </cell>
        </row>
        <row r="263">
          <cell r="B263" t="str">
            <v>AON</v>
          </cell>
          <cell r="C263" t="str">
            <v>Public Liability</v>
          </cell>
          <cell r="D263">
            <v>39387</v>
          </cell>
          <cell r="E263">
            <v>39752</v>
          </cell>
          <cell r="F263">
            <v>1315.79</v>
          </cell>
          <cell r="G263">
            <v>544</v>
          </cell>
        </row>
        <row r="264">
          <cell r="B264" t="str">
            <v>AON</v>
          </cell>
          <cell r="C264" t="str">
            <v>Employers Liability</v>
          </cell>
          <cell r="D264">
            <v>39387</v>
          </cell>
          <cell r="E264">
            <v>39752</v>
          </cell>
          <cell r="F264">
            <v>219.3</v>
          </cell>
          <cell r="G264">
            <v>91</v>
          </cell>
        </row>
        <row r="265">
          <cell r="B265" t="str">
            <v>AON</v>
          </cell>
          <cell r="C265" t="str">
            <v>Electronic Equipment</v>
          </cell>
          <cell r="D265">
            <v>39387</v>
          </cell>
          <cell r="E265">
            <v>39752</v>
          </cell>
          <cell r="F265">
            <v>7255.26</v>
          </cell>
          <cell r="G265">
            <v>3001</v>
          </cell>
        </row>
        <row r="266">
          <cell r="B266" t="str">
            <v>AON</v>
          </cell>
          <cell r="C266" t="str">
            <v>Umbrella Liability</v>
          </cell>
          <cell r="D266">
            <v>39753</v>
          </cell>
          <cell r="E266">
            <v>40117</v>
          </cell>
          <cell r="F266">
            <v>900</v>
          </cell>
          <cell r="G266">
            <v>-529</v>
          </cell>
        </row>
        <row r="267">
          <cell r="B267" t="str">
            <v>AON</v>
          </cell>
          <cell r="C267" t="str">
            <v>SASRIA</v>
          </cell>
          <cell r="D267">
            <v>39387</v>
          </cell>
          <cell r="E267">
            <v>39752</v>
          </cell>
          <cell r="F267">
            <v>74.11</v>
          </cell>
          <cell r="G267">
            <v>31</v>
          </cell>
        </row>
        <row r="268">
          <cell r="F268">
            <v>0</v>
          </cell>
        </row>
        <row r="269">
          <cell r="G269">
            <v>-17401</v>
          </cell>
        </row>
        <row r="271">
          <cell r="A271" t="str">
            <v>Contract Cleaning - Residence</v>
          </cell>
          <cell r="D271" t="str">
            <v>Paid from</v>
          </cell>
          <cell r="E271" t="str">
            <v>Paid till</v>
          </cell>
          <cell r="F271" t="str">
            <v>Amount paid</v>
          </cell>
          <cell r="G271" t="str">
            <v>Accr/(Prep)</v>
          </cell>
        </row>
        <row r="272">
          <cell r="C272" t="str">
            <v>Tiko Laundry</v>
          </cell>
          <cell r="D272">
            <v>39845</v>
          </cell>
          <cell r="E272">
            <v>39872</v>
          </cell>
          <cell r="F272">
            <v>9309.6200000000008</v>
          </cell>
          <cell r="G272">
            <v>10307</v>
          </cell>
        </row>
        <row r="273">
          <cell r="F273">
            <v>0</v>
          </cell>
        </row>
        <row r="274">
          <cell r="F274">
            <v>0</v>
          </cell>
        </row>
        <row r="275">
          <cell r="G275">
            <v>10307</v>
          </cell>
        </row>
        <row r="277">
          <cell r="A277" t="str">
            <v>Motor Vehicle Expenses - Others</v>
          </cell>
          <cell r="D277" t="str">
            <v>Paid from</v>
          </cell>
          <cell r="E277" t="str">
            <v>Paid till</v>
          </cell>
          <cell r="F277" t="str">
            <v>Amount paid</v>
          </cell>
          <cell r="G277" t="str">
            <v>Accr/(Prep)</v>
          </cell>
        </row>
        <row r="278">
          <cell r="B278" t="str">
            <v>AA of SA</v>
          </cell>
          <cell r="C278" t="str">
            <v>Breakdown fees</v>
          </cell>
          <cell r="D278">
            <v>39814</v>
          </cell>
          <cell r="E278">
            <v>40178</v>
          </cell>
          <cell r="F278">
            <v>610</v>
          </cell>
          <cell r="G278">
            <v>-460</v>
          </cell>
        </row>
        <row r="279">
          <cell r="F279">
            <v>0</v>
          </cell>
          <cell r="G279">
            <v>0</v>
          </cell>
        </row>
        <row r="280">
          <cell r="F280">
            <v>0</v>
          </cell>
        </row>
        <row r="281">
          <cell r="G281">
            <v>-460</v>
          </cell>
        </row>
        <row r="283">
          <cell r="A283" t="str">
            <v>Motor Vehicle Insurance</v>
          </cell>
          <cell r="D283" t="str">
            <v>Paid from</v>
          </cell>
          <cell r="E283" t="str">
            <v>Paid till</v>
          </cell>
          <cell r="F283" t="str">
            <v>Amount paid</v>
          </cell>
          <cell r="G283" t="str">
            <v>Accr/(Prep)</v>
          </cell>
        </row>
        <row r="284">
          <cell r="B284" t="str">
            <v>AON</v>
          </cell>
          <cell r="C284" t="str">
            <v>KIA Pregio</v>
          </cell>
          <cell r="D284">
            <v>39387</v>
          </cell>
          <cell r="E284">
            <v>39752</v>
          </cell>
          <cell r="F284">
            <v>15710.7</v>
          </cell>
          <cell r="G284">
            <v>6482</v>
          </cell>
        </row>
        <row r="285">
          <cell r="B285" t="str">
            <v>AON</v>
          </cell>
          <cell r="C285" t="str">
            <v>KIA Sorrento</v>
          </cell>
          <cell r="D285">
            <v>39814</v>
          </cell>
          <cell r="E285">
            <v>40178</v>
          </cell>
          <cell r="F285">
            <v>5558.32</v>
          </cell>
          <cell r="G285">
            <v>-4188</v>
          </cell>
        </row>
        <row r="286">
          <cell r="B286" t="str">
            <v>Republic of SA</v>
          </cell>
          <cell r="C286" t="str">
            <v>License - KIA Sorento</v>
          </cell>
          <cell r="D286">
            <v>39387</v>
          </cell>
          <cell r="E286">
            <v>39752</v>
          </cell>
          <cell r="F286">
            <v>579</v>
          </cell>
          <cell r="G286">
            <v>239</v>
          </cell>
        </row>
        <row r="287">
          <cell r="B287" t="str">
            <v>Republic of SA</v>
          </cell>
          <cell r="C287" t="str">
            <v>License - Jeep Cherokee</v>
          </cell>
          <cell r="D287">
            <v>39387</v>
          </cell>
          <cell r="E287">
            <v>39752</v>
          </cell>
          <cell r="F287">
            <v>299.25</v>
          </cell>
          <cell r="G287">
            <v>123</v>
          </cell>
        </row>
        <row r="288">
          <cell r="F288">
            <v>0</v>
          </cell>
        </row>
        <row r="289">
          <cell r="G289">
            <v>2656</v>
          </cell>
        </row>
        <row r="291">
          <cell r="A291" t="str">
            <v>Telephone - Administration</v>
          </cell>
          <cell r="D291" t="str">
            <v>Paid from</v>
          </cell>
          <cell r="E291" t="str">
            <v>Paid till</v>
          </cell>
          <cell r="F291" t="str">
            <v>Amount paid</v>
          </cell>
          <cell r="G291" t="str">
            <v>Accr/(Prep)</v>
          </cell>
        </row>
        <row r="292">
          <cell r="C292" t="str">
            <v>Telkom - 2218 - Rent</v>
          </cell>
          <cell r="D292">
            <v>39687</v>
          </cell>
          <cell r="E292">
            <v>39717</v>
          </cell>
          <cell r="F292">
            <v>152.66</v>
          </cell>
          <cell r="G292">
            <v>946</v>
          </cell>
        </row>
        <row r="293">
          <cell r="C293" t="str">
            <v>Telkom - 2218 - Calls</v>
          </cell>
          <cell r="D293">
            <v>39656</v>
          </cell>
          <cell r="E293">
            <v>39686</v>
          </cell>
          <cell r="F293">
            <v>0</v>
          </cell>
          <cell r="G293">
            <v>0</v>
          </cell>
        </row>
        <row r="294">
          <cell r="C294" t="str">
            <v>Telkom - 6747 - Rent</v>
          </cell>
          <cell r="D294">
            <v>39871</v>
          </cell>
          <cell r="E294">
            <v>39898</v>
          </cell>
          <cell r="F294">
            <v>131.29</v>
          </cell>
          <cell r="G294">
            <v>24</v>
          </cell>
        </row>
        <row r="295">
          <cell r="C295" t="str">
            <v>Telkom - 6747 - Calls</v>
          </cell>
          <cell r="D295">
            <v>39840</v>
          </cell>
          <cell r="E295">
            <v>39870</v>
          </cell>
          <cell r="F295">
            <v>21.06</v>
          </cell>
          <cell r="G295">
            <v>23</v>
          </cell>
        </row>
        <row r="296">
          <cell r="C296" t="str">
            <v>Telkom - 7410 - Rent</v>
          </cell>
          <cell r="D296">
            <v>39856</v>
          </cell>
          <cell r="E296">
            <v>39883</v>
          </cell>
          <cell r="F296">
            <v>133.05000000000001</v>
          </cell>
          <cell r="G296">
            <v>99</v>
          </cell>
        </row>
        <row r="297">
          <cell r="C297" t="str">
            <v>Telkom - 7410 - Calls</v>
          </cell>
          <cell r="D297">
            <v>39825</v>
          </cell>
          <cell r="E297">
            <v>39855</v>
          </cell>
          <cell r="F297">
            <v>0</v>
          </cell>
          <cell r="G297">
            <v>0</v>
          </cell>
        </row>
        <row r="298">
          <cell r="C298" t="str">
            <v>Telkom - 7412 - Rent</v>
          </cell>
          <cell r="D298">
            <v>39856</v>
          </cell>
          <cell r="E298">
            <v>39883</v>
          </cell>
          <cell r="F298">
            <v>144.26</v>
          </cell>
          <cell r="G298">
            <v>107</v>
          </cell>
        </row>
        <row r="299">
          <cell r="C299" t="str">
            <v>Telkom - 7412 - Calls</v>
          </cell>
          <cell r="D299">
            <v>39825</v>
          </cell>
          <cell r="E299">
            <v>39855</v>
          </cell>
          <cell r="F299">
            <v>0</v>
          </cell>
          <cell r="G299">
            <v>0</v>
          </cell>
        </row>
        <row r="300">
          <cell r="C300" t="str">
            <v>Telkom - 4164 - Rent</v>
          </cell>
          <cell r="D300">
            <v>39871</v>
          </cell>
          <cell r="E300">
            <v>39898</v>
          </cell>
          <cell r="F300">
            <v>133.05000000000001</v>
          </cell>
          <cell r="G300">
            <v>25</v>
          </cell>
        </row>
        <row r="301">
          <cell r="C301" t="str">
            <v>Telkom - 4164 - Calls</v>
          </cell>
          <cell r="D301">
            <v>39840</v>
          </cell>
          <cell r="E301">
            <v>39870</v>
          </cell>
          <cell r="F301">
            <v>49.5</v>
          </cell>
          <cell r="G301">
            <v>54</v>
          </cell>
        </row>
        <row r="302">
          <cell r="C302" t="str">
            <v>Telkom - 4167 - Rent</v>
          </cell>
          <cell r="D302">
            <v>39871</v>
          </cell>
          <cell r="E302">
            <v>39898</v>
          </cell>
          <cell r="F302">
            <v>133.05000000000001</v>
          </cell>
          <cell r="G302">
            <v>25</v>
          </cell>
        </row>
        <row r="303">
          <cell r="C303" t="str">
            <v>Telkom - 4167 - Calls</v>
          </cell>
          <cell r="D303">
            <v>39840</v>
          </cell>
          <cell r="E303">
            <v>39870</v>
          </cell>
          <cell r="F303">
            <v>461.02000000000004</v>
          </cell>
          <cell r="G303">
            <v>507</v>
          </cell>
        </row>
        <row r="304">
          <cell r="C304" t="str">
            <v>Telkom - 1222 - Rent</v>
          </cell>
          <cell r="D304">
            <v>39871</v>
          </cell>
          <cell r="E304">
            <v>39898</v>
          </cell>
          <cell r="F304">
            <v>450.95000000000005</v>
          </cell>
          <cell r="G304">
            <v>84</v>
          </cell>
        </row>
        <row r="305">
          <cell r="C305" t="str">
            <v>Telkom - 1222 - Calls</v>
          </cell>
          <cell r="D305">
            <v>39840</v>
          </cell>
          <cell r="E305">
            <v>39870</v>
          </cell>
          <cell r="F305">
            <v>95.13000000000001</v>
          </cell>
          <cell r="G305">
            <v>105</v>
          </cell>
        </row>
        <row r="306">
          <cell r="C306" t="str">
            <v>Telkom - 9296 - Rent</v>
          </cell>
          <cell r="D306">
            <v>39871</v>
          </cell>
          <cell r="E306">
            <v>39898</v>
          </cell>
          <cell r="F306">
            <v>133.05000000000001</v>
          </cell>
          <cell r="G306">
            <v>25</v>
          </cell>
        </row>
        <row r="307">
          <cell r="C307" t="str">
            <v>Telkom - 9296 - Calls</v>
          </cell>
          <cell r="D307">
            <v>39840</v>
          </cell>
          <cell r="E307">
            <v>39870</v>
          </cell>
          <cell r="F307">
            <v>4.83</v>
          </cell>
          <cell r="G307">
            <v>5</v>
          </cell>
        </row>
        <row r="308">
          <cell r="B308" t="str">
            <v>prepayments</v>
          </cell>
          <cell r="C308" t="str">
            <v>Telkom - Debit in Creditors List</v>
          </cell>
          <cell r="F308">
            <v>341.02</v>
          </cell>
        </row>
        <row r="309">
          <cell r="F309">
            <v>0</v>
          </cell>
        </row>
        <row r="310">
          <cell r="F310">
            <v>0</v>
          </cell>
        </row>
        <row r="311">
          <cell r="G311">
            <v>2370</v>
          </cell>
        </row>
        <row r="313">
          <cell r="A313" t="str">
            <v>Internet Charges</v>
          </cell>
          <cell r="D313" t="str">
            <v>Paid from</v>
          </cell>
          <cell r="E313" t="str">
            <v>Paid till</v>
          </cell>
          <cell r="F313" t="str">
            <v>Amount paid</v>
          </cell>
          <cell r="G313" t="str">
            <v>Accr/(Prep)</v>
          </cell>
        </row>
        <row r="314">
          <cell r="C314" t="str">
            <v>Internet Solutions (adsl)</v>
          </cell>
          <cell r="D314">
            <v>39873</v>
          </cell>
          <cell r="E314">
            <v>39903</v>
          </cell>
          <cell r="F314">
            <v>2958.4</v>
          </cell>
          <cell r="G314">
            <v>0</v>
          </cell>
        </row>
        <row r="315">
          <cell r="C315" t="str">
            <v>MWEB (isdn)</v>
          </cell>
          <cell r="D315">
            <v>39904</v>
          </cell>
          <cell r="E315">
            <v>39933</v>
          </cell>
          <cell r="F315">
            <v>150</v>
          </cell>
          <cell r="G315">
            <v>-150</v>
          </cell>
        </row>
        <row r="316">
          <cell r="B316" t="str">
            <v>prepayments</v>
          </cell>
          <cell r="C316" t="str">
            <v>Mweb - Debit in Creditors List</v>
          </cell>
          <cell r="F316">
            <v>359</v>
          </cell>
        </row>
        <row r="317">
          <cell r="F317">
            <v>0</v>
          </cell>
        </row>
        <row r="318">
          <cell r="G318">
            <v>209</v>
          </cell>
        </row>
        <row r="320">
          <cell r="A320" t="str">
            <v>Mobile Telephones</v>
          </cell>
          <cell r="D320" t="str">
            <v>Paid from</v>
          </cell>
          <cell r="E320" t="str">
            <v>Paid till</v>
          </cell>
          <cell r="F320" t="str">
            <v>Amount paid</v>
          </cell>
          <cell r="G320" t="str">
            <v>Accr/(Prep)</v>
          </cell>
        </row>
        <row r="321">
          <cell r="C321" t="str">
            <v>Cell C</v>
          </cell>
          <cell r="D321">
            <v>39845</v>
          </cell>
          <cell r="E321">
            <v>39872</v>
          </cell>
          <cell r="F321">
            <v>3344.5</v>
          </cell>
          <cell r="G321">
            <v>3703</v>
          </cell>
        </row>
        <row r="322">
          <cell r="B322" t="str">
            <v>prepayments</v>
          </cell>
          <cell r="C322" t="str">
            <v>Cell C - Debit in Creditors List</v>
          </cell>
          <cell r="F322">
            <v>8307.5300000000007</v>
          </cell>
        </row>
        <row r="323">
          <cell r="F323">
            <v>0</v>
          </cell>
        </row>
        <row r="324">
          <cell r="G324">
            <v>12011</v>
          </cell>
        </row>
        <row r="326">
          <cell r="A326" t="str">
            <v>FTI Management Fees</v>
          </cell>
          <cell r="D326" t="str">
            <v>Income</v>
          </cell>
          <cell r="E326" t="str">
            <v>Already Cred</v>
          </cell>
          <cell r="F326" t="str">
            <v>Accrual</v>
          </cell>
        </row>
        <row r="327">
          <cell r="B327" t="str">
            <v>CCC</v>
          </cell>
          <cell r="C327" t="str">
            <v>1% Management Fees Jan-09</v>
          </cell>
          <cell r="D327">
            <v>7772969</v>
          </cell>
          <cell r="E327">
            <v>77730</v>
          </cell>
          <cell r="F327">
            <v>0</v>
          </cell>
        </row>
        <row r="328">
          <cell r="F328">
            <v>0</v>
          </cell>
        </row>
        <row r="329">
          <cell r="F329">
            <v>0</v>
          </cell>
        </row>
        <row r="330">
          <cell r="G330">
            <v>0</v>
          </cell>
        </row>
        <row r="332">
          <cell r="A332" t="str">
            <v>Audit Fees</v>
          </cell>
          <cell r="D332" t="str">
            <v>Paid from</v>
          </cell>
          <cell r="E332" t="str">
            <v>Paid till</v>
          </cell>
          <cell r="F332" t="str">
            <v>Amount paid</v>
          </cell>
          <cell r="G332" t="str">
            <v>Accr/(Prep)</v>
          </cell>
        </row>
        <row r="334">
          <cell r="B334" t="str">
            <v>Deloitte</v>
          </cell>
          <cell r="C334" t="str">
            <v>Charge for the Financial Year 09/2008</v>
          </cell>
          <cell r="F334">
            <v>41949</v>
          </cell>
          <cell r="G334">
            <v>41949</v>
          </cell>
        </row>
        <row r="335">
          <cell r="B335" t="str">
            <v>Henri Grove</v>
          </cell>
          <cell r="C335" t="str">
            <v>Charge for the Financial Year 09/2008</v>
          </cell>
          <cell r="F335">
            <v>31350</v>
          </cell>
          <cell r="G335">
            <v>0</v>
          </cell>
        </row>
        <row r="336">
          <cell r="A336" t="str">
            <v>Based on year ending 09/2008</v>
          </cell>
          <cell r="B336" t="str">
            <v>Deloitte</v>
          </cell>
          <cell r="C336" t="str">
            <v>Charge for the Financial Year 09/2009</v>
          </cell>
          <cell r="F336">
            <v>41949</v>
          </cell>
          <cell r="G336">
            <v>20975</v>
          </cell>
        </row>
        <row r="337">
          <cell r="B337" t="str">
            <v>Henri Grove</v>
          </cell>
          <cell r="C337" t="str">
            <v>Charge for the Financial Year 09/2009</v>
          </cell>
          <cell r="F337">
            <v>31350</v>
          </cell>
          <cell r="G337">
            <v>15675</v>
          </cell>
        </row>
        <row r="338">
          <cell r="B338" t="str">
            <v>Henri Grove</v>
          </cell>
          <cell r="C338" t="str">
            <v>Tax Return Services</v>
          </cell>
          <cell r="D338">
            <v>38991</v>
          </cell>
          <cell r="E338">
            <v>39355</v>
          </cell>
          <cell r="F338">
            <v>338</v>
          </cell>
          <cell r="G338">
            <v>509</v>
          </cell>
        </row>
        <row r="339">
          <cell r="F339">
            <v>0</v>
          </cell>
        </row>
        <row r="340">
          <cell r="G340">
            <v>79108</v>
          </cell>
        </row>
        <row r="342">
          <cell r="A342" t="str">
            <v>Accounting Fees</v>
          </cell>
          <cell r="D342" t="str">
            <v>Paid from</v>
          </cell>
          <cell r="E342" t="str">
            <v>Paid till</v>
          </cell>
          <cell r="F342" t="str">
            <v>Amount paid</v>
          </cell>
          <cell r="G342" t="str">
            <v>Accr/(Prep)</v>
          </cell>
        </row>
        <row r="343">
          <cell r="C343" t="str">
            <v>FTI Holdings Malta Limited</v>
          </cell>
          <cell r="D343">
            <v>39873</v>
          </cell>
          <cell r="E343">
            <v>39903</v>
          </cell>
          <cell r="F343">
            <v>30363.373499999998</v>
          </cell>
          <cell r="G343">
            <v>0</v>
          </cell>
        </row>
        <row r="344">
          <cell r="F344">
            <v>0</v>
          </cell>
        </row>
        <row r="345">
          <cell r="F345">
            <v>0</v>
          </cell>
        </row>
        <row r="346">
          <cell r="G346">
            <v>0</v>
          </cell>
        </row>
        <row r="348">
          <cell r="A348" t="str">
            <v>Legal &amp; Professional Fees</v>
          </cell>
          <cell r="F348">
            <v>0</v>
          </cell>
        </row>
        <row r="349">
          <cell r="F349">
            <v>0</v>
          </cell>
        </row>
        <row r="350">
          <cell r="F350">
            <v>0</v>
          </cell>
        </row>
        <row r="351">
          <cell r="G351">
            <v>0</v>
          </cell>
        </row>
        <row r="353">
          <cell r="A353" t="str">
            <v>Travelling Expenses</v>
          </cell>
          <cell r="D353" t="str">
            <v>Paid from</v>
          </cell>
          <cell r="E353" t="str">
            <v>Paid till</v>
          </cell>
          <cell r="F353" t="str">
            <v>Amount paid</v>
          </cell>
          <cell r="G353" t="str">
            <v>Accr/(Prep)</v>
          </cell>
        </row>
        <row r="354">
          <cell r="F354">
            <v>0</v>
          </cell>
          <cell r="G354">
            <v>0</v>
          </cell>
        </row>
        <row r="355">
          <cell r="F355">
            <v>0</v>
          </cell>
        </row>
        <row r="356">
          <cell r="F356">
            <v>0</v>
          </cell>
        </row>
        <row r="357">
          <cell r="G357">
            <v>0</v>
          </cell>
        </row>
        <row r="359">
          <cell r="A359" t="str">
            <v>Consultancy Fees</v>
          </cell>
          <cell r="D359" t="str">
            <v>Paid from</v>
          </cell>
          <cell r="E359" t="str">
            <v>Paid till</v>
          </cell>
          <cell r="F359" t="str">
            <v>Amount paid</v>
          </cell>
          <cell r="G359" t="str">
            <v>Accr/(Prep)</v>
          </cell>
        </row>
        <row r="360">
          <cell r="B360">
            <v>1887.66</v>
          </cell>
          <cell r="C360" t="str">
            <v>Rosa Salary Recharge</v>
          </cell>
          <cell r="D360">
            <v>39661</v>
          </cell>
          <cell r="E360">
            <v>39844</v>
          </cell>
          <cell r="F360">
            <v>29825.028000000002</v>
          </cell>
          <cell r="G360">
            <v>9615.7194098360651</v>
          </cell>
        </row>
        <row r="361">
          <cell r="B361" t="str">
            <v>prepayments</v>
          </cell>
          <cell r="C361" t="str">
            <v>SEESA - Debit in Creditors List</v>
          </cell>
          <cell r="F361">
            <v>3958.99</v>
          </cell>
        </row>
        <row r="362">
          <cell r="F362">
            <v>0</v>
          </cell>
        </row>
        <row r="363">
          <cell r="G363">
            <v>13575</v>
          </cell>
        </row>
        <row r="365">
          <cell r="A365" t="str">
            <v>Bank Charges</v>
          </cell>
          <cell r="D365" t="str">
            <v>posted till 31/03/09</v>
          </cell>
          <cell r="F365">
            <v>0</v>
          </cell>
        </row>
        <row r="366">
          <cell r="F366">
            <v>0</v>
          </cell>
        </row>
        <row r="367">
          <cell r="F367">
            <v>0</v>
          </cell>
        </row>
        <row r="368">
          <cell r="G368">
            <v>0</v>
          </cell>
        </row>
        <row r="370">
          <cell r="A370" t="str">
            <v>Credit Card Commission</v>
          </cell>
          <cell r="D370" t="str">
            <v>posted till 31/03/09</v>
          </cell>
          <cell r="F370">
            <v>0</v>
          </cell>
        </row>
        <row r="371">
          <cell r="F371">
            <v>0</v>
          </cell>
        </row>
        <row r="372">
          <cell r="F372">
            <v>0</v>
          </cell>
        </row>
        <row r="373">
          <cell r="G373">
            <v>0</v>
          </cell>
        </row>
        <row r="375">
          <cell r="A375" t="str">
            <v>Other Interest Payable</v>
          </cell>
          <cell r="D375" t="str">
            <v>posted till 31/03/09</v>
          </cell>
          <cell r="F375">
            <v>0</v>
          </cell>
        </row>
        <row r="376">
          <cell r="F376">
            <v>0</v>
          </cell>
        </row>
        <row r="377">
          <cell r="F377">
            <v>0</v>
          </cell>
        </row>
        <row r="378">
          <cell r="G378">
            <v>0</v>
          </cell>
        </row>
        <row r="380">
          <cell r="A380" t="str">
            <v>Bank Interest Payable</v>
          </cell>
          <cell r="C380" t="str">
            <v>Current Account</v>
          </cell>
          <cell r="D380" t="str">
            <v>posted till 31/03/09</v>
          </cell>
          <cell r="F380">
            <v>0</v>
          </cell>
        </row>
        <row r="381">
          <cell r="C381" t="str">
            <v>Call Account</v>
          </cell>
          <cell r="D381" t="str">
            <v>posted till 31/03/09</v>
          </cell>
          <cell r="F381">
            <v>0</v>
          </cell>
        </row>
        <row r="382">
          <cell r="F382">
            <v>0</v>
          </cell>
        </row>
        <row r="383">
          <cell r="G383">
            <v>0</v>
          </cell>
        </row>
        <row r="385">
          <cell r="A385" t="str">
            <v>Bank Interest Receivable</v>
          </cell>
          <cell r="C385" t="str">
            <v>Current account</v>
          </cell>
          <cell r="D385" t="str">
            <v>posted till 31/03/09</v>
          </cell>
          <cell r="F385">
            <v>0</v>
          </cell>
        </row>
        <row r="386">
          <cell r="C386" t="str">
            <v>Call Account</v>
          </cell>
          <cell r="D386" t="str">
            <v>posted till 31/03/09</v>
          </cell>
          <cell r="F386">
            <v>0</v>
          </cell>
        </row>
        <row r="387">
          <cell r="F387">
            <v>0</v>
          </cell>
        </row>
        <row r="388">
          <cell r="G388">
            <v>0</v>
          </cell>
        </row>
        <row r="390">
          <cell r="A390" t="str">
            <v>AC: HP Lease Interest - KIA Sorento</v>
          </cell>
          <cell r="C390" t="str">
            <v>Lease interest</v>
          </cell>
          <cell r="D390" t="str">
            <v>posted till 31/03/09</v>
          </cell>
          <cell r="F390">
            <v>0</v>
          </cell>
        </row>
        <row r="391">
          <cell r="F391">
            <v>0</v>
          </cell>
        </row>
        <row r="392">
          <cell r="F392">
            <v>0</v>
          </cell>
        </row>
        <row r="393">
          <cell r="G393">
            <v>0</v>
          </cell>
        </row>
        <row r="395">
          <cell r="A395" t="str">
            <v>AC: HP Lease Interest - MCC Smart</v>
          </cell>
          <cell r="C395" t="str">
            <v>Lease interest</v>
          </cell>
          <cell r="D395" t="str">
            <v>posted till 31/03/09</v>
          </cell>
          <cell r="F395">
            <v>0</v>
          </cell>
        </row>
        <row r="396">
          <cell r="F396">
            <v>0</v>
          </cell>
        </row>
        <row r="397">
          <cell r="F397">
            <v>0</v>
          </cell>
        </row>
        <row r="398">
          <cell r="G398">
            <v>0</v>
          </cell>
        </row>
        <row r="400">
          <cell r="A400" t="str">
            <v>AC: HP Lease Interest - KIA Pregio</v>
          </cell>
          <cell r="C400" t="str">
            <v>Lease interest</v>
          </cell>
          <cell r="D400" t="str">
            <v>posted till 31/03/09</v>
          </cell>
          <cell r="F400">
            <v>0</v>
          </cell>
        </row>
        <row r="401">
          <cell r="F401">
            <v>0</v>
          </cell>
        </row>
        <row r="402">
          <cell r="F402">
            <v>0</v>
          </cell>
        </row>
        <row r="403">
          <cell r="G403">
            <v>0</v>
          </cell>
        </row>
        <row r="405">
          <cell r="A405" t="str">
            <v>Lease of Equipment</v>
          </cell>
          <cell r="D405" t="str">
            <v>Paid from</v>
          </cell>
          <cell r="E405" t="str">
            <v>Paid till</v>
          </cell>
          <cell r="F405" t="str">
            <v>Amount paid</v>
          </cell>
          <cell r="G405" t="str">
            <v>Accr/(Prep)</v>
          </cell>
        </row>
        <row r="406">
          <cell r="C406" t="str">
            <v>Sasfin CCTV</v>
          </cell>
          <cell r="D406">
            <v>39873</v>
          </cell>
          <cell r="E406">
            <v>39903</v>
          </cell>
          <cell r="F406">
            <v>557.02</v>
          </cell>
          <cell r="G406">
            <v>0</v>
          </cell>
        </row>
        <row r="407">
          <cell r="B407" t="str">
            <v>prepayments</v>
          </cell>
          <cell r="C407" t="str">
            <v>Sasfin - Debit in Creditors List</v>
          </cell>
          <cell r="F407">
            <v>635</v>
          </cell>
        </row>
        <row r="408">
          <cell r="F408">
            <v>0</v>
          </cell>
        </row>
        <row r="409">
          <cell r="G409">
            <v>635</v>
          </cell>
        </row>
        <row r="411">
          <cell r="A411" t="str">
            <v>S&amp;M - Advertising</v>
          </cell>
          <cell r="D411" t="str">
            <v>Paid from</v>
          </cell>
          <cell r="E411" t="str">
            <v>Paid till</v>
          </cell>
          <cell r="F411" t="str">
            <v>Amount paid</v>
          </cell>
          <cell r="G411" t="str">
            <v>Accr/(Prep)</v>
          </cell>
        </row>
        <row r="412">
          <cell r="C412" t="str">
            <v>Telkom SA - Phone Book Ads</v>
          </cell>
          <cell r="D412">
            <v>39326</v>
          </cell>
          <cell r="E412">
            <v>39355</v>
          </cell>
          <cell r="F412">
            <v>67</v>
          </cell>
          <cell r="G412">
            <v>1266</v>
          </cell>
        </row>
        <row r="413">
          <cell r="B413" t="str">
            <v>prepayments</v>
          </cell>
          <cell r="C413" t="str">
            <v>Tatiana Cavarsam - Debit in Creditors List</v>
          </cell>
          <cell r="F413">
            <v>10000</v>
          </cell>
        </row>
        <row r="414">
          <cell r="F414">
            <v>0</v>
          </cell>
        </row>
        <row r="415">
          <cell r="G415">
            <v>11266</v>
          </cell>
        </row>
        <row r="417">
          <cell r="A417" t="str">
            <v>S&amp;M - IMS</v>
          </cell>
          <cell r="D417" t="str">
            <v>Paid from</v>
          </cell>
          <cell r="E417" t="str">
            <v>Paid till</v>
          </cell>
          <cell r="F417" t="str">
            <v>Amount paid</v>
          </cell>
          <cell r="G417" t="str">
            <v>Accr/(Prep)</v>
          </cell>
        </row>
        <row r="418">
          <cell r="B418">
            <v>55000</v>
          </cell>
          <cell r="C418" t="str">
            <v>International Marketing Services</v>
          </cell>
          <cell r="D418">
            <v>39722</v>
          </cell>
          <cell r="E418">
            <v>40086</v>
          </cell>
          <cell r="F418">
            <v>651750</v>
          </cell>
          <cell r="G418">
            <v>-326768</v>
          </cell>
        </row>
        <row r="420">
          <cell r="F420">
            <v>0</v>
          </cell>
        </row>
        <row r="421">
          <cell r="G421">
            <v>-326768</v>
          </cell>
        </row>
        <row r="423">
          <cell r="A423" t="str">
            <v>Memberships &amp; Subscriptions</v>
          </cell>
          <cell r="D423" t="str">
            <v>Paid from</v>
          </cell>
          <cell r="E423" t="str">
            <v>Paid till</v>
          </cell>
          <cell r="F423" t="str">
            <v>Amount paid</v>
          </cell>
          <cell r="G423" t="str">
            <v>Accr/(Prep)</v>
          </cell>
        </row>
        <row r="424">
          <cell r="C424" t="str">
            <v>Cape Regional Chamber</v>
          </cell>
          <cell r="D424">
            <v>38899</v>
          </cell>
          <cell r="E424">
            <v>39263</v>
          </cell>
          <cell r="F424">
            <v>1103</v>
          </cell>
          <cell r="G424">
            <v>1939.3406593406594</v>
          </cell>
        </row>
        <row r="425">
          <cell r="C425" t="str">
            <v>SATSA</v>
          </cell>
          <cell r="D425">
            <v>39814</v>
          </cell>
          <cell r="E425">
            <v>40178</v>
          </cell>
          <cell r="F425">
            <v>4995.96</v>
          </cell>
          <cell r="G425">
            <v>-3774.4203296703295</v>
          </cell>
        </row>
        <row r="426">
          <cell r="C426" t="str">
            <v>BSA Membership</v>
          </cell>
          <cell r="D426">
            <v>39630</v>
          </cell>
          <cell r="E426">
            <v>39994</v>
          </cell>
          <cell r="F426">
            <v>3500</v>
          </cell>
          <cell r="G426">
            <v>-875</v>
          </cell>
        </row>
        <row r="427">
          <cell r="C427" t="str">
            <v>ELTASA</v>
          </cell>
          <cell r="D427">
            <v>39661</v>
          </cell>
          <cell r="E427">
            <v>40025</v>
          </cell>
          <cell r="F427">
            <v>3700</v>
          </cell>
          <cell r="G427">
            <v>-1240.1098901098901</v>
          </cell>
        </row>
        <row r="428">
          <cell r="C428" t="str">
            <v>TV Licenses (SABC)</v>
          </cell>
          <cell r="D428">
            <v>39814</v>
          </cell>
          <cell r="E428">
            <v>40178</v>
          </cell>
          <cell r="F428">
            <v>1125</v>
          </cell>
          <cell r="G428">
            <v>-849.93131868131877</v>
          </cell>
        </row>
        <row r="429">
          <cell r="C429" t="str">
            <v>Liquor License</v>
          </cell>
          <cell r="D429">
            <v>39448</v>
          </cell>
          <cell r="E429">
            <v>39813</v>
          </cell>
          <cell r="F429">
            <v>250</v>
          </cell>
          <cell r="G429">
            <v>61.643835616438352</v>
          </cell>
        </row>
        <row r="430">
          <cell r="C430" t="str">
            <v>PO Box</v>
          </cell>
          <cell r="D430">
            <v>39814</v>
          </cell>
          <cell r="E430">
            <v>40178</v>
          </cell>
          <cell r="F430">
            <v>290</v>
          </cell>
          <cell r="G430">
            <v>-219.09340659340657</v>
          </cell>
        </row>
        <row r="431">
          <cell r="C431" t="str">
            <v>Backpacking South Africa</v>
          </cell>
          <cell r="D431">
            <v>39630</v>
          </cell>
          <cell r="E431">
            <v>39994</v>
          </cell>
          <cell r="F431">
            <v>1200</v>
          </cell>
          <cell r="G431">
            <v>-300</v>
          </cell>
        </row>
        <row r="432">
          <cell r="F432">
            <v>0</v>
          </cell>
        </row>
        <row r="433">
          <cell r="G433">
            <v>-5258</v>
          </cell>
        </row>
        <row r="435">
          <cell r="A435" t="str">
            <v>Sundry Expenses - Tuition</v>
          </cell>
          <cell r="F435">
            <v>0</v>
          </cell>
        </row>
        <row r="436">
          <cell r="F436">
            <v>0</v>
          </cell>
        </row>
        <row r="437">
          <cell r="F437">
            <v>0</v>
          </cell>
        </row>
        <row r="438">
          <cell r="G438">
            <v>0</v>
          </cell>
        </row>
        <row r="440">
          <cell r="A440" t="str">
            <v>Sundry Expenses - Excursions</v>
          </cell>
          <cell r="F440">
            <v>0</v>
          </cell>
        </row>
        <row r="441">
          <cell r="F441">
            <v>0</v>
          </cell>
        </row>
        <row r="442">
          <cell r="F442">
            <v>0</v>
          </cell>
        </row>
        <row r="443">
          <cell r="G443">
            <v>0</v>
          </cell>
        </row>
        <row r="445">
          <cell r="A445" t="str">
            <v>Sundry Expenses - Administration</v>
          </cell>
          <cell r="D445" t="str">
            <v>Paid from</v>
          </cell>
          <cell r="E445" t="str">
            <v>Paid till</v>
          </cell>
          <cell r="F445" t="str">
            <v>Amount paid</v>
          </cell>
          <cell r="G445" t="str">
            <v>Accr/(Prep)</v>
          </cell>
        </row>
        <row r="446">
          <cell r="C446" t="str">
            <v>Protea Medical Aid</v>
          </cell>
          <cell r="D446">
            <v>39904</v>
          </cell>
          <cell r="E446">
            <v>40086</v>
          </cell>
          <cell r="F446">
            <v>1770</v>
          </cell>
          <cell r="G446">
            <v>-1779.7252747252746</v>
          </cell>
        </row>
        <row r="447">
          <cell r="F447">
            <v>0</v>
          </cell>
        </row>
        <row r="448">
          <cell r="F448">
            <v>0</v>
          </cell>
        </row>
        <row r="449">
          <cell r="G449">
            <v>1770</v>
          </cell>
        </row>
        <row r="451">
          <cell r="A451" t="str">
            <v>Bad Debts Provision</v>
          </cell>
          <cell r="F451" t="str">
            <v>Amount paid</v>
          </cell>
          <cell r="G451" t="str">
            <v>Accr/(Prep)</v>
          </cell>
        </row>
        <row r="452">
          <cell r="C452" t="str">
            <v>Sem Destino</v>
          </cell>
          <cell r="E452">
            <v>2144.5</v>
          </cell>
          <cell r="F452">
            <v>16544.482421875</v>
          </cell>
        </row>
        <row r="453">
          <cell r="E453">
            <v>0</v>
          </cell>
          <cell r="F453">
            <v>0</v>
          </cell>
        </row>
        <row r="454">
          <cell r="F454">
            <v>0</v>
          </cell>
        </row>
        <row r="455">
          <cell r="G455">
            <v>16544</v>
          </cell>
        </row>
        <row r="457">
          <cell r="A457" t="str">
            <v>Bad Debts Written Off</v>
          </cell>
          <cell r="F457">
            <v>0</v>
          </cell>
        </row>
        <row r="458">
          <cell r="F458">
            <v>0</v>
          </cell>
        </row>
        <row r="459">
          <cell r="F459">
            <v>0</v>
          </cell>
        </row>
        <row r="460">
          <cell r="G460">
            <v>0</v>
          </cell>
        </row>
        <row r="462">
          <cell r="A462" t="str">
            <v>Security</v>
          </cell>
          <cell r="D462" t="str">
            <v>Paid from</v>
          </cell>
          <cell r="E462" t="str">
            <v>Paid till</v>
          </cell>
          <cell r="F462" t="str">
            <v>Amount paid</v>
          </cell>
          <cell r="G462" t="str">
            <v>Accr/(Prep)</v>
          </cell>
        </row>
        <row r="463">
          <cell r="C463" t="str">
            <v>World Focus</v>
          </cell>
          <cell r="D463">
            <v>39904</v>
          </cell>
          <cell r="E463">
            <v>39933</v>
          </cell>
          <cell r="F463">
            <v>12782.45</v>
          </cell>
          <cell r="G463">
            <v>-12782.45</v>
          </cell>
        </row>
        <row r="464">
          <cell r="C464" t="str">
            <v>Avenue Response</v>
          </cell>
          <cell r="D464">
            <v>39904</v>
          </cell>
          <cell r="E464">
            <v>39933</v>
          </cell>
          <cell r="F464">
            <v>315.79000000000002</v>
          </cell>
          <cell r="G464">
            <v>-315.79000000000002</v>
          </cell>
        </row>
        <row r="465">
          <cell r="F465">
            <v>0</v>
          </cell>
        </row>
        <row r="466">
          <cell r="F466">
            <v>0</v>
          </cell>
        </row>
        <row r="467">
          <cell r="G467">
            <v>-13098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قاعدة بيانات  "/>
      <sheetName val="تحليلات 2024"/>
      <sheetName val="Report "/>
      <sheetName val="الايرادات "/>
      <sheetName val="الخزينه "/>
      <sheetName val="خزينه السلف "/>
      <sheetName val="العهد "/>
      <sheetName val="فورى"/>
      <sheetName val="فوري "/>
      <sheetName val="امان"/>
      <sheetName val="انستا باى"/>
      <sheetName val="فودافون كاش"/>
      <sheetName val="اتصالات كاش"/>
      <sheetName val="بنك مصر  "/>
      <sheetName val="بنك كريدي "/>
      <sheetName val="اجمالى راس المال"/>
      <sheetName val="راس المال "/>
      <sheetName val="توزيعات الارباح"/>
      <sheetName val="بنك مصر  المنصورة"/>
      <sheetName val="شيكات  "/>
    </sheetNames>
    <sheetDataSet>
      <sheetData sheetId="0">
        <row r="2">
          <cell r="K2" t="str">
            <v>الكود</v>
          </cell>
          <cell r="L2" t="str">
            <v>اسم الموظف</v>
          </cell>
        </row>
        <row r="3">
          <cell r="K3">
            <v>1</v>
          </cell>
          <cell r="L3" t="str">
            <v>احمد شريف سليمان امين سليمان</v>
          </cell>
        </row>
        <row r="4">
          <cell r="K4">
            <v>4</v>
          </cell>
          <cell r="L4" t="str">
            <v>وليد عبد الكريم عبد العليم</v>
          </cell>
        </row>
        <row r="5">
          <cell r="K5">
            <v>5</v>
          </cell>
          <cell r="L5" t="str">
            <v>باسم صلاح عبد الله قوشتى</v>
          </cell>
        </row>
        <row r="6">
          <cell r="K6">
            <v>7</v>
          </cell>
          <cell r="L6" t="str">
            <v>حازم مجدى احمد عبد السميع</v>
          </cell>
        </row>
        <row r="7">
          <cell r="K7">
            <v>9</v>
          </cell>
          <cell r="L7" t="str">
            <v>عمرو عصام بدر الدين</v>
          </cell>
        </row>
        <row r="8">
          <cell r="K8">
            <v>19</v>
          </cell>
          <cell r="L8" t="str">
            <v>سحر اوسامة احمد محمد</v>
          </cell>
        </row>
        <row r="9">
          <cell r="K9">
            <v>20</v>
          </cell>
          <cell r="L9" t="str">
            <v>عبد العزيز صلاح عبد العزيز على حسن</v>
          </cell>
        </row>
        <row r="10">
          <cell r="K10">
            <v>25</v>
          </cell>
          <cell r="L10" t="str">
            <v>منى احمد طه احمد سعد</v>
          </cell>
        </row>
        <row r="11">
          <cell r="K11">
            <v>31</v>
          </cell>
          <cell r="L11" t="str">
            <v>محمود النادى أبو الحسن احمد</v>
          </cell>
        </row>
        <row r="12">
          <cell r="K12">
            <v>35</v>
          </cell>
          <cell r="L12" t="str">
            <v>رحمة مصطفى خلف الله</v>
          </cell>
        </row>
        <row r="13">
          <cell r="K13">
            <v>45</v>
          </cell>
          <cell r="L13" t="str">
            <v>محمد مجدى ربيع عبد الغنى جاد</v>
          </cell>
        </row>
        <row r="14">
          <cell r="K14">
            <v>53</v>
          </cell>
          <cell r="L14" t="str">
            <v>احمد الحفنى احمد الجمل</v>
          </cell>
        </row>
        <row r="15">
          <cell r="K15">
            <v>54</v>
          </cell>
          <cell r="L15" t="str">
            <v>رحاب عبد الهادى احمد بدوى</v>
          </cell>
        </row>
        <row r="16">
          <cell r="K16">
            <v>56</v>
          </cell>
          <cell r="L16" t="str">
            <v>احمد عبد اللطيف عبد الغنى عبد الحافظ</v>
          </cell>
        </row>
        <row r="17">
          <cell r="K17">
            <v>60</v>
          </cell>
          <cell r="L17" t="str">
            <v>مروة مصطفى على جاد</v>
          </cell>
        </row>
        <row r="18">
          <cell r="K18">
            <v>62</v>
          </cell>
          <cell r="L18" t="str">
            <v>محمد مجدى السيد عبد الدايم</v>
          </cell>
        </row>
        <row r="19">
          <cell r="K19">
            <v>64</v>
          </cell>
          <cell r="L19" t="str">
            <v>تريز سامى رزق شحاته</v>
          </cell>
        </row>
        <row r="20">
          <cell r="K20">
            <v>71</v>
          </cell>
          <cell r="L20" t="str">
            <v>ندى محمد سعد</v>
          </cell>
        </row>
        <row r="21">
          <cell r="K21">
            <v>75</v>
          </cell>
          <cell r="L21" t="str">
            <v>رحاب مصطفى محمد</v>
          </cell>
        </row>
        <row r="22">
          <cell r="K22">
            <v>80</v>
          </cell>
          <cell r="L22" t="str">
            <v>محمد سيد حسن محمود</v>
          </cell>
        </row>
        <row r="23">
          <cell r="K23">
            <v>83</v>
          </cell>
          <cell r="L23" t="str">
            <v>حبيبه احمد سلطان منصور عويس</v>
          </cell>
        </row>
        <row r="24">
          <cell r="K24">
            <v>97</v>
          </cell>
          <cell r="L24" t="str">
            <v>ندى محمد محمود عبد المقصود</v>
          </cell>
        </row>
        <row r="25">
          <cell r="K25">
            <v>115</v>
          </cell>
          <cell r="L25" t="str">
            <v>احمد عبد المقصود عبد الفضيل</v>
          </cell>
        </row>
        <row r="26">
          <cell r="K26">
            <v>120</v>
          </cell>
          <cell r="L26" t="str">
            <v>إبراهيم محمد عوض</v>
          </cell>
        </row>
        <row r="27">
          <cell r="K27">
            <v>124</v>
          </cell>
          <cell r="L27" t="str">
            <v>حامد احمد حامد احمد</v>
          </cell>
        </row>
        <row r="28">
          <cell r="K28">
            <v>148</v>
          </cell>
          <cell r="L28" t="str">
            <v>امال كمال عبد الله عبد الحليم</v>
          </cell>
        </row>
        <row r="29">
          <cell r="K29">
            <v>150</v>
          </cell>
          <cell r="L29" t="str">
            <v>هدى حسن السيد على الضوى</v>
          </cell>
        </row>
        <row r="30">
          <cell r="K30">
            <v>151</v>
          </cell>
          <cell r="L30" t="str">
            <v xml:space="preserve">احمد عبد الباسط عبد السلام محمد </v>
          </cell>
        </row>
        <row r="31">
          <cell r="K31">
            <v>155</v>
          </cell>
          <cell r="L31" t="str">
            <v>خالد محمد عبد العظيم إسماعيل</v>
          </cell>
        </row>
        <row r="32">
          <cell r="K32">
            <v>166</v>
          </cell>
          <cell r="L32" t="str">
            <v>احمد سالم عبد العظيم محمد</v>
          </cell>
        </row>
        <row r="33">
          <cell r="K33">
            <v>170</v>
          </cell>
          <cell r="L33" t="str">
            <v>فاطمة احمد إسماعيل</v>
          </cell>
        </row>
        <row r="34">
          <cell r="K34">
            <v>171</v>
          </cell>
          <cell r="L34" t="str">
            <v>فاطمة احمد سيد حجازى</v>
          </cell>
        </row>
        <row r="35">
          <cell r="K35">
            <v>195</v>
          </cell>
          <cell r="L35" t="str">
            <v>سحر احمد حمدى احمد النجار</v>
          </cell>
        </row>
        <row r="36">
          <cell r="K36">
            <v>196</v>
          </cell>
          <cell r="L36" t="str">
            <v>محمد طارق عبد المجيد إبراهيم</v>
          </cell>
        </row>
        <row r="37">
          <cell r="K37">
            <v>197</v>
          </cell>
          <cell r="L37" t="str">
            <v xml:space="preserve">احمد مجدى بكر على </v>
          </cell>
        </row>
        <row r="38">
          <cell r="K38">
            <v>201</v>
          </cell>
          <cell r="L38" t="str">
            <v>حسام احمد عبد الفتاح حسين</v>
          </cell>
        </row>
        <row r="39">
          <cell r="K39">
            <v>203</v>
          </cell>
          <cell r="L39" t="str">
            <v>شروق صلاح احمد السمان</v>
          </cell>
        </row>
        <row r="40">
          <cell r="K40">
            <v>206</v>
          </cell>
          <cell r="L40" t="str">
            <v>كريم عبد المنعم عبد العزيز السيد</v>
          </cell>
        </row>
        <row r="41">
          <cell r="K41">
            <v>209</v>
          </cell>
          <cell r="L41" t="str">
            <v>ريم رضا سيد احمد إبراهيم المطراوى</v>
          </cell>
        </row>
        <row r="42">
          <cell r="K42">
            <v>214</v>
          </cell>
          <cell r="L42" t="str">
            <v>مصطفى خالد حامد خليل</v>
          </cell>
        </row>
        <row r="43">
          <cell r="K43">
            <v>215</v>
          </cell>
          <cell r="L43" t="str">
            <v>روان عادل محمد عبد الكريم</v>
          </cell>
        </row>
        <row r="44">
          <cell r="K44">
            <v>217</v>
          </cell>
          <cell r="L44" t="str">
            <v>صباح عبد المنعم عتريس حسن</v>
          </cell>
        </row>
        <row r="45">
          <cell r="K45">
            <v>220</v>
          </cell>
          <cell r="L45" t="str">
            <v>اية محمد احمد سيد احمد</v>
          </cell>
        </row>
        <row r="46">
          <cell r="K46">
            <v>221</v>
          </cell>
          <cell r="L46" t="str">
            <v>عمرو صابر إبراهيم سيد محمد</v>
          </cell>
        </row>
        <row r="47">
          <cell r="K47">
            <v>222</v>
          </cell>
          <cell r="L47" t="str">
            <v>مريم محمد على سيد خطاب</v>
          </cell>
        </row>
        <row r="48">
          <cell r="K48">
            <v>223</v>
          </cell>
          <cell r="L48" t="str">
            <v>هبة خلف محمد احمد</v>
          </cell>
        </row>
        <row r="49">
          <cell r="K49">
            <v>224</v>
          </cell>
          <cell r="L49" t="str">
            <v>إبراهيم محمود حسن السيد محفوظ</v>
          </cell>
        </row>
        <row r="50">
          <cell r="K50">
            <v>227</v>
          </cell>
          <cell r="L50" t="str">
            <v>هدى حسين عبد الجواد عيد</v>
          </cell>
        </row>
        <row r="51">
          <cell r="K51">
            <v>228</v>
          </cell>
          <cell r="L51" t="str">
            <v>نسمة منصور عوض لطفى مصطفى</v>
          </cell>
        </row>
        <row r="52">
          <cell r="K52">
            <v>229</v>
          </cell>
          <cell r="L52" t="str">
            <v>سلمى عاطف احمد عبد العزيز</v>
          </cell>
        </row>
        <row r="53">
          <cell r="K53">
            <v>230</v>
          </cell>
          <cell r="L53" t="str">
            <v>هاجر صبحى عبد الغنى محمد إبراهيم</v>
          </cell>
        </row>
        <row r="54">
          <cell r="K54">
            <v>232</v>
          </cell>
          <cell r="L54" t="str">
            <v>نور خالد وجدى هاشم</v>
          </cell>
        </row>
        <row r="55">
          <cell r="K55">
            <v>233</v>
          </cell>
          <cell r="L55" t="str">
            <v>شيماء محمد عاشور سعد</v>
          </cell>
        </row>
        <row r="56">
          <cell r="K56">
            <v>234</v>
          </cell>
          <cell r="L56" t="str">
            <v>حازم عصام عبد الموجود إسماعيل</v>
          </cell>
        </row>
        <row r="57">
          <cell r="K57">
            <v>235</v>
          </cell>
          <cell r="L57" t="str">
            <v>أسماء رمضان رخا حسن</v>
          </cell>
        </row>
        <row r="58">
          <cell r="K58">
            <v>237</v>
          </cell>
          <cell r="L58" t="str">
            <v>احمد محمد مبروك حسين</v>
          </cell>
        </row>
        <row r="59">
          <cell r="K59">
            <v>238</v>
          </cell>
          <cell r="L59" t="str">
            <v xml:space="preserve">اشرف محمد محروس محمود </v>
          </cell>
        </row>
        <row r="60">
          <cell r="K60">
            <v>239</v>
          </cell>
          <cell r="L60" t="str">
            <v xml:space="preserve">يوسف كامل  عبد الله صبحى غنيم </v>
          </cell>
        </row>
        <row r="61">
          <cell r="K61">
            <v>240</v>
          </cell>
          <cell r="L61" t="str">
            <v xml:space="preserve">محمد عزت محمد رشاد </v>
          </cell>
        </row>
        <row r="62">
          <cell r="K62">
            <v>241</v>
          </cell>
          <cell r="L62" t="str">
            <v>كريم محمود فهمى عبد الصادق احمد</v>
          </cell>
        </row>
        <row r="63">
          <cell r="K63">
            <v>242</v>
          </cell>
          <cell r="L63" t="str">
            <v xml:space="preserve">محمد احمد محمد احمد </v>
          </cell>
        </row>
        <row r="64">
          <cell r="K64">
            <v>333</v>
          </cell>
          <cell r="L64" t="str">
            <v>مصطفى جميل عبد الفتاح</v>
          </cell>
        </row>
        <row r="65">
          <cell r="K65">
            <v>10</v>
          </cell>
          <cell r="L65" t="str">
            <v>عبد المنعم مجدى عبد ربه</v>
          </cell>
        </row>
        <row r="66">
          <cell r="K66">
            <v>248</v>
          </cell>
          <cell r="L66" t="str">
            <v>محمد اشرف محروس</v>
          </cell>
        </row>
        <row r="67">
          <cell r="K67">
            <v>254</v>
          </cell>
          <cell r="L67" t="str">
            <v>ايمن ماهر جبر</v>
          </cell>
        </row>
        <row r="68">
          <cell r="K68">
            <v>251</v>
          </cell>
          <cell r="L68" t="str">
            <v>احمد سيد حسين</v>
          </cell>
        </row>
        <row r="69">
          <cell r="K69">
            <v>257</v>
          </cell>
          <cell r="L69" t="str">
            <v>سامح محمد احمد</v>
          </cell>
        </row>
        <row r="70">
          <cell r="K70">
            <v>277</v>
          </cell>
          <cell r="L70" t="str">
            <v>ماجد الفى وسيلى</v>
          </cell>
        </row>
        <row r="71">
          <cell r="K71">
            <v>266</v>
          </cell>
          <cell r="L71" t="str">
            <v>عبد الرحمن خالد عبد الفتاح محمد الرياش</v>
          </cell>
        </row>
        <row r="72">
          <cell r="K72">
            <v>125</v>
          </cell>
          <cell r="L72" t="str">
            <v>زينب محمود محمد محمود صالح</v>
          </cell>
        </row>
        <row r="73">
          <cell r="K73">
            <v>281</v>
          </cell>
          <cell r="L73" t="str">
            <v>احمد عاطف محمد محمود</v>
          </cell>
        </row>
        <row r="74">
          <cell r="K74">
            <v>119</v>
          </cell>
          <cell r="L74" t="str">
            <v>مصطفى جميل عبد الفتاح محمد</v>
          </cell>
        </row>
        <row r="75">
          <cell r="K75">
            <v>8</v>
          </cell>
          <cell r="L75" t="str">
            <v>امل صبرى</v>
          </cell>
        </row>
        <row r="76">
          <cell r="K76">
            <v>2</v>
          </cell>
          <cell r="L76" t="str">
            <v>علاء محمد عوض جاد الله</v>
          </cell>
        </row>
        <row r="77">
          <cell r="K77">
            <v>127</v>
          </cell>
          <cell r="L77" t="str">
            <v>احمد عوض عباس عوض كشك</v>
          </cell>
        </row>
        <row r="78">
          <cell r="K78">
            <v>129</v>
          </cell>
          <cell r="L78" t="str">
            <v>نانسى يوسف عزيز يوسف</v>
          </cell>
        </row>
        <row r="79">
          <cell r="K79">
            <v>130</v>
          </cell>
          <cell r="L79" t="str">
            <v>عبد الرحمن عوض عباس عوض كشك</v>
          </cell>
        </row>
        <row r="80">
          <cell r="K80">
            <v>131</v>
          </cell>
          <cell r="L80" t="str">
            <v>امانى طارق إبراهيم عبد الحميد</v>
          </cell>
        </row>
        <row r="81">
          <cell r="K81">
            <v>133</v>
          </cell>
          <cell r="L81" t="str">
            <v>نادين عماد منصور محمد</v>
          </cell>
        </row>
        <row r="82">
          <cell r="K82">
            <v>134</v>
          </cell>
          <cell r="L82" t="str">
            <v>اميرة النادى النادى عوض رجب</v>
          </cell>
        </row>
        <row r="83">
          <cell r="K83">
            <v>136</v>
          </cell>
          <cell r="L83" t="str">
            <v>بهاء محمد السيد صالح أبو حسين</v>
          </cell>
        </row>
        <row r="84">
          <cell r="K84">
            <v>137</v>
          </cell>
          <cell r="L84" t="str">
            <v>محمد وفيق إبراهيم عبد المعطى</v>
          </cell>
        </row>
        <row r="85">
          <cell r="K85">
            <v>138</v>
          </cell>
          <cell r="L85" t="str">
            <v>احمد إبراهيم المرسى زايد</v>
          </cell>
        </row>
        <row r="86">
          <cell r="K86">
            <v>139</v>
          </cell>
          <cell r="L86" t="str">
            <v>إبراهيم توكل محمد حسن</v>
          </cell>
        </row>
        <row r="87">
          <cell r="K87">
            <v>149</v>
          </cell>
          <cell r="L87" t="str">
            <v>احمد صابر عبد الله عطية نصر</v>
          </cell>
        </row>
        <row r="88">
          <cell r="K88">
            <v>162</v>
          </cell>
          <cell r="L88" t="str">
            <v>عمرو على سليم محمد السيد</v>
          </cell>
        </row>
        <row r="89">
          <cell r="K89">
            <v>165</v>
          </cell>
          <cell r="L89" t="str">
            <v>امل احمد جابر عبد اللاه عثمان</v>
          </cell>
        </row>
        <row r="90">
          <cell r="K90">
            <v>169</v>
          </cell>
          <cell r="L90" t="str">
            <v>احمد ممدوح احمد عباس احمد</v>
          </cell>
        </row>
        <row r="91">
          <cell r="K91">
            <v>177</v>
          </cell>
          <cell r="L91" t="str">
            <v>أسماء إبراهيم السيد عبد الله</v>
          </cell>
        </row>
        <row r="92">
          <cell r="K92">
            <v>185</v>
          </cell>
          <cell r="L92" t="str">
            <v>ياسمين السعيد السيد أبو قورة</v>
          </cell>
        </row>
        <row r="93">
          <cell r="K93">
            <v>187</v>
          </cell>
          <cell r="L93" t="str">
            <v>محمد سمير إبراهيم سيد احمد والى</v>
          </cell>
        </row>
        <row r="94">
          <cell r="K94">
            <v>193</v>
          </cell>
          <cell r="L94" t="str">
            <v>محمود مراد محمود فهمى أبو السعود</v>
          </cell>
        </row>
        <row r="95">
          <cell r="K95">
            <v>198</v>
          </cell>
          <cell r="L95" t="str">
            <v>صديق مروان صديق الوصيف</v>
          </cell>
        </row>
        <row r="96">
          <cell r="K96">
            <v>213</v>
          </cell>
          <cell r="L96" t="str">
            <v>محمد حمدى محمد امبابى جاب الله</v>
          </cell>
        </row>
        <row r="97">
          <cell r="K97">
            <v>219</v>
          </cell>
          <cell r="L97" t="str">
            <v>سارة محمد ممدوح مصطفى عبد اللطيف</v>
          </cell>
        </row>
        <row r="98">
          <cell r="K98">
            <v>225</v>
          </cell>
          <cell r="L98" t="str">
            <v>شادى احمد محمد امين</v>
          </cell>
        </row>
        <row r="99">
          <cell r="K99">
            <v>226</v>
          </cell>
          <cell r="L99" t="str">
            <v>بسمة أسامة محمد عبد الصمد</v>
          </cell>
        </row>
        <row r="100">
          <cell r="K100">
            <v>236</v>
          </cell>
          <cell r="L100" t="str">
            <v>إبراهيم محمود عثمان محمود</v>
          </cell>
        </row>
        <row r="101">
          <cell r="K101">
            <v>276</v>
          </cell>
          <cell r="L101" t="str">
            <v>مصطفي محمود محمد</v>
          </cell>
        </row>
        <row r="102">
          <cell r="K102">
            <v>255</v>
          </cell>
          <cell r="L102" t="str">
            <v>هيثم فاروق إبراهيم</v>
          </cell>
        </row>
        <row r="103">
          <cell r="K103">
            <v>289</v>
          </cell>
          <cell r="L103" t="str">
            <v>صبري عبد الهادي عبد الهادي</v>
          </cell>
        </row>
        <row r="104">
          <cell r="K104">
            <v>246</v>
          </cell>
          <cell r="L104" t="str">
            <v xml:space="preserve">محمد محمود عبدالحليم  محمد </v>
          </cell>
        </row>
        <row r="105">
          <cell r="K105">
            <v>6666</v>
          </cell>
          <cell r="L105" t="str">
            <v>احمد محمد مقيبل محمد</v>
          </cell>
        </row>
        <row r="106">
          <cell r="K106">
            <v>264</v>
          </cell>
          <cell r="L106" t="str">
            <v>عبد الرحمن احمد محمد</v>
          </cell>
        </row>
        <row r="107">
          <cell r="K107">
            <v>284</v>
          </cell>
          <cell r="L107" t="str">
            <v>زياد كرم عبد الفضيل عبد المجيد</v>
          </cell>
        </row>
        <row r="108">
          <cell r="K108">
            <v>291</v>
          </cell>
          <cell r="L108" t="str">
            <v>سعيد عبد الله سعيد</v>
          </cell>
        </row>
        <row r="109">
          <cell r="K109">
            <v>283</v>
          </cell>
          <cell r="L109" t="str">
            <v xml:space="preserve">طارق عصام فتوح حسن </v>
          </cell>
        </row>
        <row r="110">
          <cell r="K110">
            <v>273</v>
          </cell>
          <cell r="L110" t="str">
            <v xml:space="preserve">ملك رمضان يوسف عبده </v>
          </cell>
        </row>
        <row r="111">
          <cell r="K111">
            <v>250</v>
          </cell>
          <cell r="L111" t="str">
            <v xml:space="preserve">ندى محمد عاشور سعد </v>
          </cell>
        </row>
        <row r="112">
          <cell r="K112">
            <v>286</v>
          </cell>
          <cell r="L112" t="str">
            <v xml:space="preserve">اسلام حسين عبدالفتاح محمد عامر </v>
          </cell>
        </row>
        <row r="113">
          <cell r="K113">
            <v>299</v>
          </cell>
          <cell r="L113" t="str">
            <v>انجى حسن فوزى</v>
          </cell>
        </row>
        <row r="114">
          <cell r="K114">
            <v>278</v>
          </cell>
          <cell r="L114" t="str">
            <v>هشام فتح الله عبدربه</v>
          </cell>
        </row>
        <row r="115">
          <cell r="K115">
            <v>316</v>
          </cell>
          <cell r="L115" t="str">
            <v>محمد اشرف مصطفى درويش الملاح</v>
          </cell>
        </row>
        <row r="116">
          <cell r="K116">
            <v>307</v>
          </cell>
          <cell r="L116" t="str">
            <v>شيماء حمدى حسن ركابى حامد</v>
          </cell>
        </row>
        <row r="117">
          <cell r="K117">
            <v>319</v>
          </cell>
          <cell r="L117" t="str">
            <v xml:space="preserve">اسلام رفعت شحاته </v>
          </cell>
        </row>
        <row r="118">
          <cell r="K118">
            <v>323</v>
          </cell>
          <cell r="L118" t="str">
            <v>مهند وليد متولى محمد الجمل</v>
          </cell>
        </row>
        <row r="119">
          <cell r="K119">
            <v>334</v>
          </cell>
          <cell r="L119" t="str">
            <v>عبد الله كامل عبد الله صبحى غنيم</v>
          </cell>
        </row>
        <row r="120">
          <cell r="K120">
            <v>338</v>
          </cell>
          <cell r="L120" t="str">
            <v>احمد عزالدين حسين امام</v>
          </cell>
        </row>
        <row r="121">
          <cell r="K121">
            <v>269</v>
          </cell>
          <cell r="L121" t="str">
            <v>هاجر شريف محمد</v>
          </cell>
        </row>
        <row r="122">
          <cell r="K122">
            <v>332</v>
          </cell>
          <cell r="L122" t="str">
            <v xml:space="preserve">إسماعيل سلامه إسماعيل بركات </v>
          </cell>
        </row>
        <row r="123">
          <cell r="K123">
            <v>336</v>
          </cell>
          <cell r="L123" t="str">
            <v>زياد احمد سيد</v>
          </cell>
        </row>
        <row r="124">
          <cell r="K124">
            <v>300</v>
          </cell>
          <cell r="L124" t="str">
            <v>أسماء حسن على</v>
          </cell>
        </row>
        <row r="125">
          <cell r="K125">
            <v>328</v>
          </cell>
          <cell r="L125" t="str">
            <v>منة هشام سعيد</v>
          </cell>
        </row>
        <row r="126">
          <cell r="K126">
            <v>344</v>
          </cell>
          <cell r="L126" t="str">
            <v>شهد شعبان عبد الرحمن</v>
          </cell>
        </row>
        <row r="127">
          <cell r="K127">
            <v>347</v>
          </cell>
          <cell r="L127" t="str">
            <v>يحى هانى نبيل</v>
          </cell>
        </row>
        <row r="128">
          <cell r="K128">
            <v>339</v>
          </cell>
          <cell r="L128" t="str">
            <v>كريم مجدى ربيع</v>
          </cell>
        </row>
        <row r="129">
          <cell r="K129">
            <v>365</v>
          </cell>
          <cell r="L129" t="str">
            <v>محمد رضا سعد حسن الشرقاوى</v>
          </cell>
        </row>
        <row r="130">
          <cell r="K130">
            <v>381</v>
          </cell>
          <cell r="L130" t="str">
            <v>احمد عادل طلعت</v>
          </cell>
        </row>
        <row r="131">
          <cell r="K131">
            <v>326</v>
          </cell>
          <cell r="L131" t="str">
            <v>دينا رضا صلاح</v>
          </cell>
        </row>
        <row r="132">
          <cell r="K132">
            <v>368</v>
          </cell>
          <cell r="L132" t="str">
            <v>سعيد دياب حامد</v>
          </cell>
        </row>
        <row r="133">
          <cell r="K133">
            <v>378</v>
          </cell>
          <cell r="L133" t="str">
            <v>عبد الحميد نبوى فهيم</v>
          </cell>
        </row>
        <row r="134">
          <cell r="K134">
            <v>406</v>
          </cell>
          <cell r="L134" t="str">
            <v>محمد عمر محمد ابوزيد غنيم</v>
          </cell>
        </row>
        <row r="135">
          <cell r="K135">
            <v>380</v>
          </cell>
          <cell r="L135" t="str">
            <v>عمرو حسن محمد عصران احمد</v>
          </cell>
        </row>
        <row r="136">
          <cell r="K136">
            <v>362</v>
          </cell>
          <cell r="L136" t="str">
            <v>احمد محمد محمود</v>
          </cell>
        </row>
        <row r="137">
          <cell r="K137">
            <v>389</v>
          </cell>
          <cell r="L137" t="str">
            <v>ادهم رؤوف كمال كامل سعيد</v>
          </cell>
        </row>
        <row r="138">
          <cell r="K138">
            <v>397</v>
          </cell>
          <cell r="L138" t="str">
            <v>محمد محمد السيد إبراهيم محمد</v>
          </cell>
        </row>
        <row r="139">
          <cell r="K139">
            <v>410</v>
          </cell>
          <cell r="L139" t="str">
            <v xml:space="preserve">سيف طارق محمد </v>
          </cell>
        </row>
        <row r="140">
          <cell r="K140">
            <v>294</v>
          </cell>
          <cell r="L140" t="str">
            <v>باسم ناجى سعد ابرهيم خلف</v>
          </cell>
        </row>
        <row r="141">
          <cell r="K141">
            <v>422</v>
          </cell>
          <cell r="L141" t="str">
            <v>يوسف عاطف حسين عبد الرحمن علي</v>
          </cell>
        </row>
        <row r="142">
          <cell r="K142">
            <v>434</v>
          </cell>
          <cell r="L142" t="str">
            <v>محمد كمال محمد عبد المنعم</v>
          </cell>
        </row>
        <row r="143">
          <cell r="K143">
            <v>262</v>
          </cell>
          <cell r="L143" t="str">
            <v>يارا رمضان يوسف</v>
          </cell>
        </row>
        <row r="144">
          <cell r="K144">
            <v>391</v>
          </cell>
          <cell r="L144" t="str">
            <v>عبد الرحمن فريد عبد المنعم</v>
          </cell>
        </row>
        <row r="145">
          <cell r="K145">
            <v>400</v>
          </cell>
          <cell r="L145" t="str">
            <v>عبد الرحمن احمد عبد العليم</v>
          </cell>
        </row>
        <row r="146">
          <cell r="K146">
            <v>388</v>
          </cell>
          <cell r="L146" t="str">
            <v>احمد عماد محمد عطية إبراهيم زهرة</v>
          </cell>
        </row>
        <row r="147">
          <cell r="K147">
            <v>403</v>
          </cell>
          <cell r="L147" t="str">
            <v>ملك يسرى عبد الشافى عبدربه محمد هلهل</v>
          </cell>
        </row>
        <row r="148">
          <cell r="K148">
            <v>379</v>
          </cell>
          <cell r="L148" t="str">
            <v>حسين محمود حسين</v>
          </cell>
        </row>
        <row r="149">
          <cell r="K149">
            <v>359</v>
          </cell>
          <cell r="L149" t="str">
            <v xml:space="preserve">رانيا شكري سعد إبراهيم طايع </v>
          </cell>
        </row>
        <row r="150">
          <cell r="K150">
            <v>308</v>
          </cell>
          <cell r="L150" t="str">
            <v>روضة ايمن إبراهيم عبد الحميد</v>
          </cell>
        </row>
        <row r="151">
          <cell r="K151">
            <v>412</v>
          </cell>
          <cell r="L151" t="str">
            <v>محمد عبد الوهاب ابراهيم عبد الوهاب</v>
          </cell>
        </row>
        <row r="152">
          <cell r="K152">
            <v>340</v>
          </cell>
          <cell r="L152" t="str">
            <v>أميرة شعراوى إبراهيم حامد</v>
          </cell>
        </row>
        <row r="153">
          <cell r="K153">
            <v>126</v>
          </cell>
          <cell r="L153" t="str">
            <v>حبيبة عادل بدرالدين</v>
          </cell>
        </row>
        <row r="154">
          <cell r="K154">
            <v>445</v>
          </cell>
          <cell r="L154" t="str">
            <v>أسماء عباس عثمان عباس</v>
          </cell>
        </row>
        <row r="155">
          <cell r="K155">
            <v>441</v>
          </cell>
          <cell r="L155" t="str">
            <v>مارتن شريف سمعان</v>
          </cell>
        </row>
        <row r="156">
          <cell r="K156">
            <v>459</v>
          </cell>
          <cell r="L156" t="str">
            <v>ولاء عادل عبده التهامى</v>
          </cell>
        </row>
        <row r="157">
          <cell r="K157">
            <v>461</v>
          </cell>
          <cell r="L157" t="str">
            <v>كريم جمال السيد عبد الهادى</v>
          </cell>
        </row>
        <row r="158">
          <cell r="K158">
            <v>460</v>
          </cell>
          <cell r="L158" t="str">
            <v>احمد اشرف محمد حسن</v>
          </cell>
        </row>
        <row r="159">
          <cell r="K159">
            <v>457</v>
          </cell>
          <cell r="L159" t="str">
            <v>سعيد عماد محمد عفيفي</v>
          </cell>
        </row>
        <row r="160">
          <cell r="K160">
            <v>468</v>
          </cell>
          <cell r="L160" t="str">
            <v>حسام حسن محمد حسن</v>
          </cell>
        </row>
        <row r="161">
          <cell r="K161">
            <v>361</v>
          </cell>
          <cell r="L161" t="str">
            <v>أسماء محمد عبد الصبور</v>
          </cell>
        </row>
        <row r="162">
          <cell r="K162">
            <v>421</v>
          </cell>
          <cell r="L162" t="str">
            <v>محمد احمد ناجز سعيد</v>
          </cell>
        </row>
        <row r="163">
          <cell r="K163">
            <v>481</v>
          </cell>
          <cell r="L163" t="str">
            <v>مصطفى عطا فراج</v>
          </cell>
        </row>
        <row r="164">
          <cell r="K164">
            <v>489</v>
          </cell>
          <cell r="L164" t="str">
            <v>احمد على محمد</v>
          </cell>
        </row>
        <row r="165">
          <cell r="K165">
            <v>493</v>
          </cell>
          <cell r="L165" t="str">
            <v>محمود محمد الشابورى</v>
          </cell>
        </row>
        <row r="166">
          <cell r="K166">
            <v>456</v>
          </cell>
          <cell r="L166" t="str">
            <v>مختار محمد محمد مختار</v>
          </cell>
        </row>
        <row r="167">
          <cell r="K167">
            <v>375</v>
          </cell>
          <cell r="L167" t="str">
            <v>اسراء خالد محمود</v>
          </cell>
        </row>
        <row r="168">
          <cell r="K168">
            <v>341</v>
          </cell>
          <cell r="L168" t="str">
            <v>نرمين شعراوى إبراهيم</v>
          </cell>
        </row>
        <row r="169">
          <cell r="K169">
            <v>492</v>
          </cell>
          <cell r="L169" t="str">
            <v>اسامه محمد احمد عبد الحميد</v>
          </cell>
        </row>
        <row r="170">
          <cell r="K170">
            <v>515</v>
          </cell>
          <cell r="L170" t="str">
            <v>محمد عبد المنعم عبد الحليم</v>
          </cell>
        </row>
        <row r="171">
          <cell r="K171">
            <v>464</v>
          </cell>
          <cell r="L171" t="str">
            <v>منة الله محمد عبد الفتاح</v>
          </cell>
        </row>
        <row r="172">
          <cell r="K172">
            <v>519</v>
          </cell>
          <cell r="L172" t="str">
            <v>يوسف محمد مسعود ديوشى عمار</v>
          </cell>
        </row>
        <row r="173">
          <cell r="K173">
            <v>486</v>
          </cell>
          <cell r="L173" t="str">
            <v>اسراء صبرى رمضان</v>
          </cell>
        </row>
        <row r="174">
          <cell r="K174">
            <v>514</v>
          </cell>
          <cell r="L174" t="str">
            <v>حسين احمد حسين</v>
          </cell>
        </row>
        <row r="175">
          <cell r="K175">
            <v>512</v>
          </cell>
          <cell r="L175" t="str">
            <v>شريهان كمال شفيق حسب الله</v>
          </cell>
        </row>
        <row r="176">
          <cell r="K176">
            <v>530</v>
          </cell>
          <cell r="L176" t="str">
            <v xml:space="preserve">هند سيد السيد علي يونس </v>
          </cell>
        </row>
        <row r="177">
          <cell r="K177">
            <v>511</v>
          </cell>
          <cell r="L177" t="str">
            <v>ورد محمد احمد عبد الحميد شهده</v>
          </cell>
        </row>
        <row r="178">
          <cell r="K178">
            <v>495</v>
          </cell>
          <cell r="L178" t="str">
            <v>أسماء عبد المنعم غنيمي علي</v>
          </cell>
        </row>
        <row r="179">
          <cell r="K179">
            <v>529</v>
          </cell>
          <cell r="L179" t="str">
            <v xml:space="preserve">احمد سيد محمد ابوالخير سليمان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قاعدة بيانات  "/>
      <sheetName val="Report "/>
      <sheetName val="الخزينه "/>
      <sheetName val="خزينه السلف "/>
      <sheetName val="العهد "/>
      <sheetName val="فورى"/>
      <sheetName val="فوري "/>
      <sheetName val="بنك مصر  "/>
      <sheetName val="بنك كريدي "/>
      <sheetName val="الايرادات "/>
      <sheetName val="راس المال "/>
      <sheetName val="شيكات  "/>
      <sheetName val="Sheet1"/>
    </sheetNames>
    <sheetDataSet>
      <sheetData sheetId="0">
        <row r="2">
          <cell r="J2" t="str">
            <v>الكود</v>
          </cell>
          <cell r="K2" t="str">
            <v>اسم الموظف</v>
          </cell>
        </row>
        <row r="3">
          <cell r="J3">
            <v>1</v>
          </cell>
          <cell r="K3" t="str">
            <v>احمد شريف سليمان امين سليمان</v>
          </cell>
        </row>
        <row r="4">
          <cell r="J4">
            <v>2</v>
          </cell>
          <cell r="K4" t="str">
            <v>علاء محمد عوض جاد الله</v>
          </cell>
        </row>
        <row r="5">
          <cell r="J5">
            <v>4</v>
          </cell>
          <cell r="K5" t="str">
            <v>وليد عبد الكريم عبد العليم</v>
          </cell>
        </row>
        <row r="6">
          <cell r="J6">
            <v>5</v>
          </cell>
          <cell r="K6" t="str">
            <v>باسم صلاح عبد الله قوشتى</v>
          </cell>
        </row>
        <row r="7">
          <cell r="J7">
            <v>7</v>
          </cell>
          <cell r="K7" t="str">
            <v>حازم مجدى احمد عبد السميع</v>
          </cell>
        </row>
        <row r="8">
          <cell r="J8">
            <v>9</v>
          </cell>
          <cell r="K8" t="str">
            <v>عمرو عصام بدر الدين</v>
          </cell>
        </row>
        <row r="9">
          <cell r="J9">
            <v>19</v>
          </cell>
          <cell r="K9" t="str">
            <v>سحر اوسامة احمد محمد</v>
          </cell>
        </row>
        <row r="10">
          <cell r="J10">
            <v>20</v>
          </cell>
          <cell r="K10" t="str">
            <v>عبد العزيز صلاح عبد العزيز على حسن</v>
          </cell>
        </row>
        <row r="11">
          <cell r="J11">
            <v>25</v>
          </cell>
          <cell r="K11" t="str">
            <v>منى احمد طه احمد سعد</v>
          </cell>
        </row>
        <row r="12">
          <cell r="J12">
            <v>31</v>
          </cell>
          <cell r="K12" t="str">
            <v>محمود النادى أبو الحسن احمد</v>
          </cell>
        </row>
        <row r="13">
          <cell r="J13">
            <v>35</v>
          </cell>
          <cell r="K13" t="str">
            <v>رحمة مصطفى خلف الله</v>
          </cell>
        </row>
        <row r="14">
          <cell r="J14">
            <v>45</v>
          </cell>
          <cell r="K14" t="str">
            <v>محمد مجدى ربيع عبد الغنى جاد</v>
          </cell>
        </row>
        <row r="15">
          <cell r="J15">
            <v>53</v>
          </cell>
          <cell r="K15" t="str">
            <v>احمد الحفنى احمد الجمل</v>
          </cell>
        </row>
        <row r="16">
          <cell r="J16">
            <v>54</v>
          </cell>
          <cell r="K16" t="str">
            <v>رحاب عبد الهادى احمد بدوى</v>
          </cell>
        </row>
        <row r="17">
          <cell r="J17">
            <v>56</v>
          </cell>
          <cell r="K17" t="str">
            <v>احمد عبد اللطيف عبد الغنى عبد الحافظ</v>
          </cell>
        </row>
        <row r="18">
          <cell r="J18">
            <v>60</v>
          </cell>
          <cell r="K18" t="str">
            <v>مروة مصطفى على جاد</v>
          </cell>
        </row>
        <row r="19">
          <cell r="J19">
            <v>62</v>
          </cell>
          <cell r="K19" t="str">
            <v>محمد مجدى السيد عبد الدايم</v>
          </cell>
        </row>
        <row r="20">
          <cell r="J20">
            <v>64</v>
          </cell>
          <cell r="K20" t="str">
            <v>تريز سامى رزق شحاته</v>
          </cell>
        </row>
        <row r="21">
          <cell r="J21">
            <v>71</v>
          </cell>
          <cell r="K21" t="str">
            <v>ندى محمد سعد</v>
          </cell>
        </row>
        <row r="22">
          <cell r="J22">
            <v>75</v>
          </cell>
          <cell r="K22" t="str">
            <v>رحاب مصطفى محمد</v>
          </cell>
        </row>
        <row r="23">
          <cell r="J23">
            <v>80</v>
          </cell>
          <cell r="K23" t="str">
            <v>محمد سيد حسن محمود</v>
          </cell>
        </row>
        <row r="24">
          <cell r="J24">
            <v>83</v>
          </cell>
          <cell r="K24" t="str">
            <v>حبيبه احمد سلطان منصور عويس</v>
          </cell>
        </row>
        <row r="25">
          <cell r="J25">
            <v>97</v>
          </cell>
          <cell r="K25" t="str">
            <v>ندى محمد محمود عبد المقصود</v>
          </cell>
        </row>
        <row r="26">
          <cell r="J26">
            <v>115</v>
          </cell>
          <cell r="K26" t="str">
            <v>احمد عبد المقصود عبد الفضيل</v>
          </cell>
        </row>
        <row r="27">
          <cell r="J27">
            <v>120</v>
          </cell>
          <cell r="K27" t="str">
            <v>إبراهيم محمد عوض</v>
          </cell>
        </row>
        <row r="28">
          <cell r="J28">
            <v>124</v>
          </cell>
          <cell r="K28" t="str">
            <v>حامد احمد حامد احمد</v>
          </cell>
        </row>
        <row r="29">
          <cell r="J29">
            <v>127</v>
          </cell>
          <cell r="K29" t="str">
            <v>احمد عوض عباس عوض كشك</v>
          </cell>
        </row>
        <row r="30">
          <cell r="J30">
            <v>129</v>
          </cell>
          <cell r="K30" t="str">
            <v>نانسى يوسف عزيز يوسف</v>
          </cell>
        </row>
        <row r="31">
          <cell r="J31">
            <v>130</v>
          </cell>
          <cell r="K31" t="str">
            <v>عبد الرحمن عوض عباس عوض كشك</v>
          </cell>
        </row>
        <row r="32">
          <cell r="J32">
            <v>131</v>
          </cell>
          <cell r="K32" t="str">
            <v>امانى طارق إبراهيم عبد الحميد</v>
          </cell>
        </row>
        <row r="33">
          <cell r="J33">
            <v>133</v>
          </cell>
          <cell r="K33" t="str">
            <v>نادين عماد منصور محمد</v>
          </cell>
        </row>
        <row r="34">
          <cell r="J34">
            <v>134</v>
          </cell>
          <cell r="K34" t="str">
            <v>اميرة النادى النادى عوض رجب</v>
          </cell>
        </row>
        <row r="35">
          <cell r="J35">
            <v>136</v>
          </cell>
          <cell r="K35" t="str">
            <v>بهاء محمد السيد صالح أبو حسين</v>
          </cell>
        </row>
        <row r="36">
          <cell r="J36">
            <v>137</v>
          </cell>
          <cell r="K36" t="str">
            <v>محمد وفيق إبراهيم عبد المعطى</v>
          </cell>
        </row>
        <row r="37">
          <cell r="J37">
            <v>138</v>
          </cell>
          <cell r="K37" t="str">
            <v>احمد إبراهيم المرسى زايد</v>
          </cell>
        </row>
        <row r="38">
          <cell r="J38">
            <v>139</v>
          </cell>
          <cell r="K38" t="str">
            <v>إبراهيم توكل محمد حسن</v>
          </cell>
        </row>
        <row r="39">
          <cell r="J39">
            <v>148</v>
          </cell>
          <cell r="K39" t="str">
            <v>امال كمال عبد الله عبد الحليم</v>
          </cell>
        </row>
        <row r="40">
          <cell r="J40">
            <v>149</v>
          </cell>
          <cell r="K40" t="str">
            <v>احمد صابر عبد الله عطية نصر</v>
          </cell>
        </row>
        <row r="41">
          <cell r="J41">
            <v>150</v>
          </cell>
          <cell r="K41" t="str">
            <v>هدى حسن السيد على الضوى</v>
          </cell>
        </row>
        <row r="42">
          <cell r="J42">
            <v>151</v>
          </cell>
          <cell r="K42" t="str">
            <v xml:space="preserve">احمد عبد الباسط عبد السلام محمد </v>
          </cell>
        </row>
        <row r="43">
          <cell r="J43">
            <v>155</v>
          </cell>
          <cell r="K43" t="str">
            <v>خالد محمد عبد العظيم إسماعيل</v>
          </cell>
        </row>
        <row r="44">
          <cell r="J44">
            <v>162</v>
          </cell>
          <cell r="K44" t="str">
            <v>عمرو على سليم محمد السيد</v>
          </cell>
        </row>
        <row r="45">
          <cell r="J45">
            <v>166</v>
          </cell>
          <cell r="K45" t="str">
            <v>احمد سالم عبد العظيم محمد</v>
          </cell>
        </row>
        <row r="46">
          <cell r="J46">
            <v>169</v>
          </cell>
          <cell r="K46" t="str">
            <v>احمد ممدوح احمد عباس احمد</v>
          </cell>
        </row>
        <row r="47">
          <cell r="J47">
            <v>170</v>
          </cell>
          <cell r="K47" t="str">
            <v>فاطمة احمد إسماعيل</v>
          </cell>
        </row>
        <row r="48">
          <cell r="J48">
            <v>171</v>
          </cell>
          <cell r="K48" t="str">
            <v>فاطمة احمد سيد حجازى</v>
          </cell>
        </row>
        <row r="49">
          <cell r="J49">
            <v>177</v>
          </cell>
          <cell r="K49" t="str">
            <v>أسماء إبراهيم السيد عبد الله</v>
          </cell>
        </row>
        <row r="50">
          <cell r="J50">
            <v>185</v>
          </cell>
          <cell r="K50" t="str">
            <v>ياسمين السعيد السيد أبو قورة</v>
          </cell>
        </row>
        <row r="51">
          <cell r="J51">
            <v>187</v>
          </cell>
          <cell r="K51" t="str">
            <v>محمد سمير إبراهيم سيد احمد والى</v>
          </cell>
        </row>
        <row r="52">
          <cell r="J52">
            <v>193</v>
          </cell>
          <cell r="K52" t="str">
            <v>محمود مراد محمود فهمى أبو السعود</v>
          </cell>
        </row>
        <row r="53">
          <cell r="J53">
            <v>195</v>
          </cell>
          <cell r="K53" t="str">
            <v>سحر احمد حمدى احمد النجار</v>
          </cell>
        </row>
        <row r="54">
          <cell r="J54">
            <v>196</v>
          </cell>
          <cell r="K54" t="str">
            <v>محمد طارق عبد المجيد إبراهيم</v>
          </cell>
        </row>
        <row r="55">
          <cell r="J55">
            <v>197</v>
          </cell>
          <cell r="K55" t="str">
            <v xml:space="preserve">احمد مجدى بكر على </v>
          </cell>
        </row>
        <row r="56">
          <cell r="J56">
            <v>198</v>
          </cell>
          <cell r="K56" t="str">
            <v>صديق مروان صديق الوصيف</v>
          </cell>
        </row>
        <row r="57">
          <cell r="J57">
            <v>201</v>
          </cell>
          <cell r="K57" t="str">
            <v>حسام احمد عبد الفتاح حسين</v>
          </cell>
        </row>
        <row r="58">
          <cell r="J58">
            <v>203</v>
          </cell>
          <cell r="K58" t="str">
            <v>شروق صلاح احمد السمان</v>
          </cell>
        </row>
        <row r="59">
          <cell r="J59">
            <v>206</v>
          </cell>
          <cell r="K59" t="str">
            <v>كريم عبد المنعم عبد العزيز السيد</v>
          </cell>
        </row>
        <row r="60">
          <cell r="J60">
            <v>209</v>
          </cell>
          <cell r="K60" t="str">
            <v>ريم رضا سيد احمد إبراهيم المطراوى</v>
          </cell>
        </row>
        <row r="61">
          <cell r="J61">
            <v>214</v>
          </cell>
          <cell r="K61" t="str">
            <v>مصطفى خالد حامد خليل</v>
          </cell>
        </row>
        <row r="62">
          <cell r="J62">
            <v>215</v>
          </cell>
          <cell r="K62" t="str">
            <v>روان عادل محمد عبد الكريم</v>
          </cell>
        </row>
        <row r="63">
          <cell r="J63">
            <v>217</v>
          </cell>
          <cell r="K63" t="str">
            <v>صباح عبد المنعم عتريس حسن</v>
          </cell>
        </row>
        <row r="64">
          <cell r="J64">
            <v>219</v>
          </cell>
          <cell r="K64" t="str">
            <v>سارة محمد ممدوح مصطفى عبد اللطيف</v>
          </cell>
        </row>
        <row r="65">
          <cell r="J65">
            <v>220</v>
          </cell>
          <cell r="K65" t="str">
            <v>اية محمد احمد سيد احمد</v>
          </cell>
        </row>
        <row r="66">
          <cell r="J66">
            <v>221</v>
          </cell>
          <cell r="K66" t="str">
            <v>عمرو صابر إبراهيم سيد محمد</v>
          </cell>
        </row>
        <row r="67">
          <cell r="J67">
            <v>222</v>
          </cell>
          <cell r="K67" t="str">
            <v>مريم محمد على سيد خطاب</v>
          </cell>
        </row>
        <row r="68">
          <cell r="J68">
            <v>223</v>
          </cell>
          <cell r="K68" t="str">
            <v>هبة خلف محمد احمد</v>
          </cell>
        </row>
        <row r="69">
          <cell r="J69">
            <v>224</v>
          </cell>
          <cell r="K69" t="str">
            <v>إبراهيم محمود حسن السيد محفوظ</v>
          </cell>
        </row>
        <row r="70">
          <cell r="J70">
            <v>225</v>
          </cell>
          <cell r="K70" t="str">
            <v>شادى احمد محمد امين</v>
          </cell>
        </row>
        <row r="71">
          <cell r="J71">
            <v>226</v>
          </cell>
          <cell r="K71" t="str">
            <v>بسمة أسامة محمد عبد الصمد</v>
          </cell>
        </row>
        <row r="72">
          <cell r="J72">
            <v>227</v>
          </cell>
          <cell r="K72" t="str">
            <v>هدى حسين عبد الجواد عيد</v>
          </cell>
        </row>
        <row r="73">
          <cell r="J73">
            <v>228</v>
          </cell>
          <cell r="K73" t="str">
            <v>نسمة منصور عوض لطفى مصطفى</v>
          </cell>
        </row>
        <row r="74">
          <cell r="J74">
            <v>229</v>
          </cell>
          <cell r="K74" t="str">
            <v>سلمى عاطف احمد عبد العزيز</v>
          </cell>
        </row>
        <row r="75">
          <cell r="J75">
            <v>230</v>
          </cell>
          <cell r="K75" t="str">
            <v>هاجر صبحى عبد الغنى محمد إبراهيم</v>
          </cell>
        </row>
        <row r="76">
          <cell r="J76">
            <v>232</v>
          </cell>
          <cell r="K76" t="str">
            <v>نور خالد وجدى هاشم</v>
          </cell>
        </row>
        <row r="77">
          <cell r="J77">
            <v>233</v>
          </cell>
          <cell r="K77" t="str">
            <v>شيماء محمد عاشور سعد</v>
          </cell>
        </row>
        <row r="78">
          <cell r="J78">
            <v>234</v>
          </cell>
          <cell r="K78" t="str">
            <v>حازم عصام عبد الموجود إسماعيل</v>
          </cell>
        </row>
        <row r="79">
          <cell r="J79">
            <v>235</v>
          </cell>
          <cell r="K79" t="str">
            <v>أسماء رمضان رخا حسن</v>
          </cell>
        </row>
        <row r="80">
          <cell r="J80">
            <v>236</v>
          </cell>
          <cell r="K80" t="str">
            <v>إبراهيم محمود عثمان محمود</v>
          </cell>
        </row>
        <row r="81">
          <cell r="J81">
            <v>237</v>
          </cell>
          <cell r="K81" t="str">
            <v>احمد محمد مبروك حسين</v>
          </cell>
        </row>
        <row r="82">
          <cell r="J82">
            <v>238</v>
          </cell>
          <cell r="K82" t="str">
            <v xml:space="preserve">اشرف محمد محروس محمود </v>
          </cell>
        </row>
        <row r="83">
          <cell r="J83">
            <v>239</v>
          </cell>
          <cell r="K83" t="str">
            <v xml:space="preserve">يوسف كامل  عبد الله صبحى غنيم </v>
          </cell>
        </row>
        <row r="84">
          <cell r="J84">
            <v>240</v>
          </cell>
          <cell r="K84" t="str">
            <v xml:space="preserve">محمد عزت محمد رشاد </v>
          </cell>
        </row>
        <row r="85">
          <cell r="J85">
            <v>241</v>
          </cell>
          <cell r="K85" t="str">
            <v>كريم محمود فهمى عبد الصادق احمد</v>
          </cell>
        </row>
        <row r="86">
          <cell r="J86">
            <v>242</v>
          </cell>
          <cell r="K86" t="str">
            <v xml:space="preserve">محمد احمد محمد احمد </v>
          </cell>
        </row>
        <row r="87">
          <cell r="J87">
            <v>246</v>
          </cell>
          <cell r="K87" t="str">
            <v xml:space="preserve">محمد محمود عبدالحليم  محمد </v>
          </cell>
        </row>
        <row r="88">
          <cell r="J88">
            <v>333</v>
          </cell>
          <cell r="K88" t="str">
            <v>مصطفى جميل عبد الفتاح</v>
          </cell>
        </row>
        <row r="89">
          <cell r="J89">
            <v>555</v>
          </cell>
          <cell r="K89" t="str">
            <v>عبد المنعم مجدى عبد ربه</v>
          </cell>
        </row>
        <row r="90">
          <cell r="J90">
            <v>2222</v>
          </cell>
          <cell r="K90" t="str">
            <v>امل صبرى</v>
          </cell>
        </row>
        <row r="93">
          <cell r="J93">
            <v>255</v>
          </cell>
          <cell r="K93" t="str">
            <v>هيثم فاروق إبراهيم</v>
          </cell>
        </row>
        <row r="94">
          <cell r="J94">
            <v>172</v>
          </cell>
          <cell r="K94" t="str">
            <v>احمد جمال شحاته</v>
          </cell>
        </row>
        <row r="95">
          <cell r="J95">
            <v>275</v>
          </cell>
          <cell r="K95" t="str">
            <v>خالد عبد الناصر محمد</v>
          </cell>
        </row>
        <row r="96">
          <cell r="J96">
            <v>276</v>
          </cell>
          <cell r="K96" t="str">
            <v>مصطفي محمود محمد</v>
          </cell>
        </row>
        <row r="97">
          <cell r="J97">
            <v>289</v>
          </cell>
          <cell r="K97" t="str">
            <v>صبري عبد الهادي عبد الهادي</v>
          </cell>
        </row>
        <row r="98">
          <cell r="J98">
            <v>287</v>
          </cell>
          <cell r="K98" t="str">
            <v>احمد إيهاب محمد</v>
          </cell>
        </row>
        <row r="99">
          <cell r="J99">
            <v>53</v>
          </cell>
          <cell r="K99" t="str">
            <v>احمد الحفنى احمد الجمل</v>
          </cell>
        </row>
        <row r="100">
          <cell r="J100">
            <v>294</v>
          </cell>
          <cell r="K100" t="str">
            <v>باسم ناجي سعد</v>
          </cell>
        </row>
        <row r="101">
          <cell r="J101">
            <v>302</v>
          </cell>
          <cell r="K101" t="str">
            <v>مي سيد إبراهيم</v>
          </cell>
        </row>
        <row r="102">
          <cell r="J102">
            <v>303</v>
          </cell>
          <cell r="K102" t="str">
            <v>رشا محمود مصطقي</v>
          </cell>
        </row>
        <row r="103">
          <cell r="J103">
            <v>306</v>
          </cell>
          <cell r="K103" t="str">
            <v>منه الله مرتضي</v>
          </cell>
        </row>
        <row r="104">
          <cell r="J104">
            <v>312</v>
          </cell>
          <cell r="K104" t="str">
            <v>نيره محمد يوسف</v>
          </cell>
        </row>
        <row r="105">
          <cell r="J105">
            <v>314</v>
          </cell>
          <cell r="K105" t="str">
            <v>نسرين عيد محمد</v>
          </cell>
        </row>
        <row r="106">
          <cell r="J106">
            <v>317</v>
          </cell>
          <cell r="K106" t="str">
            <v>مينا محب شلبي</v>
          </cell>
        </row>
        <row r="107">
          <cell r="J107">
            <v>318</v>
          </cell>
          <cell r="K107" t="str">
            <v>احمد مصطفي كامل</v>
          </cell>
        </row>
        <row r="108">
          <cell r="K108" t="str">
            <v>منار محمد احمد</v>
          </cell>
        </row>
        <row r="109">
          <cell r="J109">
            <v>324</v>
          </cell>
          <cell r="K109" t="str">
            <v>شوقيه محمد عثمان</v>
          </cell>
        </row>
        <row r="110">
          <cell r="J110">
            <v>329</v>
          </cell>
          <cell r="K110" t="str">
            <v>محمد رضا محمد سليمان</v>
          </cell>
        </row>
        <row r="111">
          <cell r="J111">
            <v>337</v>
          </cell>
          <cell r="K111" t="str">
            <v>ندي جمال محمد محمد زاهر</v>
          </cell>
        </row>
        <row r="112">
          <cell r="J112">
            <v>342</v>
          </cell>
          <cell r="K112" t="str">
            <v>هدير محمد علي</v>
          </cell>
        </row>
        <row r="113">
          <cell r="J113">
            <v>343</v>
          </cell>
          <cell r="K113" t="str">
            <v>احمد حسين محمد</v>
          </cell>
        </row>
        <row r="114">
          <cell r="J114">
            <v>345</v>
          </cell>
          <cell r="K114" t="str">
            <v>دعاء محمد عثمان</v>
          </cell>
        </row>
        <row r="115">
          <cell r="J115">
            <v>351</v>
          </cell>
          <cell r="K115" t="str">
            <v>محمد عبد الجابر محمود</v>
          </cell>
        </row>
        <row r="116">
          <cell r="J116">
            <v>356</v>
          </cell>
          <cell r="K116" t="str">
            <v>عبدالله عماد محمد</v>
          </cell>
        </row>
        <row r="117">
          <cell r="J117">
            <v>358</v>
          </cell>
          <cell r="K117" t="str">
            <v>ايمان العربي علي العربي راشده</v>
          </cell>
        </row>
        <row r="118">
          <cell r="J118">
            <v>360</v>
          </cell>
          <cell r="K118" t="str">
            <v>حسام حسن إبراهيم الجندي</v>
          </cell>
        </row>
        <row r="119">
          <cell r="J119">
            <v>363</v>
          </cell>
          <cell r="K119" t="str">
            <v>روان طارق إسماعيل</v>
          </cell>
        </row>
        <row r="120">
          <cell r="J120">
            <v>367</v>
          </cell>
          <cell r="K120" t="str">
            <v>عبد الرحمن يسري عبد المنعم</v>
          </cell>
        </row>
        <row r="121">
          <cell r="J121">
            <v>369</v>
          </cell>
          <cell r="K121" t="str">
            <v>تسنيم ماهر محمد</v>
          </cell>
        </row>
        <row r="122">
          <cell r="J122">
            <v>382</v>
          </cell>
          <cell r="K122" t="str">
            <v>احمد عادل إبراهيم الذكي</v>
          </cell>
        </row>
        <row r="123">
          <cell r="J123">
            <v>383</v>
          </cell>
          <cell r="K123" t="str">
            <v>ايه حمدي رجب علي</v>
          </cell>
        </row>
        <row r="124">
          <cell r="J124">
            <v>385</v>
          </cell>
          <cell r="K124" t="str">
            <v>وائل السيد إبراهيم</v>
          </cell>
        </row>
        <row r="125">
          <cell r="J125">
            <v>384</v>
          </cell>
          <cell r="K125" t="str">
            <v>صلاح الدين محمد</v>
          </cell>
        </row>
        <row r="126">
          <cell r="J126">
            <v>392</v>
          </cell>
          <cell r="K126" t="str">
            <v>حبيبه امرالله يوسف</v>
          </cell>
        </row>
        <row r="127">
          <cell r="J127">
            <v>393</v>
          </cell>
          <cell r="K127" t="str">
            <v>اميره يسري عبد اللطيف</v>
          </cell>
        </row>
        <row r="128">
          <cell r="J128">
            <v>394</v>
          </cell>
          <cell r="K128" t="str">
            <v>كمال محمود كمال جزر</v>
          </cell>
        </row>
        <row r="129">
          <cell r="J129">
            <v>401</v>
          </cell>
          <cell r="K129" t="str">
            <v>سامح ماجد الهجرسي</v>
          </cell>
        </row>
        <row r="130">
          <cell r="J130">
            <v>402</v>
          </cell>
          <cell r="K130" t="str">
            <v xml:space="preserve">ياسر عبد الحكيم حمزه </v>
          </cell>
        </row>
        <row r="131">
          <cell r="J131">
            <v>414</v>
          </cell>
          <cell r="K131" t="str">
            <v>احمد سمير الجمل</v>
          </cell>
        </row>
        <row r="132">
          <cell r="J132">
            <v>415</v>
          </cell>
          <cell r="K132" t="str">
            <v>محمود إبراهيم حسيب كرم</v>
          </cell>
        </row>
        <row r="133">
          <cell r="J133">
            <v>416</v>
          </cell>
          <cell r="K133" t="str">
            <v>هاني جمعه علي</v>
          </cell>
        </row>
        <row r="134">
          <cell r="J134">
            <v>418</v>
          </cell>
          <cell r="K134" t="str">
            <v>احمد حمدي</v>
          </cell>
        </row>
        <row r="135">
          <cell r="J135">
            <v>426</v>
          </cell>
          <cell r="K135" t="str">
            <v xml:space="preserve">هدير رمضان مصطفي عبد العال </v>
          </cell>
        </row>
        <row r="136">
          <cell r="J136">
            <v>425</v>
          </cell>
          <cell r="K136" t="str">
            <v xml:space="preserve">احمد رزق طاهر أبو الفتوح </v>
          </cell>
        </row>
        <row r="137">
          <cell r="J137">
            <v>427</v>
          </cell>
          <cell r="K137" t="str">
            <v xml:space="preserve">احمد محمد حلمي الخضري </v>
          </cell>
        </row>
        <row r="138">
          <cell r="J138">
            <v>429</v>
          </cell>
          <cell r="K138" t="str">
            <v xml:space="preserve">أسماء محمود رجب عبدالحميد </v>
          </cell>
        </row>
        <row r="139">
          <cell r="J139">
            <v>433</v>
          </cell>
          <cell r="K139" t="str">
            <v xml:space="preserve">بسنت عوض محمد شعبان محمد </v>
          </cell>
        </row>
        <row r="140">
          <cell r="J140">
            <v>435</v>
          </cell>
          <cell r="K140" t="str">
            <v xml:space="preserve">شروق سامح محمد عبدالمنعم </v>
          </cell>
        </row>
        <row r="141">
          <cell r="J141">
            <v>436</v>
          </cell>
          <cell r="K141" t="str">
            <v xml:space="preserve">ياسين  عبدالله عرمان  </v>
          </cell>
        </row>
        <row r="142">
          <cell r="J142">
            <v>446</v>
          </cell>
          <cell r="K142" t="str">
            <v xml:space="preserve">السعيد أحمد محمد </v>
          </cell>
        </row>
        <row r="143">
          <cell r="J143">
            <v>452</v>
          </cell>
          <cell r="K143" t="str">
            <v xml:space="preserve">ايه عبدالمؤمن الشربيني </v>
          </cell>
        </row>
        <row r="144">
          <cell r="J144" t="str">
            <v>عقود انتاج</v>
          </cell>
          <cell r="K144" t="str">
            <v xml:space="preserve">جني عبدالسلام ممدوح </v>
          </cell>
        </row>
        <row r="145">
          <cell r="J145">
            <v>462</v>
          </cell>
          <cell r="K145" t="str">
            <v xml:space="preserve">رنيم إبراهيم احمد </v>
          </cell>
        </row>
        <row r="146">
          <cell r="J146">
            <v>467</v>
          </cell>
          <cell r="K146" t="str">
            <v xml:space="preserve">مي علاء السيد محمد غريب </v>
          </cell>
        </row>
        <row r="147">
          <cell r="J147">
            <v>466</v>
          </cell>
          <cell r="K147" t="str">
            <v xml:space="preserve">فاطمة محمود سلامه </v>
          </cell>
        </row>
        <row r="148">
          <cell r="J148">
            <v>469</v>
          </cell>
          <cell r="K148" t="str">
            <v xml:space="preserve">ياسمين كمال محمد شوقي </v>
          </cell>
        </row>
        <row r="149">
          <cell r="J149">
            <v>478</v>
          </cell>
          <cell r="K149" t="str">
            <v xml:space="preserve">محمد السيد محمد الدسوقي </v>
          </cell>
        </row>
        <row r="150">
          <cell r="J150">
            <v>480</v>
          </cell>
          <cell r="K150" t="str">
            <v xml:space="preserve">شيماء محمد محمد إبراهيم </v>
          </cell>
        </row>
        <row r="151">
          <cell r="J151">
            <v>484</v>
          </cell>
          <cell r="K151" t="str">
            <v xml:space="preserve">ايمان رمضان السعيد </v>
          </cell>
        </row>
        <row r="152">
          <cell r="J152">
            <v>494</v>
          </cell>
          <cell r="K152" t="str">
            <v xml:space="preserve">محمود عبدالمنعم محمد إبراهيم </v>
          </cell>
        </row>
        <row r="153">
          <cell r="J153">
            <v>498</v>
          </cell>
          <cell r="K153" t="str">
            <v xml:space="preserve">ياسمين وائل صلاح </v>
          </cell>
        </row>
        <row r="154">
          <cell r="J154">
            <v>500</v>
          </cell>
          <cell r="K154" t="str">
            <v xml:space="preserve">هايدي هشام السيد امام </v>
          </cell>
        </row>
        <row r="155">
          <cell r="J155">
            <v>502</v>
          </cell>
          <cell r="K155" t="str">
            <v xml:space="preserve">رحاب عثمان محمود </v>
          </cell>
        </row>
        <row r="156">
          <cell r="J156">
            <v>503</v>
          </cell>
          <cell r="K156" t="str">
            <v xml:space="preserve">اسلام احمد محمود </v>
          </cell>
        </row>
        <row r="157">
          <cell r="J157">
            <v>505</v>
          </cell>
          <cell r="K157" t="str">
            <v xml:space="preserve">لميس خالد محمد </v>
          </cell>
        </row>
        <row r="158">
          <cell r="J158">
            <v>507</v>
          </cell>
          <cell r="K158" t="str">
            <v xml:space="preserve">محمد حسن علي عباس </v>
          </cell>
        </row>
        <row r="159">
          <cell r="J159">
            <v>509</v>
          </cell>
          <cell r="K159" t="str">
            <v xml:space="preserve">كريم اشرف فاروق </v>
          </cell>
        </row>
        <row r="160">
          <cell r="J160">
            <v>521</v>
          </cell>
          <cell r="K160" t="str">
            <v>تغريد احمد سعد محمود</v>
          </cell>
        </row>
        <row r="161">
          <cell r="J161">
            <v>522</v>
          </cell>
          <cell r="K161" t="str">
            <v xml:space="preserve">محمد طلال محمد المعصراوي </v>
          </cell>
        </row>
        <row r="162">
          <cell r="J162">
            <v>523</v>
          </cell>
          <cell r="K162" t="str">
            <v xml:space="preserve">عفاف إبراهيم محمد عبدالمجيد </v>
          </cell>
        </row>
        <row r="163">
          <cell r="J163">
            <v>532</v>
          </cell>
          <cell r="K163" t="str">
            <v xml:space="preserve">ندي نبيل محمد عبدالسلام </v>
          </cell>
        </row>
        <row r="164">
          <cell r="J164">
            <v>533</v>
          </cell>
          <cell r="K164" t="str">
            <v xml:space="preserve">امل زيدان فرج خيري </v>
          </cell>
        </row>
        <row r="165">
          <cell r="J165">
            <v>522</v>
          </cell>
          <cell r="K165" t="str">
            <v xml:space="preserve">ايمان محمد هلال </v>
          </cell>
        </row>
        <row r="166">
          <cell r="J166">
            <v>536</v>
          </cell>
          <cell r="K166" t="str">
            <v xml:space="preserve">امل حلمي مسعد فهيد </v>
          </cell>
        </row>
        <row r="167">
          <cell r="J167">
            <v>541</v>
          </cell>
          <cell r="K167" t="str">
            <v xml:space="preserve">شيماء السيد السيد شلبي </v>
          </cell>
        </row>
        <row r="168">
          <cell r="J168">
            <v>128</v>
          </cell>
          <cell r="K168" t="str">
            <v xml:space="preserve">محمد احمد مرسي خليل </v>
          </cell>
        </row>
        <row r="169">
          <cell r="J169">
            <v>548</v>
          </cell>
          <cell r="K169" t="str">
            <v xml:space="preserve">مازن احمد عبدالحليم عبدالحميد </v>
          </cell>
        </row>
        <row r="170">
          <cell r="J170">
            <v>550</v>
          </cell>
          <cell r="K170" t="str">
            <v xml:space="preserve">اريج خالد العوضي </v>
          </cell>
        </row>
        <row r="171">
          <cell r="J171">
            <v>551</v>
          </cell>
          <cell r="K171" t="str">
            <v xml:space="preserve">عاطف السيد شحاته </v>
          </cell>
        </row>
        <row r="172">
          <cell r="J172">
            <v>552</v>
          </cell>
          <cell r="K172" t="str">
            <v xml:space="preserve">صافيناز عبدالقادر علام </v>
          </cell>
        </row>
        <row r="173">
          <cell r="J173">
            <v>554</v>
          </cell>
          <cell r="K173" t="str">
            <v xml:space="preserve">نيرة عادل محمد حسين </v>
          </cell>
        </row>
        <row r="174">
          <cell r="J174">
            <v>141</v>
          </cell>
          <cell r="K174" t="str">
            <v xml:space="preserve">محمد جمال شحاته </v>
          </cell>
        </row>
        <row r="175">
          <cell r="J175">
            <v>559</v>
          </cell>
          <cell r="K175" t="str">
            <v xml:space="preserve">كريمة خليل محمد خليل </v>
          </cell>
        </row>
        <row r="176">
          <cell r="J176">
            <v>562</v>
          </cell>
          <cell r="K176" t="str">
            <v xml:space="preserve">عبدالله جابر عبدالمجيد </v>
          </cell>
        </row>
        <row r="177">
          <cell r="J177">
            <v>563</v>
          </cell>
          <cell r="K177" t="str">
            <v xml:space="preserve">رقية إبراهيم كمال  محرم </v>
          </cell>
        </row>
        <row r="178">
          <cell r="J178">
            <v>565</v>
          </cell>
          <cell r="K178" t="str">
            <v xml:space="preserve">سلمي هلال محمود </v>
          </cell>
        </row>
        <row r="179">
          <cell r="J179">
            <v>580</v>
          </cell>
          <cell r="K179" t="str">
            <v xml:space="preserve">عمر حسن إسماعيل </v>
          </cell>
        </row>
        <row r="180">
          <cell r="J180">
            <v>585</v>
          </cell>
          <cell r="K180" t="str">
            <v xml:space="preserve">ندا ايسم  محمد محمد البشير </v>
          </cell>
        </row>
        <row r="181">
          <cell r="J181">
            <v>586</v>
          </cell>
          <cell r="K181" t="str">
            <v xml:space="preserve">كريم محمود محمد عبدالعزيز </v>
          </cell>
        </row>
        <row r="182">
          <cell r="J182">
            <v>597</v>
          </cell>
          <cell r="K182" t="str">
            <v xml:space="preserve">إيهاب هارون عبدالرازق </v>
          </cell>
        </row>
        <row r="183">
          <cell r="J183">
            <v>599</v>
          </cell>
          <cell r="K183" t="str">
            <v xml:space="preserve">رشا إبراهيم حافظ </v>
          </cell>
        </row>
        <row r="184">
          <cell r="J184">
            <v>600</v>
          </cell>
          <cell r="K184" t="str">
            <v xml:space="preserve">زينب خيري محمد سالم </v>
          </cell>
        </row>
        <row r="185">
          <cell r="J185">
            <v>603</v>
          </cell>
          <cell r="K185" t="str">
            <v xml:space="preserve">السيد محمد السيد بدوي </v>
          </cell>
        </row>
        <row r="186">
          <cell r="J186">
            <v>605</v>
          </cell>
          <cell r="K186" t="str">
            <v xml:space="preserve">عبدالمنعم عبدالمنعم سعد معوض </v>
          </cell>
        </row>
        <row r="187">
          <cell r="J187">
            <v>606</v>
          </cell>
          <cell r="K187" t="str">
            <v xml:space="preserve">فارس عبدالمنعم عبدالمنعم </v>
          </cell>
        </row>
        <row r="188">
          <cell r="J188">
            <v>607</v>
          </cell>
          <cell r="K188" t="str">
            <v xml:space="preserve">احمد محمد علي جاد </v>
          </cell>
        </row>
        <row r="189">
          <cell r="J189">
            <v>610</v>
          </cell>
          <cell r="K189" t="str">
            <v xml:space="preserve">هدي محمد السيد إبراهيم </v>
          </cell>
        </row>
        <row r="190">
          <cell r="J190">
            <v>613</v>
          </cell>
          <cell r="K190" t="str">
            <v xml:space="preserve">محمد عبدالله منتصر </v>
          </cell>
        </row>
        <row r="191">
          <cell r="J191">
            <v>626</v>
          </cell>
          <cell r="K191" t="str">
            <v xml:space="preserve">محمود رزق صابر محمد </v>
          </cell>
        </row>
        <row r="192">
          <cell r="J192">
            <v>629</v>
          </cell>
          <cell r="K192" t="str">
            <v xml:space="preserve">فاتن عبده مصطفي </v>
          </cell>
        </row>
        <row r="193">
          <cell r="J193">
            <v>630</v>
          </cell>
          <cell r="K193" t="str">
            <v xml:space="preserve">احمد السيد علي عبدالقادر </v>
          </cell>
        </row>
        <row r="194">
          <cell r="J194">
            <v>640</v>
          </cell>
          <cell r="K194" t="str">
            <v xml:space="preserve">سامح السيد عارف إبراهيم </v>
          </cell>
        </row>
        <row r="195">
          <cell r="J195">
            <v>641</v>
          </cell>
          <cell r="K195" t="str">
            <v xml:space="preserve">مي إبراهيم عبدالشافي السعداوي </v>
          </cell>
        </row>
        <row r="196">
          <cell r="J196">
            <v>647</v>
          </cell>
          <cell r="K196" t="str">
            <v xml:space="preserve">سهام سعد متولي </v>
          </cell>
        </row>
        <row r="197">
          <cell r="J197">
            <v>653</v>
          </cell>
          <cell r="K197" t="str">
            <v xml:space="preserve">محمد محمد مسعد النيلي </v>
          </cell>
        </row>
        <row r="198">
          <cell r="J198">
            <v>660</v>
          </cell>
          <cell r="K198" t="str">
            <v xml:space="preserve">عصام محمد حسين يوسف </v>
          </cell>
        </row>
        <row r="199">
          <cell r="J199">
            <v>659</v>
          </cell>
          <cell r="K199" t="str">
            <v xml:space="preserve">هناء السيد السيد رضوان </v>
          </cell>
        </row>
        <row r="200">
          <cell r="J200">
            <v>661</v>
          </cell>
          <cell r="K200" t="str">
            <v xml:space="preserve">ايمان المرشدي حسنين منتصر </v>
          </cell>
        </row>
        <row r="201">
          <cell r="J201">
            <v>662</v>
          </cell>
          <cell r="K201" t="str">
            <v xml:space="preserve">محمد ربيع محمد إسماعيل </v>
          </cell>
        </row>
        <row r="202">
          <cell r="J202">
            <v>668</v>
          </cell>
          <cell r="K202" t="str">
            <v xml:space="preserve">سما محمد المتولي عبده </v>
          </cell>
        </row>
        <row r="203">
          <cell r="J203">
            <v>671</v>
          </cell>
          <cell r="K203" t="str">
            <v xml:space="preserve">هبه صلاح محمدعبدالسلام </v>
          </cell>
        </row>
        <row r="204">
          <cell r="J204">
            <v>672</v>
          </cell>
          <cell r="K204" t="str">
            <v xml:space="preserve">احمد عوض محمد السيد جلال </v>
          </cell>
        </row>
        <row r="205">
          <cell r="J205">
            <v>673</v>
          </cell>
          <cell r="K205" t="str">
            <v xml:space="preserve">الاء محمد المتولي عبده </v>
          </cell>
        </row>
        <row r="206">
          <cell r="J206">
            <v>683</v>
          </cell>
          <cell r="K206" t="str">
            <v xml:space="preserve">اسلام مصطفي صادق </v>
          </cell>
        </row>
        <row r="207">
          <cell r="J207">
            <v>685</v>
          </cell>
          <cell r="K207" t="str">
            <v xml:space="preserve">تسنيم فتحي السيد الغازي </v>
          </cell>
        </row>
        <row r="208">
          <cell r="J208">
            <v>686</v>
          </cell>
          <cell r="K208" t="str">
            <v xml:space="preserve">سالي محمد محمد حسن بدوي </v>
          </cell>
        </row>
        <row r="209">
          <cell r="J209">
            <v>688</v>
          </cell>
          <cell r="K209" t="str">
            <v xml:space="preserve">مني محمد عبدالحميد </v>
          </cell>
        </row>
      </sheetData>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قاعدة بيانات  "/>
      <sheetName val="تحليلات 2024"/>
      <sheetName val="Report "/>
      <sheetName val="الايرادات "/>
      <sheetName val="الخزينه "/>
      <sheetName val="خزينه السلف "/>
      <sheetName val="العهد "/>
      <sheetName val="فورى"/>
      <sheetName val="فوري "/>
      <sheetName val="امان"/>
      <sheetName val="فودافون كاش"/>
      <sheetName val="انستا باى"/>
      <sheetName val="اتصالات كاش"/>
      <sheetName val="بنك مصر  "/>
      <sheetName val="بنك كريدي "/>
      <sheetName val="اجمالى راس المال"/>
      <sheetName val="بنك مصر  المنصورة"/>
      <sheetName val="راس المال "/>
      <sheetName val="توزيعات الارباح"/>
      <sheetName val="شيكات  "/>
      <sheetName val="2025مصروفات قيمة .."/>
    </sheetNames>
    <sheetDataSet>
      <sheetData sheetId="0" refreshError="1">
        <row r="2">
          <cell r="K2" t="str">
            <v>الكود</v>
          </cell>
          <cell r="L2" t="str">
            <v>اسم الموظف</v>
          </cell>
          <cell r="M2" t="str">
            <v xml:space="preserve">رقم البطاقه </v>
          </cell>
          <cell r="N2" t="str">
            <v xml:space="preserve">الوظيفه </v>
          </cell>
          <cell r="O2" t="str">
            <v xml:space="preserve">الاداره </v>
          </cell>
          <cell r="P2" t="str">
            <v xml:space="preserve">القسم </v>
          </cell>
          <cell r="Q2" t="str">
            <v xml:space="preserve">الفرع </v>
          </cell>
        </row>
        <row r="3">
          <cell r="K3">
            <v>88888888</v>
          </cell>
          <cell r="L3" t="str">
            <v>زينب عبد الكريم عبد العليم الحفناوى</v>
          </cell>
          <cell r="M3">
            <v>2908180100628</v>
          </cell>
          <cell r="N3" t="str">
            <v>وكيل تحصيل هاتفى</v>
          </cell>
          <cell r="O3" t="str">
            <v>مانى فيللوز</v>
          </cell>
          <cell r="P3" t="str">
            <v>التحصيل</v>
          </cell>
          <cell r="Q3" t="str">
            <v>القاهرة</v>
          </cell>
        </row>
        <row r="4">
          <cell r="K4">
            <v>8</v>
          </cell>
          <cell r="L4" t="str">
            <v>امل صبرى</v>
          </cell>
          <cell r="M4">
            <v>2908180100628</v>
          </cell>
          <cell r="N4" t="str">
            <v>وكيل تحصيل هاتفى</v>
          </cell>
          <cell r="O4" t="str">
            <v>ميد تقسيط - ماني فيللوز</v>
          </cell>
          <cell r="P4" t="str">
            <v>التحصيل</v>
          </cell>
          <cell r="Q4" t="str">
            <v>المنصورة</v>
          </cell>
        </row>
        <row r="5">
          <cell r="K5">
            <v>1</v>
          </cell>
          <cell r="L5" t="str">
            <v>احمد شريف سليمان امين سليمان</v>
          </cell>
          <cell r="M5">
            <v>29903040101135</v>
          </cell>
          <cell r="N5" t="str">
            <v>نائب كبير مشرفى تحصيل</v>
          </cell>
          <cell r="O5" t="str">
            <v>متعدد</v>
          </cell>
          <cell r="P5" t="str">
            <v>التحصيل</v>
          </cell>
          <cell r="Q5" t="str">
            <v>القاهرة</v>
          </cell>
        </row>
        <row r="6">
          <cell r="K6">
            <v>2</v>
          </cell>
          <cell r="L6" t="str">
            <v>علاء محمد عوض جاد الله</v>
          </cell>
          <cell r="M6">
            <v>28602012105474</v>
          </cell>
          <cell r="N6" t="str">
            <v>مدير  تحصيل</v>
          </cell>
          <cell r="O6" t="str">
            <v>التحصيل</v>
          </cell>
          <cell r="P6" t="str">
            <v>التحصيل</v>
          </cell>
          <cell r="Q6" t="str">
            <v>المنصورة</v>
          </cell>
        </row>
        <row r="7">
          <cell r="K7">
            <v>4</v>
          </cell>
          <cell r="L7" t="str">
            <v>وليد عبد الكريم عبد العليم</v>
          </cell>
          <cell r="M7">
            <v>28808250100593</v>
          </cell>
          <cell r="N7" t="str">
            <v>مدير  تحصيل</v>
          </cell>
          <cell r="O7" t="str">
            <v>التحصيل</v>
          </cell>
          <cell r="P7" t="str">
            <v>التحصيل</v>
          </cell>
          <cell r="Q7" t="str">
            <v>القاهرة</v>
          </cell>
        </row>
        <row r="8">
          <cell r="K8">
            <v>5</v>
          </cell>
          <cell r="L8" t="str">
            <v>باسم صلاح عبد الله قوشتى</v>
          </cell>
          <cell r="M8">
            <v>28303120101712</v>
          </cell>
          <cell r="N8" t="str">
            <v>المستشار القانوني</v>
          </cell>
          <cell r="O8" t="str">
            <v>الشئون القانونية</v>
          </cell>
          <cell r="P8" t="str">
            <v>الادارى</v>
          </cell>
          <cell r="Q8" t="str">
            <v>القاهرة</v>
          </cell>
        </row>
        <row r="9">
          <cell r="K9">
            <v>9</v>
          </cell>
          <cell r="L9" t="str">
            <v>عمرو عصام بدر الدين زكي</v>
          </cell>
          <cell r="M9">
            <v>29808080106196</v>
          </cell>
          <cell r="N9" t="str">
            <v>نائب مدير الإدارة القانونية</v>
          </cell>
          <cell r="O9" t="str">
            <v>الشئون القانونية</v>
          </cell>
          <cell r="P9" t="str">
            <v>الادارى</v>
          </cell>
          <cell r="Q9" t="str">
            <v>القاهرة</v>
          </cell>
        </row>
        <row r="10">
          <cell r="K10">
            <v>10</v>
          </cell>
          <cell r="L10" t="str">
            <v>عبد المنعم مجدى عبدربه محمد هلهل</v>
          </cell>
          <cell r="M10">
            <v>28609291403433</v>
          </cell>
          <cell r="N10" t="str">
            <v>المدير العام</v>
          </cell>
          <cell r="O10" t="str">
            <v>التحصيل</v>
          </cell>
          <cell r="P10" t="str">
            <v>التحصيل</v>
          </cell>
          <cell r="Q10" t="str">
            <v>القاهرة</v>
          </cell>
        </row>
        <row r="11">
          <cell r="K11">
            <v>19</v>
          </cell>
          <cell r="L11" t="str">
            <v>سحر اوسامة احمد محمد</v>
          </cell>
          <cell r="M11">
            <v>29611110104501</v>
          </cell>
          <cell r="N11" t="str">
            <v>مشرف تحصيل</v>
          </cell>
          <cell r="O11" t="str">
            <v>شركة فاليو</v>
          </cell>
          <cell r="P11" t="str">
            <v>التحصيل</v>
          </cell>
          <cell r="Q11" t="str">
            <v>القاهرة</v>
          </cell>
        </row>
        <row r="12">
          <cell r="K12">
            <v>20</v>
          </cell>
          <cell r="L12" t="str">
            <v>عبد العزيز صلاح عبد العزيز على حسن</v>
          </cell>
          <cell r="M12">
            <v>29703150100399</v>
          </cell>
          <cell r="N12" t="str">
            <v>مشرف قضائى</v>
          </cell>
          <cell r="O12" t="str">
            <v>الشئون القانونية</v>
          </cell>
          <cell r="P12" t="str">
            <v>الادارى</v>
          </cell>
          <cell r="Q12" t="str">
            <v>القاهرة</v>
          </cell>
        </row>
        <row r="13">
          <cell r="K13">
            <v>25</v>
          </cell>
          <cell r="L13" t="str">
            <v>منى احمد طه احمد سعد</v>
          </cell>
          <cell r="M13">
            <v>27312250101345</v>
          </cell>
          <cell r="N13" t="str">
            <v>خدمات معاونة</v>
          </cell>
          <cell r="O13" t="str">
            <v>الخدمات المعاونة</v>
          </cell>
          <cell r="P13" t="str">
            <v>الادارى</v>
          </cell>
          <cell r="Q13" t="str">
            <v>القاهرة</v>
          </cell>
        </row>
        <row r="14">
          <cell r="K14">
            <v>31</v>
          </cell>
          <cell r="L14" t="str">
            <v>محمود النادى أبو الحسن احمد</v>
          </cell>
          <cell r="M14">
            <v>28504108800236</v>
          </cell>
          <cell r="N14" t="str">
            <v>كبير مشرفى تحصيل</v>
          </cell>
          <cell r="O14" t="str">
            <v>بنك الإسكندرية / شركة سهولة</v>
          </cell>
          <cell r="P14" t="str">
            <v>التحصيل</v>
          </cell>
          <cell r="Q14" t="str">
            <v>القاهرة</v>
          </cell>
        </row>
        <row r="15">
          <cell r="K15">
            <v>35</v>
          </cell>
          <cell r="L15" t="str">
            <v>رحمة مصطفى خلف الله حسانين</v>
          </cell>
          <cell r="M15">
            <v>30111210101161</v>
          </cell>
          <cell r="N15" t="str">
            <v>منسق بيانات</v>
          </cell>
          <cell r="O15" t="str">
            <v>منسقى البيانات</v>
          </cell>
          <cell r="P15" t="str">
            <v>الادارى</v>
          </cell>
          <cell r="Q15" t="str">
            <v>القاهرة</v>
          </cell>
        </row>
        <row r="16">
          <cell r="K16">
            <v>45</v>
          </cell>
          <cell r="L16" t="str">
            <v>محمد مجدى ربيع عبد الغنى جاد</v>
          </cell>
          <cell r="M16">
            <v>28409261402239</v>
          </cell>
          <cell r="N16" t="str">
            <v>مشرف تحصيل</v>
          </cell>
          <cell r="O16" t="str">
            <v>شركة فاليو</v>
          </cell>
          <cell r="P16" t="str">
            <v>التحصيل</v>
          </cell>
          <cell r="Q16" t="str">
            <v>القاهرة</v>
          </cell>
        </row>
        <row r="17">
          <cell r="K17">
            <v>54</v>
          </cell>
          <cell r="L17" t="str">
            <v>رحاب عبد الهادى احمد بدوى</v>
          </cell>
          <cell r="M17">
            <v>28706021401264</v>
          </cell>
          <cell r="N17" t="str">
            <v>مشرف تحصيل</v>
          </cell>
          <cell r="O17" t="str">
            <v>بنك الإسكندرية / شركة سهولة</v>
          </cell>
          <cell r="P17" t="str">
            <v>التحصيل</v>
          </cell>
          <cell r="Q17" t="str">
            <v>القاهرة</v>
          </cell>
        </row>
        <row r="18">
          <cell r="K18">
            <v>60</v>
          </cell>
          <cell r="L18" t="str">
            <v>مروة مصطفى على جاد</v>
          </cell>
          <cell r="M18">
            <v>29912120104665</v>
          </cell>
          <cell r="N18" t="str">
            <v>مشرف تحصيل</v>
          </cell>
          <cell r="O18" t="str">
            <v>شركة راية</v>
          </cell>
          <cell r="P18" t="str">
            <v>التحصيل</v>
          </cell>
          <cell r="Q18" t="str">
            <v>القاهرة</v>
          </cell>
        </row>
        <row r="19">
          <cell r="K19">
            <v>62</v>
          </cell>
          <cell r="L19" t="str">
            <v>محمد مجدى السيد عبد الدايم</v>
          </cell>
          <cell r="M19">
            <v>29710280100451</v>
          </cell>
          <cell r="N19" t="str">
            <v>مشرف قضائى</v>
          </cell>
          <cell r="O19" t="str">
            <v>الشئون القانونية</v>
          </cell>
          <cell r="P19" t="str">
            <v>الادارى</v>
          </cell>
          <cell r="Q19" t="str">
            <v>القاهرة</v>
          </cell>
        </row>
        <row r="20">
          <cell r="K20">
            <v>64</v>
          </cell>
          <cell r="L20" t="str">
            <v>تريز سامى رزق شحاته</v>
          </cell>
          <cell r="M20">
            <v>28712200101702</v>
          </cell>
          <cell r="N20" t="str">
            <v>مدير موارد بشرية</v>
          </cell>
          <cell r="O20" t="str">
            <v>الموارد البشرية</v>
          </cell>
          <cell r="P20" t="str">
            <v>الادارى</v>
          </cell>
          <cell r="Q20" t="str">
            <v>القاهرة</v>
          </cell>
        </row>
        <row r="21">
          <cell r="K21">
            <v>71</v>
          </cell>
          <cell r="L21" t="str">
            <v>ندى محمد سعد محمد</v>
          </cell>
          <cell r="M21">
            <v>30110042101308</v>
          </cell>
          <cell r="N21" t="str">
            <v>وكيل تحصيل هاتفى</v>
          </cell>
          <cell r="O21" t="str">
            <v>بنك كريدى اجريكول</v>
          </cell>
          <cell r="P21" t="str">
            <v>التحصيل</v>
          </cell>
          <cell r="Q21" t="str">
            <v>القاهرة</v>
          </cell>
        </row>
        <row r="22">
          <cell r="K22">
            <v>83</v>
          </cell>
          <cell r="L22" t="str">
            <v>حبيبه احمد سلطان منصور عويس</v>
          </cell>
          <cell r="M22">
            <v>30312060105762</v>
          </cell>
          <cell r="N22" t="str">
            <v>مشرف تحصيل</v>
          </cell>
          <cell r="O22" t="str">
            <v xml:space="preserve"> شركة ماني فيللوز </v>
          </cell>
          <cell r="P22" t="str">
            <v>التحصيل</v>
          </cell>
          <cell r="Q22" t="str">
            <v>القاهرة</v>
          </cell>
        </row>
        <row r="23">
          <cell r="K23">
            <v>97</v>
          </cell>
          <cell r="L23" t="str">
            <v>ندى محمد محمود عبد المقصود</v>
          </cell>
          <cell r="M23">
            <v>30106051400523</v>
          </cell>
          <cell r="N23" t="str">
            <v>وكيل تحصيل هاتفى</v>
          </cell>
          <cell r="O23" t="str">
            <v xml:space="preserve"> شركة ميد تقسيط</v>
          </cell>
          <cell r="P23" t="str">
            <v>التحصيل</v>
          </cell>
          <cell r="Q23" t="str">
            <v>القاهرة</v>
          </cell>
        </row>
        <row r="24">
          <cell r="K24">
            <v>119</v>
          </cell>
          <cell r="L24" t="str">
            <v>مصطفى جميل عبد الفتاح محمد شاهين</v>
          </cell>
          <cell r="M24">
            <v>30302090103319</v>
          </cell>
          <cell r="N24" t="str">
            <v>وكيل تحصيل</v>
          </cell>
          <cell r="O24" t="str">
            <v>بنك كريدى اجريكول</v>
          </cell>
          <cell r="P24" t="str">
            <v>التحصيل</v>
          </cell>
          <cell r="Q24" t="str">
            <v>القاهرة</v>
          </cell>
        </row>
        <row r="25">
          <cell r="K25">
            <v>125</v>
          </cell>
          <cell r="L25" t="str">
            <v>زينب محمود محمد محمود صالح</v>
          </cell>
          <cell r="M25">
            <v>30108160102829</v>
          </cell>
          <cell r="N25" t="str">
            <v>وكيل تحصيل هاتفى</v>
          </cell>
          <cell r="O25" t="str">
            <v xml:space="preserve"> شركة ماني فيللوز </v>
          </cell>
          <cell r="P25" t="str">
            <v>التحصيل</v>
          </cell>
          <cell r="Q25" t="str">
            <v>القاهرة</v>
          </cell>
        </row>
        <row r="26">
          <cell r="K26">
            <v>126</v>
          </cell>
          <cell r="L26" t="str">
            <v>حبيبة عادل بدرالدين احمد</v>
          </cell>
          <cell r="M26">
            <v>30107110104522</v>
          </cell>
          <cell r="N26" t="str">
            <v>وكيل تحصيل هاتفى</v>
          </cell>
          <cell r="O26" t="str">
            <v xml:space="preserve"> شركة ماني فيللوز </v>
          </cell>
          <cell r="P26" t="str">
            <v>التحصيل</v>
          </cell>
          <cell r="Q26" t="str">
            <v>القاهرة</v>
          </cell>
        </row>
        <row r="27">
          <cell r="K27">
            <v>127</v>
          </cell>
          <cell r="L27" t="str">
            <v>احمد عوض عباس عوض كشك</v>
          </cell>
          <cell r="M27">
            <v>29103071200577</v>
          </cell>
          <cell r="N27" t="str">
            <v>نائب كبير مشرفى تحصيل</v>
          </cell>
          <cell r="P27" t="str">
            <v>التحصيل</v>
          </cell>
          <cell r="Q27" t="str">
            <v>المنصورة</v>
          </cell>
        </row>
        <row r="28">
          <cell r="K28">
            <v>129</v>
          </cell>
          <cell r="L28" t="str">
            <v>نانسى يوسف عزيز يوسف</v>
          </cell>
          <cell r="M28">
            <v>28908081201843</v>
          </cell>
          <cell r="N28" t="str">
            <v>نائب مدير الإدارة القانونية</v>
          </cell>
          <cell r="O28" t="str">
            <v>الشئون القانونية</v>
          </cell>
          <cell r="P28" t="str">
            <v>الادارى</v>
          </cell>
          <cell r="Q28" t="str">
            <v>المنصورة</v>
          </cell>
        </row>
        <row r="29">
          <cell r="K29">
            <v>130</v>
          </cell>
          <cell r="L29" t="str">
            <v>عبد الرحمن عوض عباس عوض كشك</v>
          </cell>
          <cell r="M29">
            <v>29909131202315</v>
          </cell>
          <cell r="N29" t="str">
            <v>مشرف تحصيل</v>
          </cell>
          <cell r="P29" t="str">
            <v>التحصيل</v>
          </cell>
          <cell r="Q29" t="str">
            <v>المنصورة</v>
          </cell>
        </row>
        <row r="30">
          <cell r="K30">
            <v>131</v>
          </cell>
          <cell r="L30" t="str">
            <v>امانى طارق إبراهيم عبد الحميد</v>
          </cell>
          <cell r="M30">
            <v>29501011262064</v>
          </cell>
          <cell r="N30" t="str">
            <v>منسق بيانات</v>
          </cell>
          <cell r="O30" t="str">
            <v>منسقى البيانات</v>
          </cell>
          <cell r="P30" t="str">
            <v>الادارى</v>
          </cell>
          <cell r="Q30" t="str">
            <v>المنصورة</v>
          </cell>
        </row>
        <row r="31">
          <cell r="K31">
            <v>133</v>
          </cell>
          <cell r="L31" t="str">
            <v>نادين عماد منصور محمد</v>
          </cell>
          <cell r="M31">
            <v>30106141202127</v>
          </cell>
          <cell r="N31" t="str">
            <v>رئيس فريق عمل</v>
          </cell>
          <cell r="P31" t="str">
            <v>التحصيل</v>
          </cell>
          <cell r="Q31" t="str">
            <v>المنصورة</v>
          </cell>
        </row>
        <row r="32">
          <cell r="K32">
            <v>136</v>
          </cell>
          <cell r="L32" t="str">
            <v>بهاء محمد السيد صالح أبو حسين</v>
          </cell>
          <cell r="M32">
            <v>28403211200572</v>
          </cell>
          <cell r="N32" t="str">
            <v>رئيس فريق عمل</v>
          </cell>
          <cell r="P32" t="str">
            <v>التحصيل</v>
          </cell>
          <cell r="Q32" t="str">
            <v>المنصورة</v>
          </cell>
        </row>
        <row r="33">
          <cell r="K33">
            <v>137</v>
          </cell>
          <cell r="L33" t="str">
            <v>محمد وفيق إبراهيم عبد المعطى</v>
          </cell>
          <cell r="M33">
            <v>28605211200574</v>
          </cell>
          <cell r="N33" t="str">
            <v>مشرف تحصيل</v>
          </cell>
          <cell r="P33" t="str">
            <v>التحصيل</v>
          </cell>
          <cell r="Q33" t="str">
            <v>المنصورة</v>
          </cell>
        </row>
        <row r="34">
          <cell r="K34">
            <v>148</v>
          </cell>
          <cell r="L34" t="str">
            <v>امال كمال عبد الله عبد الحليم</v>
          </cell>
          <cell r="M34">
            <v>29805050105684</v>
          </cell>
          <cell r="N34" t="str">
            <v>منسق بيانات</v>
          </cell>
          <cell r="O34" t="str">
            <v>منسقى البيانات</v>
          </cell>
          <cell r="P34" t="str">
            <v>الادارى</v>
          </cell>
          <cell r="Q34" t="str">
            <v>القاهرة</v>
          </cell>
        </row>
        <row r="35">
          <cell r="K35">
            <v>150</v>
          </cell>
          <cell r="L35" t="str">
            <v>هدى حسن السيد على الضوى</v>
          </cell>
          <cell r="M35">
            <v>30006102101386</v>
          </cell>
          <cell r="N35" t="str">
            <v>منسق بيانات</v>
          </cell>
          <cell r="O35" t="str">
            <v>منسقى البيانات</v>
          </cell>
          <cell r="P35" t="str">
            <v>الادارى</v>
          </cell>
          <cell r="Q35" t="str">
            <v>القاهرة</v>
          </cell>
        </row>
        <row r="36">
          <cell r="K36">
            <v>151</v>
          </cell>
          <cell r="L36" t="str">
            <v xml:space="preserve">احمد عبد الباسط عبد السلام محمد </v>
          </cell>
          <cell r="M36">
            <v>29805101502713</v>
          </cell>
          <cell r="N36" t="str">
            <v>محاسب</v>
          </cell>
          <cell r="O36" t="str">
            <v>المالية</v>
          </cell>
          <cell r="P36" t="str">
            <v>الادارى</v>
          </cell>
          <cell r="Q36" t="str">
            <v>القاهرة</v>
          </cell>
        </row>
        <row r="37">
          <cell r="K37">
            <v>177</v>
          </cell>
          <cell r="L37" t="str">
            <v>أسماء إبراهيم السيد عبد الله</v>
          </cell>
          <cell r="M37">
            <v>30001011278168</v>
          </cell>
          <cell r="N37" t="str">
            <v>وكيل تحصيل هاتفى</v>
          </cell>
          <cell r="P37" t="str">
            <v>التحصيل</v>
          </cell>
          <cell r="Q37" t="str">
            <v>المنصورة</v>
          </cell>
        </row>
        <row r="38">
          <cell r="K38">
            <v>197</v>
          </cell>
          <cell r="L38" t="str">
            <v xml:space="preserve">احمد مجدى بكر على </v>
          </cell>
          <cell r="M38">
            <v>29503120100816</v>
          </cell>
          <cell r="N38" t="str">
            <v>وكيل تحصيل</v>
          </cell>
          <cell r="O38" t="str">
            <v>شركة فاليو</v>
          </cell>
          <cell r="P38" t="str">
            <v>التحصيل</v>
          </cell>
          <cell r="Q38" t="str">
            <v>القاهرة</v>
          </cell>
        </row>
        <row r="39">
          <cell r="K39">
            <v>209</v>
          </cell>
          <cell r="L39" t="str">
            <v>ريم رضا سيد احمد إبراهيم المطراوى</v>
          </cell>
          <cell r="M39">
            <v>29806231401346</v>
          </cell>
          <cell r="N39" t="str">
            <v>منسق بيانات</v>
          </cell>
          <cell r="O39" t="str">
            <v>الشئون القانونية</v>
          </cell>
          <cell r="P39" t="str">
            <v>الادارى</v>
          </cell>
          <cell r="Q39" t="str">
            <v>القاهرة</v>
          </cell>
        </row>
        <row r="40">
          <cell r="K40">
            <v>215</v>
          </cell>
          <cell r="L40" t="str">
            <v>روان عادل محمد عبد الكريم</v>
          </cell>
          <cell r="M40">
            <v>30503030106403</v>
          </cell>
          <cell r="N40" t="str">
            <v>وكيل تحصيل هاتفى</v>
          </cell>
          <cell r="O40" t="str">
            <v>شركة فاليو</v>
          </cell>
          <cell r="P40" t="str">
            <v>التحصيل</v>
          </cell>
          <cell r="Q40" t="str">
            <v>القاهرة</v>
          </cell>
        </row>
        <row r="41">
          <cell r="K41">
            <v>221</v>
          </cell>
          <cell r="L41" t="str">
            <v>عمرو صابر إبراهيم سيد محمد</v>
          </cell>
          <cell r="M41">
            <v>29707060104137</v>
          </cell>
          <cell r="N41" t="str">
            <v>وكيل تحصيل</v>
          </cell>
          <cell r="O41" t="str">
            <v>شركة فاليو</v>
          </cell>
          <cell r="P41" t="str">
            <v>التحصيل</v>
          </cell>
          <cell r="Q41" t="str">
            <v>القاهرة</v>
          </cell>
        </row>
        <row r="42">
          <cell r="K42">
            <v>222</v>
          </cell>
          <cell r="L42" t="str">
            <v>مريم محمد على سيد خطاب</v>
          </cell>
          <cell r="M42">
            <v>30403051401184</v>
          </cell>
          <cell r="N42" t="str">
            <v>مشرف تحصيل</v>
          </cell>
          <cell r="O42" t="str">
            <v>بنك الاسكندرية</v>
          </cell>
          <cell r="P42" t="str">
            <v>التحصيل</v>
          </cell>
          <cell r="Q42" t="str">
            <v>القاهرة</v>
          </cell>
        </row>
        <row r="43">
          <cell r="K43">
            <v>223</v>
          </cell>
          <cell r="L43" t="str">
            <v>هبة خلف محمد احمد</v>
          </cell>
          <cell r="M43">
            <v>28107120200563</v>
          </cell>
          <cell r="N43" t="str">
            <v>وكيل تحصيل هاتفى</v>
          </cell>
          <cell r="O43" t="str">
            <v>شركة راية</v>
          </cell>
          <cell r="P43" t="str">
            <v>التحصيل</v>
          </cell>
          <cell r="Q43" t="str">
            <v>القاهرة</v>
          </cell>
        </row>
        <row r="44">
          <cell r="K44">
            <v>238</v>
          </cell>
          <cell r="L44" t="str">
            <v xml:space="preserve">اشرف محمد محروس محمود </v>
          </cell>
          <cell r="M44">
            <v>30412130100296</v>
          </cell>
          <cell r="N44" t="str">
            <v xml:space="preserve">وكيل تحصيل </v>
          </cell>
          <cell r="O44" t="str">
            <v>بنك الإسكندرية</v>
          </cell>
          <cell r="P44" t="str">
            <v>التحصيل</v>
          </cell>
          <cell r="Q44" t="str">
            <v>القاهرة</v>
          </cell>
        </row>
        <row r="45">
          <cell r="K45">
            <v>239</v>
          </cell>
          <cell r="L45" t="str">
            <v xml:space="preserve">يوسف كامل  عبد الله صبحى غنيم </v>
          </cell>
          <cell r="M45">
            <v>30405030105677</v>
          </cell>
          <cell r="N45" t="str">
            <v xml:space="preserve">وكيل تحصيل </v>
          </cell>
          <cell r="O45" t="str">
            <v>شركة ميد تقسيط</v>
          </cell>
          <cell r="P45" t="str">
            <v>التحصيل</v>
          </cell>
          <cell r="Q45" t="str">
            <v>القاهرة</v>
          </cell>
        </row>
        <row r="46">
          <cell r="K46">
            <v>258</v>
          </cell>
          <cell r="L46" t="str">
            <v xml:space="preserve">منار  سيد عثمان احمد </v>
          </cell>
          <cell r="M46">
            <v>30005070100726</v>
          </cell>
          <cell r="N46" t="str">
            <v>مشرف تحصيل</v>
          </cell>
          <cell r="O46" t="str">
            <v>شركة سهولة</v>
          </cell>
          <cell r="P46" t="str">
            <v>التحصيل</v>
          </cell>
          <cell r="Q46" t="str">
            <v>القاهرة</v>
          </cell>
        </row>
        <row r="47">
          <cell r="K47">
            <v>262</v>
          </cell>
          <cell r="L47" t="str">
            <v xml:space="preserve">يارا رمضان يوسف عبده </v>
          </cell>
          <cell r="M47">
            <v>30401011401723</v>
          </cell>
          <cell r="N47" t="str">
            <v>وكيل تحصيل هاتفى</v>
          </cell>
          <cell r="O47" t="str">
            <v xml:space="preserve"> شركة ماني فيللوز </v>
          </cell>
          <cell r="P47" t="str">
            <v>التحصيل</v>
          </cell>
          <cell r="Q47" t="str">
            <v>القاهرة</v>
          </cell>
        </row>
        <row r="48">
          <cell r="K48">
            <v>269</v>
          </cell>
          <cell r="L48" t="str">
            <v xml:space="preserve">هاجر شريف محمد عبد الرؤف </v>
          </cell>
          <cell r="M48">
            <v>30103260102301</v>
          </cell>
          <cell r="N48" t="str">
            <v xml:space="preserve">وكيل تحصيل هاتفي </v>
          </cell>
          <cell r="O48" t="str">
            <v>شركة راية</v>
          </cell>
          <cell r="P48" t="str">
            <v>التحصيل</v>
          </cell>
          <cell r="Q48" t="str">
            <v>القاهرة</v>
          </cell>
        </row>
        <row r="49">
          <cell r="K49">
            <v>273</v>
          </cell>
          <cell r="L49" t="str">
            <v xml:space="preserve">ملك رمضان يوسف عبده </v>
          </cell>
          <cell r="M49">
            <v>30602171401202</v>
          </cell>
          <cell r="N49" t="str">
            <v>وكيل تحصيل هاتفى</v>
          </cell>
          <cell r="O49" t="str">
            <v>شركة فاليو</v>
          </cell>
          <cell r="P49" t="str">
            <v>التحصيل</v>
          </cell>
          <cell r="Q49" t="str">
            <v>القاهرة</v>
          </cell>
        </row>
        <row r="50">
          <cell r="K50">
            <v>278</v>
          </cell>
          <cell r="L50" t="str">
            <v>هشام فتح الله عبدربه فرج</v>
          </cell>
          <cell r="M50">
            <v>26303201400474</v>
          </cell>
          <cell r="N50" t="str">
            <v>وكيل تحصيل</v>
          </cell>
          <cell r="O50" t="str">
            <v xml:space="preserve">بنك الإسكندرية / شركة سهولة </v>
          </cell>
          <cell r="P50" t="str">
            <v>التحصيل</v>
          </cell>
          <cell r="Q50" t="str">
            <v>القاهرة</v>
          </cell>
        </row>
        <row r="51">
          <cell r="K51">
            <v>283</v>
          </cell>
          <cell r="L51" t="str">
            <v xml:space="preserve">طارق عصام فتوح حسن </v>
          </cell>
          <cell r="M51">
            <v>29601011735072</v>
          </cell>
          <cell r="N51" t="str">
            <v>وكيل تحصيل</v>
          </cell>
          <cell r="O51" t="str">
            <v xml:space="preserve">شركة سهولة </v>
          </cell>
          <cell r="P51" t="str">
            <v>التحصيل</v>
          </cell>
          <cell r="Q51" t="str">
            <v>القاهرة</v>
          </cell>
        </row>
        <row r="52">
          <cell r="K52">
            <v>284</v>
          </cell>
          <cell r="L52" t="str">
            <v>زياد كرم عبد الفضيل عبد المجيد</v>
          </cell>
          <cell r="M52">
            <v>30208171403094</v>
          </cell>
          <cell r="N52" t="str">
            <v>وكيل تحصيل</v>
          </cell>
          <cell r="O52" t="str">
            <v>شركة فاليو</v>
          </cell>
          <cell r="P52" t="str">
            <v>التحصيل</v>
          </cell>
          <cell r="Q52" t="str">
            <v>القاهرة</v>
          </cell>
        </row>
        <row r="53">
          <cell r="K53">
            <v>289</v>
          </cell>
          <cell r="L53" t="str">
            <v>صبرى عبد الهادى عبد الهادى</v>
          </cell>
          <cell r="M53">
            <v>28509251202635</v>
          </cell>
          <cell r="N53" t="str">
            <v>خدمات معاونة</v>
          </cell>
          <cell r="P53" t="str">
            <v>الادارى</v>
          </cell>
          <cell r="Q53" t="str">
            <v>المنصورة</v>
          </cell>
        </row>
        <row r="54">
          <cell r="K54">
            <v>294</v>
          </cell>
          <cell r="L54" t="str">
            <v>باسم ناجى سعد ابرهيم خلف</v>
          </cell>
          <cell r="M54">
            <v>29005011201254</v>
          </cell>
          <cell r="N54" t="str">
            <v>مسئول ادارى</v>
          </cell>
          <cell r="P54" t="str">
            <v>الادارى</v>
          </cell>
          <cell r="Q54" t="str">
            <v>المنصورة</v>
          </cell>
        </row>
        <row r="55">
          <cell r="K55">
            <v>302</v>
          </cell>
          <cell r="L55" t="str">
            <v xml:space="preserve">مى سيد إبراهيم حنفي عقل </v>
          </cell>
          <cell r="M55">
            <v>30207051201769</v>
          </cell>
          <cell r="N55" t="str">
            <v>وكيل تحصيل هاتفى</v>
          </cell>
          <cell r="P55" t="str">
            <v>التحصيل</v>
          </cell>
          <cell r="Q55" t="str">
            <v>المنصورة</v>
          </cell>
        </row>
        <row r="56">
          <cell r="K56">
            <v>307</v>
          </cell>
          <cell r="L56" t="str">
            <v>شيماء حمدى حسن ركابى حامد</v>
          </cell>
          <cell r="M56">
            <v>29506012100906</v>
          </cell>
          <cell r="N56" t="str">
            <v>منسق بيانات</v>
          </cell>
          <cell r="O56" t="str">
            <v>منسقى البيانات</v>
          </cell>
          <cell r="P56" t="str">
            <v>الادارى</v>
          </cell>
          <cell r="Q56" t="str">
            <v>القاهرة</v>
          </cell>
        </row>
        <row r="57">
          <cell r="K57">
            <v>312</v>
          </cell>
          <cell r="L57" t="str">
            <v>نيرة محمد يوسف عبد المجيد غزى</v>
          </cell>
          <cell r="M57">
            <v>30306261201301</v>
          </cell>
          <cell r="N57" t="str">
            <v>وكيل تحصيل هاتفى</v>
          </cell>
          <cell r="P57" t="str">
            <v>التحصيل</v>
          </cell>
          <cell r="Q57" t="str">
            <v>المنصورة</v>
          </cell>
        </row>
        <row r="58">
          <cell r="K58">
            <v>324</v>
          </cell>
          <cell r="L58" t="str">
            <v>شوقية محمد عثمان احمد</v>
          </cell>
          <cell r="M58">
            <v>29706171200384</v>
          </cell>
          <cell r="N58" t="str">
            <v>وكيل تحصيل هاتفى</v>
          </cell>
          <cell r="O58" t="str">
            <v>شركة سهولة</v>
          </cell>
          <cell r="P58" t="str">
            <v>التحصيل</v>
          </cell>
          <cell r="Q58" t="str">
            <v>المنصورة</v>
          </cell>
        </row>
        <row r="59">
          <cell r="K59">
            <v>332</v>
          </cell>
          <cell r="L59" t="str">
            <v xml:space="preserve">إسماعيل سلامه إسماعيل بركات </v>
          </cell>
          <cell r="M59">
            <v>30601161400333</v>
          </cell>
          <cell r="N59" t="str">
            <v>وكيل تحصيل</v>
          </cell>
          <cell r="O59" t="str">
            <v>شركة ميد تقسيط</v>
          </cell>
          <cell r="P59" t="str">
            <v>التحصيل</v>
          </cell>
          <cell r="Q59" t="str">
            <v>القاهرة</v>
          </cell>
        </row>
        <row r="60">
          <cell r="K60">
            <v>334</v>
          </cell>
          <cell r="L60" t="str">
            <v>عبد الله كامل عبد الله صبحى غنيم</v>
          </cell>
          <cell r="M60">
            <v>30304160102938</v>
          </cell>
          <cell r="N60" t="str">
            <v>وكيل تحصيل</v>
          </cell>
          <cell r="O60" t="str">
            <v>شركة فاليو</v>
          </cell>
          <cell r="P60" t="str">
            <v>التحصيل</v>
          </cell>
          <cell r="Q60" t="str">
            <v>القاهرة</v>
          </cell>
        </row>
        <row r="61">
          <cell r="K61">
            <v>336</v>
          </cell>
          <cell r="L61" t="str">
            <v>زياد احمد سيد محمد</v>
          </cell>
          <cell r="M61">
            <v>30507250100398</v>
          </cell>
          <cell r="N61" t="str">
            <v>وكيل تحصيل</v>
          </cell>
          <cell r="O61" t="str">
            <v xml:space="preserve"> شركة ماني فيللوز </v>
          </cell>
          <cell r="P61" t="str">
            <v>التحصيل</v>
          </cell>
          <cell r="Q61" t="str">
            <v>القاهرة</v>
          </cell>
        </row>
        <row r="62">
          <cell r="K62">
            <v>340</v>
          </cell>
          <cell r="L62" t="str">
            <v>اميرة شعراوى ابراهيم  حامد على</v>
          </cell>
          <cell r="M62">
            <v>29203050102561</v>
          </cell>
          <cell r="N62" t="str">
            <v>كبير مشرفى تحصيل</v>
          </cell>
          <cell r="O62" t="str">
            <v>شركة فاليو</v>
          </cell>
          <cell r="P62" t="str">
            <v>التحصيل</v>
          </cell>
          <cell r="Q62" t="str">
            <v>القاهرة</v>
          </cell>
        </row>
        <row r="63">
          <cell r="K63">
            <v>341</v>
          </cell>
          <cell r="L63" t="str">
            <v>نرمين شعراوى إبراهيم حامد على</v>
          </cell>
          <cell r="M63">
            <v>30203190102583</v>
          </cell>
          <cell r="N63" t="str">
            <v>رئيس فريق عمل</v>
          </cell>
          <cell r="O63" t="str">
            <v>شركة فاليو</v>
          </cell>
          <cell r="P63" t="str">
            <v>التحصيل</v>
          </cell>
          <cell r="Q63" t="str">
            <v>القاهرة</v>
          </cell>
        </row>
        <row r="64">
          <cell r="K64">
            <v>345</v>
          </cell>
          <cell r="L64" t="str">
            <v>دعاء محمد عثمان احمد</v>
          </cell>
          <cell r="M64">
            <v>29002011201905</v>
          </cell>
          <cell r="N64" t="str">
            <v>وكيل تحصيل هاتفى</v>
          </cell>
          <cell r="P64" t="str">
            <v>التحصيل</v>
          </cell>
          <cell r="Q64" t="str">
            <v>المنصورة</v>
          </cell>
        </row>
        <row r="65">
          <cell r="K65">
            <v>347</v>
          </cell>
          <cell r="L65" t="str">
            <v>يحي هاني نبيل  عبد التواب</v>
          </cell>
          <cell r="M65">
            <v>30508040103757</v>
          </cell>
          <cell r="N65" t="str">
            <v>وكيل تحصيل</v>
          </cell>
          <cell r="O65" t="str">
            <v xml:space="preserve"> شركة ميد تقسيط</v>
          </cell>
          <cell r="P65" t="str">
            <v>التحصيل</v>
          </cell>
          <cell r="Q65" t="str">
            <v>القاهرة</v>
          </cell>
        </row>
        <row r="66">
          <cell r="K66">
            <v>354</v>
          </cell>
          <cell r="L66" t="str">
            <v>منه رضا فتحى سيد</v>
          </cell>
          <cell r="M66">
            <v>30205300101122</v>
          </cell>
          <cell r="N66" t="str">
            <v>وكيل تحصيل هاتفى</v>
          </cell>
          <cell r="O66" t="str">
            <v>شركة راية</v>
          </cell>
          <cell r="P66" t="str">
            <v>التحصيل</v>
          </cell>
          <cell r="Q66" t="str">
            <v>القاهرة</v>
          </cell>
        </row>
        <row r="67">
          <cell r="K67">
            <v>355</v>
          </cell>
          <cell r="L67" t="str">
            <v>كرستينا مجدى محروس فؤاد</v>
          </cell>
          <cell r="M67">
            <v>29903160102844</v>
          </cell>
          <cell r="N67" t="str">
            <v>وكيل تحصيل هاتفى</v>
          </cell>
          <cell r="O67" t="str">
            <v>بنك الاسكندرية</v>
          </cell>
          <cell r="P67" t="str">
            <v>التحصيل</v>
          </cell>
          <cell r="Q67" t="str">
            <v>القاهرة</v>
          </cell>
        </row>
        <row r="68">
          <cell r="K68">
            <v>356</v>
          </cell>
          <cell r="L68" t="str">
            <v xml:space="preserve">عبدالله عماد محمد السيد </v>
          </cell>
          <cell r="M68">
            <v>29302041400591</v>
          </cell>
          <cell r="N68" t="str">
            <v xml:space="preserve">وكيل تحصيل </v>
          </cell>
          <cell r="P68" t="str">
            <v>التحصيل</v>
          </cell>
          <cell r="Q68" t="str">
            <v>المنصورة</v>
          </cell>
        </row>
        <row r="69">
          <cell r="K69">
            <v>362</v>
          </cell>
          <cell r="L69" t="str">
            <v>احمد محمد محمود احمد أبو الدهب</v>
          </cell>
          <cell r="M69">
            <v>30505051403192</v>
          </cell>
          <cell r="N69" t="str">
            <v xml:space="preserve">وكيل تحصيل </v>
          </cell>
          <cell r="O69" t="str">
            <v>بنك الاسكندرية</v>
          </cell>
          <cell r="P69" t="str">
            <v>التحصيل</v>
          </cell>
          <cell r="Q69" t="str">
            <v>القاهرة</v>
          </cell>
        </row>
        <row r="70">
          <cell r="K70">
            <v>365</v>
          </cell>
          <cell r="L70" t="str">
            <v>محمد رضا سعد حسن الشرقاوى</v>
          </cell>
          <cell r="M70">
            <v>29305020111474</v>
          </cell>
          <cell r="N70" t="str">
            <v>مسئول ادارى</v>
          </cell>
          <cell r="O70" t="str">
            <v>الموارد البشرية</v>
          </cell>
          <cell r="P70" t="str">
            <v>الادارى</v>
          </cell>
          <cell r="Q70" t="str">
            <v>القاهرة</v>
          </cell>
        </row>
        <row r="71">
          <cell r="K71">
            <v>370</v>
          </cell>
          <cell r="L71" t="str">
            <v>اسراء كمال الدين حسن محمد محمود الشافعى</v>
          </cell>
          <cell r="M71">
            <v>29601140103228</v>
          </cell>
          <cell r="N71" t="str">
            <v>وكيل تحصيل هاتفى</v>
          </cell>
          <cell r="O71" t="str">
            <v>بنك كريدى اجريكول</v>
          </cell>
          <cell r="P71" t="str">
            <v>التحصيل</v>
          </cell>
          <cell r="Q71" t="str">
            <v>القاهرة</v>
          </cell>
        </row>
        <row r="72">
          <cell r="K72">
            <v>375</v>
          </cell>
          <cell r="L72" t="str">
            <v>اسراء خالد محمود عبد الله</v>
          </cell>
          <cell r="M72">
            <v>29712102101846</v>
          </cell>
          <cell r="N72" t="str">
            <v>رئيس فريق عمل</v>
          </cell>
          <cell r="O72" t="str">
            <v>شركة تنمية</v>
          </cell>
          <cell r="P72" t="str">
            <v>التحصيل</v>
          </cell>
          <cell r="Q72" t="str">
            <v>القاهرة</v>
          </cell>
        </row>
        <row r="73">
          <cell r="K73">
            <v>378</v>
          </cell>
          <cell r="L73" t="str">
            <v>عبد الحميد نبوى فهيم محمد</v>
          </cell>
          <cell r="M73">
            <v>28102150100511</v>
          </cell>
          <cell r="N73" t="str">
            <v>رئيس فريق عمل</v>
          </cell>
          <cell r="O73" t="str">
            <v>بنك كريدى اجريكول</v>
          </cell>
          <cell r="P73" t="str">
            <v>التحصيل</v>
          </cell>
          <cell r="Q73" t="str">
            <v>القاهرة</v>
          </cell>
        </row>
        <row r="74">
          <cell r="K74">
            <v>379</v>
          </cell>
          <cell r="L74" t="str">
            <v>حسين محمود حسين حسن</v>
          </cell>
          <cell r="M74">
            <v>818198924630900</v>
          </cell>
          <cell r="N74" t="str">
            <v>مشرف تحصيل</v>
          </cell>
          <cell r="O74" t="str">
            <v>بنك كريدى اجريكول</v>
          </cell>
          <cell r="P74" t="str">
            <v>التحصيل</v>
          </cell>
          <cell r="Q74" t="str">
            <v>القاهرة</v>
          </cell>
        </row>
        <row r="75">
          <cell r="K75">
            <v>383</v>
          </cell>
          <cell r="L75" t="str">
            <v>اية حمدى رجب على غنيمة</v>
          </cell>
          <cell r="M75">
            <v>30101201202626</v>
          </cell>
          <cell r="N75" t="str">
            <v>وكيل تحصيل هاتفى</v>
          </cell>
          <cell r="P75" t="str">
            <v>التحصيل</v>
          </cell>
          <cell r="Q75" t="str">
            <v>المنصورة</v>
          </cell>
        </row>
        <row r="76">
          <cell r="K76">
            <v>389</v>
          </cell>
          <cell r="L76" t="str">
            <v>ادهم رؤوف كمال كامل سعيد</v>
          </cell>
          <cell r="M76">
            <v>30407270101515</v>
          </cell>
          <cell r="N76" t="str">
            <v>وكيل تحصيل</v>
          </cell>
          <cell r="O76" t="str">
            <v>شركة راية</v>
          </cell>
          <cell r="P76" t="str">
            <v>التحصيل</v>
          </cell>
          <cell r="Q76" t="str">
            <v>القاهرة</v>
          </cell>
        </row>
        <row r="77">
          <cell r="K77">
            <v>395</v>
          </cell>
          <cell r="L77" t="str">
            <v>مصطفى احمد عبد الهادى محمود</v>
          </cell>
          <cell r="M77">
            <v>29705010106934</v>
          </cell>
          <cell r="N77" t="str">
            <v>وكيل تحصيل</v>
          </cell>
          <cell r="O77" t="str">
            <v>بنك كريدى اجريكول</v>
          </cell>
          <cell r="P77" t="str">
            <v>التحصيل</v>
          </cell>
          <cell r="Q77" t="str">
            <v>القاهرة</v>
          </cell>
        </row>
        <row r="78">
          <cell r="K78">
            <v>400</v>
          </cell>
          <cell r="L78" t="str">
            <v>عبد الرحمن احمد عبد العليم السيد مرعى</v>
          </cell>
          <cell r="M78">
            <v>29810270101519</v>
          </cell>
          <cell r="N78" t="str">
            <v>وكيل تحصيل</v>
          </cell>
          <cell r="O78" t="str">
            <v>شركة فاليو</v>
          </cell>
          <cell r="P78" t="str">
            <v>التحصيل</v>
          </cell>
          <cell r="Q78" t="str">
            <v>القاهرة</v>
          </cell>
        </row>
        <row r="79">
          <cell r="K79">
            <v>401</v>
          </cell>
          <cell r="L79" t="str">
            <v>سامح ماجد الهجرسى الدسوقى</v>
          </cell>
          <cell r="M79">
            <v>27301211204771</v>
          </cell>
          <cell r="N79" t="str">
            <v>مشرف تحصيل</v>
          </cell>
          <cell r="P79" t="str">
            <v>التحصيل</v>
          </cell>
          <cell r="Q79" t="str">
            <v>المنصورة</v>
          </cell>
        </row>
        <row r="80">
          <cell r="K80">
            <v>402</v>
          </cell>
          <cell r="L80" t="str">
            <v>ياسر عبد الحكيم حمزة أبو النيل</v>
          </cell>
          <cell r="M80">
            <v>27309251700756</v>
          </cell>
          <cell r="N80" t="str">
            <v>وكيل تحصيل</v>
          </cell>
          <cell r="P80" t="str">
            <v>التحصيل</v>
          </cell>
          <cell r="Q80" t="str">
            <v>المنصورة</v>
          </cell>
        </row>
        <row r="81">
          <cell r="K81">
            <v>404</v>
          </cell>
          <cell r="L81" t="str">
            <v>اصالة مهدى محمد احمد</v>
          </cell>
          <cell r="M81">
            <v>30109290101804</v>
          </cell>
          <cell r="N81" t="str">
            <v>وكيل تحصيل هاتفى</v>
          </cell>
          <cell r="O81" t="str">
            <v>بنك الاسكندرية</v>
          </cell>
          <cell r="P81" t="str">
            <v>التحصيل</v>
          </cell>
          <cell r="Q81" t="str">
            <v>القاهرة</v>
          </cell>
        </row>
        <row r="82">
          <cell r="K82">
            <v>410</v>
          </cell>
          <cell r="L82" t="str">
            <v>سيف طارق محمد  إسماعيل</v>
          </cell>
          <cell r="M82">
            <v>30605100100332</v>
          </cell>
          <cell r="N82" t="str">
            <v>وكيل تحصيل</v>
          </cell>
          <cell r="O82" t="str">
            <v>بنك كريدى اجريكول</v>
          </cell>
          <cell r="P82" t="str">
            <v>التحصيل</v>
          </cell>
          <cell r="Q82" t="str">
            <v>القاهرة</v>
          </cell>
        </row>
        <row r="83">
          <cell r="K83">
            <v>416</v>
          </cell>
          <cell r="L83" t="str">
            <v>هاني جمعه علي احمد</v>
          </cell>
          <cell r="M83">
            <v>27610261201733</v>
          </cell>
          <cell r="N83" t="str">
            <v>وكيل تحصيل</v>
          </cell>
          <cell r="P83" t="str">
            <v>التحصيل</v>
          </cell>
          <cell r="Q83" t="str">
            <v>المنصورة</v>
          </cell>
        </row>
        <row r="84">
          <cell r="K84">
            <v>418</v>
          </cell>
          <cell r="L84" t="str">
            <v>احمد حمدى محمد سرور</v>
          </cell>
          <cell r="M84">
            <v>28302221701951</v>
          </cell>
          <cell r="N84" t="str">
            <v>وكيل تحصيل</v>
          </cell>
          <cell r="O84" t="str">
            <v>وكيل تحصيل</v>
          </cell>
          <cell r="P84" t="str">
            <v>التحصيل</v>
          </cell>
          <cell r="Q84" t="str">
            <v>المنصورة</v>
          </cell>
        </row>
        <row r="85">
          <cell r="K85">
            <v>421</v>
          </cell>
          <cell r="L85" t="str">
            <v>محمد احمد ناجز سعيد</v>
          </cell>
          <cell r="M85">
            <v>30609022100334</v>
          </cell>
          <cell r="N85" t="str">
            <v>وكيل تحصيل</v>
          </cell>
          <cell r="O85" t="str">
            <v>بنك كريدى اجريكول</v>
          </cell>
          <cell r="P85" t="str">
            <v>التحصيل</v>
          </cell>
          <cell r="Q85" t="str">
            <v>القاهرة</v>
          </cell>
        </row>
        <row r="86">
          <cell r="K86">
            <v>425</v>
          </cell>
          <cell r="L86" t="str">
            <v>احمد رزق طاهر أبو الفتوح</v>
          </cell>
          <cell r="M86">
            <v>29403171201019</v>
          </cell>
          <cell r="N86" t="str">
            <v>وكيل تحصيل</v>
          </cell>
          <cell r="O86" t="str">
            <v>شركة تنمية</v>
          </cell>
          <cell r="P86" t="str">
            <v>التحصيل</v>
          </cell>
          <cell r="Q86" t="str">
            <v>المنصورة</v>
          </cell>
        </row>
        <row r="87">
          <cell r="K87">
            <v>426</v>
          </cell>
          <cell r="L87" t="str">
            <v>هدير رمضان مصطفي عبد العال</v>
          </cell>
          <cell r="M87">
            <v>29908201201021</v>
          </cell>
          <cell r="N87" t="str">
            <v>وكيل تحصيل هاتفى</v>
          </cell>
          <cell r="O87" t="str">
            <v>وكيل تحصيل هاتفى</v>
          </cell>
          <cell r="P87" t="str">
            <v>التحصيل</v>
          </cell>
          <cell r="Q87" t="str">
            <v>المنصورة</v>
          </cell>
        </row>
        <row r="88">
          <cell r="K88">
            <v>428</v>
          </cell>
          <cell r="L88" t="str">
            <v xml:space="preserve">سحر محمد علي سيد </v>
          </cell>
          <cell r="M88">
            <v>29101201401488</v>
          </cell>
          <cell r="N88" t="str">
            <v>منسق بيانات</v>
          </cell>
          <cell r="O88" t="str">
            <v>منسقى البيانات</v>
          </cell>
          <cell r="P88" t="str">
            <v>الادارى</v>
          </cell>
          <cell r="Q88" t="str">
            <v>القاهرة</v>
          </cell>
        </row>
        <row r="89">
          <cell r="K89">
            <v>444</v>
          </cell>
          <cell r="L89" t="str">
            <v>نورين محمود عبد السلام</v>
          </cell>
          <cell r="M89">
            <v>30301181400409</v>
          </cell>
          <cell r="N89" t="str">
            <v>وكيل تحصيل هاتفى</v>
          </cell>
          <cell r="O89" t="str">
            <v>شركة راية</v>
          </cell>
          <cell r="P89" t="str">
            <v>التحصيل</v>
          </cell>
          <cell r="Q89" t="str">
            <v>القاهرة</v>
          </cell>
        </row>
        <row r="90">
          <cell r="K90">
            <v>445</v>
          </cell>
          <cell r="L90" t="str">
            <v>أسماء عباس عثمان عباس</v>
          </cell>
          <cell r="M90">
            <v>29012100105168</v>
          </cell>
          <cell r="N90" t="str">
            <v>خدمات معاونة</v>
          </cell>
          <cell r="O90" t="str">
            <v>الخدمات المعاونة</v>
          </cell>
          <cell r="P90" t="str">
            <v>الادارى</v>
          </cell>
          <cell r="Q90" t="str">
            <v>القاهرة</v>
          </cell>
        </row>
        <row r="91">
          <cell r="K91">
            <v>448</v>
          </cell>
          <cell r="L91" t="str">
            <v>ياسمين ماهر زيدان محمود عبد الباقي</v>
          </cell>
          <cell r="M91">
            <v>30201111402604</v>
          </cell>
          <cell r="N91" t="str">
            <v>وكيل تحصيل هاتفى</v>
          </cell>
          <cell r="O91" t="str">
            <v>شركة سهولة</v>
          </cell>
          <cell r="P91" t="str">
            <v>التحصيل</v>
          </cell>
          <cell r="Q91" t="str">
            <v>القاهرة</v>
          </cell>
        </row>
        <row r="92">
          <cell r="K92">
            <v>456</v>
          </cell>
          <cell r="L92" t="str">
            <v>مختار محمد محمد مختار</v>
          </cell>
          <cell r="M92">
            <v>28705180300154</v>
          </cell>
          <cell r="N92" t="str">
            <v>وكيل تحصيل</v>
          </cell>
          <cell r="O92" t="str">
            <v xml:space="preserve"> شركة ماني فيللوز </v>
          </cell>
          <cell r="P92" t="str">
            <v>التحصيل</v>
          </cell>
          <cell r="Q92" t="str">
            <v>القاهرة</v>
          </cell>
        </row>
        <row r="93">
          <cell r="K93">
            <v>460</v>
          </cell>
          <cell r="L93" t="str">
            <v>احمد اشرف محمد حسن</v>
          </cell>
          <cell r="M93">
            <v>30205240100555</v>
          </cell>
          <cell r="N93" t="str">
            <v>وكيل تحصيل</v>
          </cell>
          <cell r="O93" t="str">
            <v>شركة وسيله /بنك اسكندرية</v>
          </cell>
          <cell r="P93" t="str">
            <v>التحصيل</v>
          </cell>
          <cell r="Q93" t="str">
            <v>القاهرة</v>
          </cell>
        </row>
        <row r="94">
          <cell r="K94">
            <v>461</v>
          </cell>
          <cell r="L94" t="str">
            <v>كريم جمال السيد عبد الهادي</v>
          </cell>
          <cell r="M94">
            <v>29305041401219</v>
          </cell>
          <cell r="N94" t="str">
            <v>كبير مشرفى تحصيل</v>
          </cell>
          <cell r="O94" t="str">
            <v>بنك كريدى اجريكول</v>
          </cell>
          <cell r="P94" t="str">
            <v>التحصيل</v>
          </cell>
          <cell r="Q94" t="str">
            <v>القاهرة</v>
          </cell>
        </row>
        <row r="95">
          <cell r="K95">
            <v>462</v>
          </cell>
          <cell r="L95" t="str">
            <v>رنيم إبراهيم محمد احمد مجاهد</v>
          </cell>
          <cell r="M95">
            <v>0</v>
          </cell>
          <cell r="N95" t="str">
            <v>وكيل تحصيل هاتفى</v>
          </cell>
          <cell r="O95" t="str">
            <v>شركة تنمية</v>
          </cell>
          <cell r="P95" t="str">
            <v>التحصيل</v>
          </cell>
          <cell r="Q95" t="str">
            <v>المنصورة</v>
          </cell>
        </row>
        <row r="96">
          <cell r="K96">
            <v>466</v>
          </cell>
          <cell r="L96" t="str">
            <v>فاطمة محمود سلامة إبراهيم</v>
          </cell>
          <cell r="M96">
            <v>29309251200181</v>
          </cell>
          <cell r="N96" t="str">
            <v>وكيل تحصيل هاتفى</v>
          </cell>
          <cell r="O96" t="str">
            <v>شركة تنمية</v>
          </cell>
          <cell r="P96" t="str">
            <v>التحصيل</v>
          </cell>
          <cell r="Q96" t="str">
            <v>المنصورة</v>
          </cell>
        </row>
        <row r="97">
          <cell r="K97">
            <v>467</v>
          </cell>
          <cell r="L97" t="str">
            <v>مى علاء السيد محمد غريب</v>
          </cell>
          <cell r="M97">
            <v>30102051204885</v>
          </cell>
          <cell r="N97" t="str">
            <v>وكيل تحصيل هاتفى</v>
          </cell>
          <cell r="O97" t="str">
            <v>شركة تنمية</v>
          </cell>
          <cell r="P97" t="str">
            <v>التحصيل</v>
          </cell>
          <cell r="Q97" t="str">
            <v>المنصورة</v>
          </cell>
        </row>
        <row r="98">
          <cell r="K98">
            <v>468</v>
          </cell>
          <cell r="L98" t="str">
            <v>حسام حسن محمد حسن</v>
          </cell>
          <cell r="M98">
            <v>29405100101555</v>
          </cell>
          <cell r="N98" t="str">
            <v>وكيل تحصيل</v>
          </cell>
          <cell r="O98" t="str">
            <v>شركة فاليو</v>
          </cell>
          <cell r="P98" t="str">
            <v>التحصيل</v>
          </cell>
          <cell r="Q98" t="str">
            <v>القاهرة</v>
          </cell>
        </row>
        <row r="99">
          <cell r="K99">
            <v>473</v>
          </cell>
          <cell r="L99" t="str">
            <v>رحمه عاطف احمد علي</v>
          </cell>
          <cell r="M99">
            <v>30406050100589</v>
          </cell>
          <cell r="N99" t="str">
            <v>وكيل تحصيل هاتفى</v>
          </cell>
          <cell r="O99" t="str">
            <v>شركة تنمية</v>
          </cell>
          <cell r="P99" t="str">
            <v>التحصيل</v>
          </cell>
          <cell r="Q99" t="str">
            <v>القاهرة</v>
          </cell>
        </row>
        <row r="100">
          <cell r="K100">
            <v>475</v>
          </cell>
          <cell r="L100" t="str">
            <v>احمد إبراهيم مبروك سعيد</v>
          </cell>
          <cell r="M100">
            <v>11894014000</v>
          </cell>
          <cell r="N100" t="str">
            <v>وكيل تحصيل</v>
          </cell>
          <cell r="O100" t="str">
            <v>شركة سهولة / شركة راية</v>
          </cell>
          <cell r="P100" t="str">
            <v>التحصيل</v>
          </cell>
          <cell r="Q100" t="str">
            <v>القاهرة</v>
          </cell>
        </row>
        <row r="101">
          <cell r="K101">
            <v>478</v>
          </cell>
          <cell r="L101" t="str">
            <v>محمد السيد محمد الدسوقي</v>
          </cell>
          <cell r="M101">
            <v>29701011237298</v>
          </cell>
          <cell r="N101" t="str">
            <v>وكيل تحصيل</v>
          </cell>
          <cell r="O101" t="str">
            <v>وكيل تحصيل</v>
          </cell>
          <cell r="P101" t="str">
            <v>التحصيل</v>
          </cell>
          <cell r="Q101" t="str">
            <v>المنصورة</v>
          </cell>
        </row>
        <row r="102">
          <cell r="K102">
            <v>479</v>
          </cell>
          <cell r="L102" t="str">
            <v>مي اشرف صلاح الدين أبو زيد</v>
          </cell>
          <cell r="M102">
            <v>30007160105266</v>
          </cell>
          <cell r="N102" t="str">
            <v>مسئول موارد بشريه</v>
          </cell>
          <cell r="O102" t="str">
            <v>الموارد البشرية</v>
          </cell>
          <cell r="P102" t="str">
            <v>الادارى</v>
          </cell>
          <cell r="Q102" t="str">
            <v>القاهرة</v>
          </cell>
        </row>
        <row r="103">
          <cell r="K103">
            <v>482</v>
          </cell>
          <cell r="L103" t="str">
            <v xml:space="preserve">فاطمه شعبان محمد مصطفي </v>
          </cell>
          <cell r="M103">
            <v>30204190100501</v>
          </cell>
          <cell r="N103" t="str">
            <v>وكيل تحصيل هاتفى</v>
          </cell>
          <cell r="O103" t="str">
            <v>شركة راية</v>
          </cell>
          <cell r="P103" t="str">
            <v>التحصيل</v>
          </cell>
          <cell r="Q103" t="str">
            <v>القاهرة</v>
          </cell>
        </row>
        <row r="104">
          <cell r="K104">
            <v>483</v>
          </cell>
          <cell r="L104" t="str">
            <v>حبيبه بدر  حنفي محمود</v>
          </cell>
          <cell r="M104">
            <v>30006180104545</v>
          </cell>
          <cell r="N104" t="str">
            <v>منسقى البيانات</v>
          </cell>
          <cell r="O104" t="str">
            <v>منسقى البيانات</v>
          </cell>
          <cell r="P104" t="str">
            <v>الادارى</v>
          </cell>
          <cell r="Q104" t="str">
            <v>القاهرة</v>
          </cell>
        </row>
        <row r="105">
          <cell r="K105">
            <v>484</v>
          </cell>
          <cell r="L105" t="str">
            <v>ايمان رمضان السعيد مصطفي</v>
          </cell>
          <cell r="M105">
            <v>28807031200187</v>
          </cell>
          <cell r="N105" t="str">
            <v>منسق بيانات</v>
          </cell>
          <cell r="O105" t="str">
            <v>منسقى البيانات</v>
          </cell>
          <cell r="P105" t="str">
            <v>الادارى</v>
          </cell>
          <cell r="Q105" t="str">
            <v>المنصورة</v>
          </cell>
        </row>
        <row r="106">
          <cell r="K106">
            <v>485</v>
          </cell>
          <cell r="L106" t="str">
            <v>دينا محمد احمد الصاوي</v>
          </cell>
          <cell r="M106">
            <v>29710250105424</v>
          </cell>
          <cell r="N106" t="str">
            <v>منسقى البيانات</v>
          </cell>
          <cell r="O106" t="str">
            <v>منسقى البيانات</v>
          </cell>
          <cell r="P106" t="str">
            <v>الادارى</v>
          </cell>
          <cell r="Q106" t="str">
            <v>القاهرة</v>
          </cell>
        </row>
        <row r="107">
          <cell r="K107">
            <v>486</v>
          </cell>
          <cell r="L107" t="str">
            <v>اسراء صبري رمضان احمد</v>
          </cell>
          <cell r="M107">
            <v>29411260100148</v>
          </cell>
          <cell r="N107" t="str">
            <v>وكيل تحصيل هاتفى</v>
          </cell>
          <cell r="O107" t="str">
            <v xml:space="preserve"> شركة ماني فيللوز </v>
          </cell>
          <cell r="P107" t="str">
            <v>التحصيل</v>
          </cell>
          <cell r="Q107" t="str">
            <v>القاهرة</v>
          </cell>
        </row>
        <row r="108">
          <cell r="K108">
            <v>487</v>
          </cell>
          <cell r="L108" t="str">
            <v>محمود رياض محمد رياض</v>
          </cell>
          <cell r="M108">
            <v>30509300112158</v>
          </cell>
          <cell r="N108" t="str">
            <v>وكيل تحصيل</v>
          </cell>
          <cell r="O108" t="str">
            <v>بنك الاسكندرية</v>
          </cell>
          <cell r="P108" t="str">
            <v>التحصيل</v>
          </cell>
          <cell r="Q108" t="str">
            <v>القاهرة</v>
          </cell>
        </row>
        <row r="109">
          <cell r="K109">
            <v>492</v>
          </cell>
          <cell r="L109" t="str">
            <v>اسامه محمد احمد عبد الحميد</v>
          </cell>
          <cell r="M109">
            <v>28206152104831</v>
          </cell>
          <cell r="O109" t="str">
            <v>تحصيل / شئون قانونية</v>
          </cell>
          <cell r="P109" t="str">
            <v>الادارى</v>
          </cell>
          <cell r="Q109" t="str">
            <v>القاهرة</v>
          </cell>
        </row>
        <row r="110">
          <cell r="K110">
            <v>493</v>
          </cell>
          <cell r="L110" t="str">
            <v>محمود محمد محمود محمد</v>
          </cell>
          <cell r="M110">
            <v>29809301408733</v>
          </cell>
          <cell r="N110" t="str">
            <v>محامى</v>
          </cell>
          <cell r="O110" t="str">
            <v>الشئون القانونية</v>
          </cell>
          <cell r="P110" t="str">
            <v>الادارى</v>
          </cell>
          <cell r="Q110" t="str">
            <v>القاهرة</v>
          </cell>
        </row>
        <row r="111">
          <cell r="K111">
            <v>494</v>
          </cell>
          <cell r="L111" t="str">
            <v>محمود عبد المنعم محمد إبراهيم</v>
          </cell>
          <cell r="M111">
            <v>29010271200832</v>
          </cell>
          <cell r="N111" t="str">
            <v>وكيل تحصيل</v>
          </cell>
          <cell r="P111" t="str">
            <v>التحصيل</v>
          </cell>
          <cell r="Q111" t="str">
            <v>المنصورة</v>
          </cell>
        </row>
        <row r="112">
          <cell r="K112">
            <v>495</v>
          </cell>
          <cell r="L112" t="str">
            <v>أسماء عبد المنعم غنيمي علي</v>
          </cell>
          <cell r="M112">
            <v>28811140101862</v>
          </cell>
          <cell r="N112" t="str">
            <v>وكيل تحصيل هاتفى</v>
          </cell>
          <cell r="O112" t="str">
            <v>شركة فاليو</v>
          </cell>
          <cell r="P112" t="str">
            <v>التحصيل</v>
          </cell>
          <cell r="Q112" t="str">
            <v>القاهرة</v>
          </cell>
        </row>
        <row r="113">
          <cell r="K113">
            <v>497</v>
          </cell>
          <cell r="L113" t="str">
            <v>عمرو خالد ياسين إبراهيم</v>
          </cell>
          <cell r="M113">
            <v>30606290101654</v>
          </cell>
          <cell r="N113" t="str">
            <v>وكيل تحصيل</v>
          </cell>
          <cell r="O113" t="str">
            <v>شركة وسيلة</v>
          </cell>
          <cell r="P113" t="str">
            <v>التحصيل</v>
          </cell>
          <cell r="Q113" t="str">
            <v>القاهرة</v>
          </cell>
        </row>
        <row r="114">
          <cell r="K114">
            <v>498</v>
          </cell>
          <cell r="L114" t="str">
            <v>ياسمين وائل صلاح احمد</v>
          </cell>
          <cell r="M114">
            <v>30410011200166</v>
          </cell>
          <cell r="N114" t="str">
            <v>وكيل تحصيل هاتفى</v>
          </cell>
          <cell r="P114" t="str">
            <v>التحصيل</v>
          </cell>
          <cell r="Q114" t="str">
            <v>المنصورة</v>
          </cell>
        </row>
        <row r="115">
          <cell r="K115">
            <v>500</v>
          </cell>
          <cell r="L115" t="str">
            <v>هايدي هشام السيد امام</v>
          </cell>
          <cell r="M115">
            <v>29202021200043</v>
          </cell>
          <cell r="N115" t="str">
            <v>وكيل تحصيل هاتفى</v>
          </cell>
          <cell r="P115" t="str">
            <v>التحصيل</v>
          </cell>
          <cell r="Q115" t="str">
            <v>المنصورة</v>
          </cell>
        </row>
        <row r="116">
          <cell r="K116">
            <v>502</v>
          </cell>
          <cell r="L116" t="str">
            <v>رحاب عثمان محمود صالح</v>
          </cell>
          <cell r="M116">
            <v>28101011234263</v>
          </cell>
          <cell r="N116" t="str">
            <v>وكيل تحصيل هاتفى</v>
          </cell>
          <cell r="P116" t="str">
            <v>التحصيل</v>
          </cell>
          <cell r="Q116" t="str">
            <v>المنصورة</v>
          </cell>
        </row>
        <row r="117">
          <cell r="K117">
            <v>503</v>
          </cell>
          <cell r="L117" t="str">
            <v>اسلام احمد محمود علي</v>
          </cell>
          <cell r="M117">
            <v>29007171200117</v>
          </cell>
          <cell r="N117" t="str">
            <v>محامى</v>
          </cell>
          <cell r="O117" t="str">
            <v>الشئون القانونية</v>
          </cell>
          <cell r="P117" t="str">
            <v>الادارى</v>
          </cell>
          <cell r="Q117" t="str">
            <v>المنصورة</v>
          </cell>
        </row>
        <row r="118">
          <cell r="K118">
            <v>504</v>
          </cell>
          <cell r="L118" t="str">
            <v>بلال فريد شوقي احمد</v>
          </cell>
          <cell r="M118">
            <v>30609142100214</v>
          </cell>
          <cell r="N118" t="str">
            <v>وكيل تحصيل</v>
          </cell>
          <cell r="O118" t="str">
            <v>بنك الاسكندرية</v>
          </cell>
          <cell r="P118" t="str">
            <v>التحصيل</v>
          </cell>
          <cell r="Q118" t="str">
            <v>القاهرة</v>
          </cell>
        </row>
        <row r="119">
          <cell r="K119">
            <v>507</v>
          </cell>
          <cell r="L119" t="str">
            <v>محمد حسن علي عباس</v>
          </cell>
          <cell r="M119">
            <v>28309011214114</v>
          </cell>
          <cell r="N119" t="str">
            <v>محامى</v>
          </cell>
          <cell r="O119" t="str">
            <v>الشئون القانونية</v>
          </cell>
          <cell r="P119" t="str">
            <v>الادارى</v>
          </cell>
          <cell r="Q119" t="str">
            <v>المنصورة</v>
          </cell>
        </row>
        <row r="120">
          <cell r="K120">
            <v>508</v>
          </cell>
          <cell r="L120" t="str">
            <v>مريم محمود غريب محمد</v>
          </cell>
          <cell r="M120">
            <v>30409022100408</v>
          </cell>
          <cell r="N120" t="str">
            <v>وكيل تحصيل هاتفى</v>
          </cell>
          <cell r="O120" t="str">
            <v>بنك الإسكندرية / شركة سهولة</v>
          </cell>
          <cell r="P120" t="str">
            <v>التحصيل</v>
          </cell>
          <cell r="Q120" t="str">
            <v>القاهرة</v>
          </cell>
        </row>
        <row r="121">
          <cell r="K121">
            <v>509</v>
          </cell>
          <cell r="L121" t="str">
            <v>كريم اشرف فاروق احمد</v>
          </cell>
          <cell r="M121">
            <v>29804181200538</v>
          </cell>
          <cell r="N121" t="str">
            <v>وكيل تحصيل</v>
          </cell>
          <cell r="P121" t="str">
            <v>التحصيل</v>
          </cell>
          <cell r="Q121" t="str">
            <v>المنصورة</v>
          </cell>
        </row>
        <row r="122">
          <cell r="K122">
            <v>511</v>
          </cell>
          <cell r="L122" t="str">
            <v>ورد محمد احمد عبد الحميد شهده</v>
          </cell>
          <cell r="M122">
            <v>30506120107181</v>
          </cell>
          <cell r="N122" t="str">
            <v>وكيل تحصيل هاتفى</v>
          </cell>
          <cell r="O122" t="str">
            <v>بنك الإسكندرية / شركة وسيلة</v>
          </cell>
          <cell r="P122" t="str">
            <v>التحصيل</v>
          </cell>
          <cell r="Q122" t="str">
            <v>القاهرة</v>
          </cell>
        </row>
        <row r="123">
          <cell r="K123">
            <v>512</v>
          </cell>
          <cell r="L123" t="str">
            <v>شريهان كمال شفيق حسب الله</v>
          </cell>
          <cell r="M123">
            <v>28208060104129</v>
          </cell>
          <cell r="N123" t="str">
            <v>وكيل تحصيل هاتفى</v>
          </cell>
          <cell r="O123" t="str">
            <v xml:space="preserve">بنك الإسكندرية </v>
          </cell>
          <cell r="P123" t="str">
            <v>التحصيل</v>
          </cell>
          <cell r="Q123" t="str">
            <v>القاهرة</v>
          </cell>
        </row>
        <row r="124">
          <cell r="K124">
            <v>514</v>
          </cell>
          <cell r="L124" t="str">
            <v>حسين احمد حسين محمود مرسى</v>
          </cell>
          <cell r="M124">
            <v>30207210103056</v>
          </cell>
          <cell r="N124" t="str">
            <v>وكيل تحصيل</v>
          </cell>
          <cell r="O124" t="str">
            <v>شركة فاليو</v>
          </cell>
          <cell r="P124" t="str">
            <v>التحصيل</v>
          </cell>
          <cell r="Q124" t="str">
            <v>القاهرة</v>
          </cell>
        </row>
        <row r="125">
          <cell r="K125">
            <v>515</v>
          </cell>
          <cell r="L125" t="str">
            <v>محمد عبدالمنعم عبدالحليم إبراهيم</v>
          </cell>
          <cell r="M125">
            <v>28406011410539</v>
          </cell>
          <cell r="N125" t="str">
            <v>خدمات معاونة</v>
          </cell>
          <cell r="O125" t="str">
            <v>الخدمات المعاونة</v>
          </cell>
          <cell r="P125" t="str">
            <v>الادارى</v>
          </cell>
          <cell r="Q125" t="str">
            <v>القاهرة</v>
          </cell>
        </row>
        <row r="126">
          <cell r="K126">
            <v>517</v>
          </cell>
          <cell r="L126" t="str">
            <v>فاطمه محمد سيد محمد سيد</v>
          </cell>
          <cell r="M126">
            <v>30506110103684</v>
          </cell>
          <cell r="N126" t="str">
            <v xml:space="preserve">وكيل تحصيل هاتفي </v>
          </cell>
          <cell r="O126" t="str">
            <v>شركة فاليو</v>
          </cell>
          <cell r="P126" t="str">
            <v>التحصيل</v>
          </cell>
          <cell r="Q126" t="str">
            <v>القاهرة</v>
          </cell>
        </row>
        <row r="127">
          <cell r="K127">
            <v>518</v>
          </cell>
          <cell r="L127" t="str">
            <v xml:space="preserve">زينب عبدالرحمن احمد عبدالرحمن </v>
          </cell>
          <cell r="M127">
            <v>30506130100363</v>
          </cell>
          <cell r="N127" t="str">
            <v xml:space="preserve">وكيل تحصيل هاتفي </v>
          </cell>
          <cell r="O127" t="str">
            <v>شركة فاليو</v>
          </cell>
          <cell r="P127" t="str">
            <v>التحصيل</v>
          </cell>
          <cell r="Q127" t="str">
            <v>القاهرة</v>
          </cell>
        </row>
        <row r="128">
          <cell r="K128">
            <v>519</v>
          </cell>
          <cell r="L128" t="str">
            <v>يوسف محمد مسعود ديوشى عمار</v>
          </cell>
          <cell r="M128">
            <v>30406040100378</v>
          </cell>
          <cell r="N128" t="str">
            <v>وكيل تحصيل</v>
          </cell>
          <cell r="O128" t="str">
            <v>شركة راية</v>
          </cell>
          <cell r="P128" t="str">
            <v>التحصيل</v>
          </cell>
          <cell r="Q128" t="str">
            <v>القاهرة</v>
          </cell>
        </row>
        <row r="129">
          <cell r="K129">
            <v>520</v>
          </cell>
          <cell r="L129" t="str">
            <v xml:space="preserve">عبله خالد سيد عبده امين </v>
          </cell>
          <cell r="M129">
            <v>30202100101161</v>
          </cell>
          <cell r="N129" t="str">
            <v xml:space="preserve">وكيل تحصيل هاتفي </v>
          </cell>
          <cell r="O129" t="str">
            <v>شركة راية</v>
          </cell>
          <cell r="P129" t="str">
            <v>التحصيل</v>
          </cell>
          <cell r="Q129" t="str">
            <v>القاهرة</v>
          </cell>
        </row>
        <row r="130">
          <cell r="K130">
            <v>522</v>
          </cell>
          <cell r="L130" t="str">
            <v>ايمان محمد هلال الدسوقى</v>
          </cell>
          <cell r="M130">
            <v>29107021200806</v>
          </cell>
          <cell r="N130" t="str">
            <v>وكيل تحصيل هاتفى</v>
          </cell>
          <cell r="P130" t="str">
            <v>التحصيل</v>
          </cell>
          <cell r="Q130" t="str">
            <v>المنصورة</v>
          </cell>
        </row>
        <row r="131">
          <cell r="K131">
            <v>523</v>
          </cell>
          <cell r="L131" t="str">
            <v>عفاف إبراهيم محمد عبد المجيد</v>
          </cell>
          <cell r="M131">
            <v>27705291201101</v>
          </cell>
          <cell r="N131" t="str">
            <v xml:space="preserve">وكيل تحصيل هاتفي </v>
          </cell>
          <cell r="P131" t="str">
            <v>التحصيل</v>
          </cell>
          <cell r="Q131" t="str">
            <v>المنصورة</v>
          </cell>
        </row>
        <row r="132">
          <cell r="K132">
            <v>524</v>
          </cell>
          <cell r="L132" t="str">
            <v>منى يحيي على صادق</v>
          </cell>
          <cell r="M132">
            <v>29507162103187</v>
          </cell>
          <cell r="N132" t="str">
            <v xml:space="preserve">وكيل تحصيل هاتفي </v>
          </cell>
          <cell r="O132" t="str">
            <v>بنك كريدي/شركة وسيلة</v>
          </cell>
          <cell r="P132" t="str">
            <v>التحصيل</v>
          </cell>
          <cell r="Q132" t="str">
            <v>القاهرة</v>
          </cell>
        </row>
        <row r="133">
          <cell r="K133">
            <v>525</v>
          </cell>
          <cell r="L133" t="str">
            <v>عبير سليمان خلف</v>
          </cell>
          <cell r="M133">
            <v>30110102505047</v>
          </cell>
          <cell r="N133" t="str">
            <v xml:space="preserve">وكيل تحصيل هاتفي </v>
          </cell>
          <cell r="O133" t="str">
            <v>بنك الاسكندرية</v>
          </cell>
          <cell r="P133" t="str">
            <v>التحصيل</v>
          </cell>
          <cell r="Q133" t="str">
            <v>القاهرة</v>
          </cell>
        </row>
        <row r="134">
          <cell r="K134">
            <v>526</v>
          </cell>
          <cell r="L134" t="str">
            <v>جميلة اشرف محمد</v>
          </cell>
          <cell r="M134">
            <v>30108262102467</v>
          </cell>
          <cell r="N134" t="str">
            <v xml:space="preserve">وكيل تحصيل هاتفي </v>
          </cell>
          <cell r="O134" t="str">
            <v>بنك الاسكندرية</v>
          </cell>
          <cell r="P134" t="str">
            <v>التحصيل</v>
          </cell>
          <cell r="Q134" t="str">
            <v>القاهرة</v>
          </cell>
        </row>
        <row r="135">
          <cell r="K135">
            <v>527</v>
          </cell>
          <cell r="L135" t="str">
            <v>محمد محمود حسين محمود</v>
          </cell>
          <cell r="M135">
            <v>30206020103231</v>
          </cell>
          <cell r="N135" t="str">
            <v>مشرف تحصيل</v>
          </cell>
          <cell r="O135" t="str">
            <v>بنك الاسكندرية</v>
          </cell>
          <cell r="P135" t="str">
            <v>التحصيل</v>
          </cell>
          <cell r="Q135" t="str">
            <v>القاهرة</v>
          </cell>
        </row>
        <row r="136">
          <cell r="K136">
            <v>530</v>
          </cell>
          <cell r="L136" t="str">
            <v xml:space="preserve">هند سيد السيد علي يونس </v>
          </cell>
          <cell r="M136">
            <v>30502171401488</v>
          </cell>
          <cell r="N136" t="str">
            <v xml:space="preserve">وكيل تحصيل هاتفي </v>
          </cell>
          <cell r="O136" t="str">
            <v>شركة فاليو</v>
          </cell>
          <cell r="P136" t="str">
            <v>التحصيل</v>
          </cell>
          <cell r="Q136" t="str">
            <v>القاهرة</v>
          </cell>
        </row>
        <row r="137">
          <cell r="K137">
            <v>534</v>
          </cell>
          <cell r="L137" t="str">
            <v>صفيه وائل محمد حسن سليمان</v>
          </cell>
          <cell r="M137">
            <v>30602180104261</v>
          </cell>
          <cell r="N137" t="str">
            <v>وكيل تحصيل هاتفى</v>
          </cell>
          <cell r="O137" t="str">
            <v>شركة فاليو</v>
          </cell>
          <cell r="P137" t="str">
            <v>التحصيل</v>
          </cell>
          <cell r="Q137" t="str">
            <v>القاهرة</v>
          </cell>
        </row>
        <row r="138">
          <cell r="K138">
            <v>536</v>
          </cell>
          <cell r="L138" t="str">
            <v>امل حلمى مسعد فهيد</v>
          </cell>
          <cell r="M138">
            <v>28405201201387</v>
          </cell>
          <cell r="N138" t="str">
            <v xml:space="preserve">وكيل تحصيل هاتفي </v>
          </cell>
          <cell r="P138" t="str">
            <v>التحصيل</v>
          </cell>
          <cell r="Q138" t="str">
            <v>المنصورة</v>
          </cell>
        </row>
        <row r="139">
          <cell r="K139">
            <v>539</v>
          </cell>
          <cell r="L139" t="str">
            <v xml:space="preserve">محمد مدحت عبدالمنعم مصطفى حسن </v>
          </cell>
          <cell r="M139">
            <v>29905220100296</v>
          </cell>
          <cell r="N139" t="str">
            <v>محاسب</v>
          </cell>
          <cell r="O139" t="str">
            <v>المالية</v>
          </cell>
          <cell r="P139" t="str">
            <v>الادارى</v>
          </cell>
          <cell r="Q139" t="str">
            <v>القاهرة</v>
          </cell>
        </row>
        <row r="140">
          <cell r="K140">
            <v>540</v>
          </cell>
          <cell r="L140" t="str">
            <v xml:space="preserve">سلسبيل احمد جاد عبد المقصود </v>
          </cell>
          <cell r="M140">
            <v>29710290101723</v>
          </cell>
          <cell r="N140" t="str">
            <v xml:space="preserve">وكيل تحصيل هاتفي </v>
          </cell>
          <cell r="O140" t="str">
            <v>بنك كريدى اجريكول</v>
          </cell>
          <cell r="P140" t="str">
            <v>التحصيل</v>
          </cell>
          <cell r="Q140" t="str">
            <v>القاهرة</v>
          </cell>
        </row>
        <row r="141">
          <cell r="K141">
            <v>541</v>
          </cell>
          <cell r="L141" t="str">
            <v>شيماء السيد السيد شلبى شهده</v>
          </cell>
          <cell r="M141">
            <v>29403301201521</v>
          </cell>
          <cell r="N141" t="str">
            <v xml:space="preserve">وكيل تحصيل هاتفي </v>
          </cell>
          <cell r="P141" t="str">
            <v>التحصيل</v>
          </cell>
          <cell r="Q141" t="str">
            <v>المنصورة</v>
          </cell>
        </row>
        <row r="142">
          <cell r="K142">
            <v>162</v>
          </cell>
          <cell r="L142" t="str">
            <v>عمرو على سليم محمد السيد</v>
          </cell>
          <cell r="M142"/>
          <cell r="N142" t="str">
            <v>مشرف تحصيل</v>
          </cell>
          <cell r="O142" t="str">
            <v>مانى فللوز /كريدى اجريكول</v>
          </cell>
          <cell r="P142" t="str">
            <v>التحصيل</v>
          </cell>
          <cell r="Q142" t="str">
            <v>المنصورة</v>
          </cell>
        </row>
        <row r="143">
          <cell r="K143">
            <v>368</v>
          </cell>
          <cell r="L143" t="str">
            <v>سعيد دياب حامد سعيد</v>
          </cell>
          <cell r="M143"/>
          <cell r="N143" t="str">
            <v>مسئول تنفيذ</v>
          </cell>
          <cell r="O143" t="str">
            <v>الشئون القانونية</v>
          </cell>
          <cell r="P143" t="str">
            <v>الادارى</v>
          </cell>
          <cell r="Q143" t="str">
            <v>القاهرة</v>
          </cell>
        </row>
        <row r="144">
          <cell r="K144">
            <v>380</v>
          </cell>
          <cell r="L144" t="str">
            <v>عمرو حسن محمد عصران احمد</v>
          </cell>
          <cell r="M144"/>
          <cell r="N144" t="str">
            <v>وكيل تحصيل</v>
          </cell>
          <cell r="O144" t="str">
            <v>بنك الإسكندرية</v>
          </cell>
          <cell r="P144" t="str">
            <v>التحصيل</v>
          </cell>
          <cell r="Q144" t="str">
            <v>القاهرة</v>
          </cell>
        </row>
        <row r="145">
          <cell r="K145">
            <v>390</v>
          </cell>
          <cell r="L145" t="str">
            <v>اسلام حسام مصطفى عبد العال</v>
          </cell>
          <cell r="M145"/>
          <cell r="N145" t="str">
            <v>وكيل تحصيل</v>
          </cell>
          <cell r="O145" t="str">
            <v>شركة تنمية</v>
          </cell>
          <cell r="P145" t="str">
            <v>التحصيل</v>
          </cell>
          <cell r="Q145" t="str">
            <v>القاهرة</v>
          </cell>
        </row>
        <row r="146">
          <cell r="K146">
            <v>391</v>
          </cell>
          <cell r="L146" t="str">
            <v>عبد الرحمن فريد عبد المنعم محمد احمد</v>
          </cell>
          <cell r="M146"/>
          <cell r="N146" t="str">
            <v>وكيل تحصيل</v>
          </cell>
          <cell r="O146" t="str">
            <v>بنك كريدى اجريكول</v>
          </cell>
          <cell r="P146" t="str">
            <v>التحصيل</v>
          </cell>
          <cell r="Q146" t="str">
            <v>القاهرة</v>
          </cell>
        </row>
        <row r="147">
          <cell r="K147">
            <v>403</v>
          </cell>
          <cell r="L147" t="str">
            <v>ملك يسرى عبد الشافى عبدربه محمد هلهل</v>
          </cell>
          <cell r="M147"/>
          <cell r="N147" t="str">
            <v>وكيل تحصيل هاتفى</v>
          </cell>
          <cell r="O147" t="str">
            <v>شركة فاليو</v>
          </cell>
          <cell r="P147" t="str">
            <v>التحصيل</v>
          </cell>
          <cell r="Q147" t="str">
            <v>القاهرة</v>
          </cell>
        </row>
        <row r="148">
          <cell r="K148">
            <v>430</v>
          </cell>
          <cell r="L148" t="str">
            <v>ملك يوسف احمد سيد</v>
          </cell>
          <cell r="M148"/>
          <cell r="N148" t="str">
            <v>وكيل تحصيل هاتفى</v>
          </cell>
          <cell r="O148" t="str">
            <v>شركة راية</v>
          </cell>
          <cell r="P148" t="str">
            <v>التحصيل</v>
          </cell>
          <cell r="Q148" t="str">
            <v>القاهرة</v>
          </cell>
        </row>
        <row r="149">
          <cell r="K149">
            <v>451</v>
          </cell>
          <cell r="L149" t="str">
            <v>ياسمين عبد الحميد البكري عبد الحميد</v>
          </cell>
          <cell r="M149"/>
          <cell r="N149" t="str">
            <v>وكيل تحصيل هاتفى</v>
          </cell>
          <cell r="O149" t="str">
            <v>بنك  الإسكندرية / شركة وسيلة</v>
          </cell>
          <cell r="P149" t="str">
            <v>التحصيل</v>
          </cell>
          <cell r="Q149" t="str">
            <v>القاهرة</v>
          </cell>
        </row>
        <row r="150">
          <cell r="K150">
            <v>455</v>
          </cell>
          <cell r="L150" t="str">
            <v>اشرقت وليد محمد  جودة</v>
          </cell>
          <cell r="M150"/>
          <cell r="N150" t="str">
            <v>وكيل تحصيل هاتفى</v>
          </cell>
          <cell r="O150" t="str">
            <v>شركة تنمية</v>
          </cell>
          <cell r="P150" t="str">
            <v>التحصيل</v>
          </cell>
          <cell r="Q150" t="str">
            <v>القاهرة</v>
          </cell>
        </row>
        <row r="151">
          <cell r="K151">
            <v>457</v>
          </cell>
          <cell r="L151" t="str">
            <v>سعيد عماد محمد عفيفي</v>
          </cell>
          <cell r="M151"/>
          <cell r="N151" t="str">
            <v>وكيل تحصيل</v>
          </cell>
          <cell r="O151" t="str">
            <v>شركة فاليو</v>
          </cell>
          <cell r="P151" t="str">
            <v>التحصيل</v>
          </cell>
          <cell r="Q151" t="str">
            <v>القاهرة</v>
          </cell>
        </row>
        <row r="152">
          <cell r="K152">
            <v>459</v>
          </cell>
          <cell r="L152" t="str">
            <v>ولاء عادل عبده التهامي</v>
          </cell>
          <cell r="M152"/>
          <cell r="N152" t="str">
            <v>خدمات معاونة</v>
          </cell>
          <cell r="O152" t="str">
            <v>الخدمات المعاونة</v>
          </cell>
          <cell r="P152" t="str">
            <v>الادارى</v>
          </cell>
          <cell r="Q152" t="str">
            <v>القاهرة</v>
          </cell>
        </row>
        <row r="153">
          <cell r="K153">
            <v>481</v>
          </cell>
          <cell r="L153" t="str">
            <v>مصطفي عطا فراج إبراهيم</v>
          </cell>
          <cell r="M153"/>
          <cell r="N153" t="str">
            <v>وكيل تحصيل</v>
          </cell>
          <cell r="O153" t="str">
            <v>بنك كريدى اجريكول</v>
          </cell>
          <cell r="P153" t="str">
            <v>التحصيل</v>
          </cell>
          <cell r="Q153" t="str">
            <v>القاهرة</v>
          </cell>
        </row>
        <row r="154">
          <cell r="K154">
            <v>496</v>
          </cell>
          <cell r="L154" t="str">
            <v>نورهان إبراهيم عطيه احمد</v>
          </cell>
          <cell r="M154"/>
          <cell r="N154" t="str">
            <v>وكيل تحصيل هاتفى</v>
          </cell>
          <cell r="O154" t="str">
            <v>شركة سهولة</v>
          </cell>
          <cell r="P154" t="str">
            <v>التحصيل</v>
          </cell>
          <cell r="Q154" t="str">
            <v>القاهرة</v>
          </cell>
        </row>
        <row r="155">
          <cell r="K155">
            <v>505</v>
          </cell>
          <cell r="L155" t="str">
            <v>لميس خالد محمد عبد العزيز</v>
          </cell>
          <cell r="M155"/>
          <cell r="N155" t="str">
            <v>وكيل تحصيل هاتفى</v>
          </cell>
          <cell r="P155" t="str">
            <v>التحصيل</v>
          </cell>
          <cell r="Q155" t="str">
            <v>المنصورة</v>
          </cell>
        </row>
        <row r="156">
          <cell r="K156">
            <v>506</v>
          </cell>
          <cell r="L156" t="str">
            <v xml:space="preserve">نورهان اسامه جمعه علي </v>
          </cell>
          <cell r="M156"/>
          <cell r="N156" t="str">
            <v>وكيل تحصيل هاتفى</v>
          </cell>
          <cell r="O156" t="str">
            <v>بنك كريدى اجريكول</v>
          </cell>
          <cell r="P156" t="str">
            <v>التحصيل</v>
          </cell>
          <cell r="Q156" t="str">
            <v>القاهرة</v>
          </cell>
        </row>
        <row r="157">
          <cell r="K157">
            <v>510</v>
          </cell>
          <cell r="L157" t="str">
            <v>احمد محمد احمد عبد الونيس</v>
          </cell>
          <cell r="M157"/>
          <cell r="N157" t="str">
            <v>وكيل تحصيل</v>
          </cell>
          <cell r="O157" t="str">
            <v>بنك الاسكندرية</v>
          </cell>
          <cell r="P157" t="str">
            <v>التحصيل</v>
          </cell>
          <cell r="Q157" t="str">
            <v>القاهرة</v>
          </cell>
        </row>
        <row r="158">
          <cell r="K158">
            <v>513</v>
          </cell>
          <cell r="L158" t="str">
            <v>مها احمد حسن محمد رزق</v>
          </cell>
          <cell r="M158"/>
          <cell r="N158" t="str">
            <v>وكيل تحصيل هاتفى</v>
          </cell>
          <cell r="O158" t="str">
            <v>بنك الإسكندرية / بنك كريدى اجريكول</v>
          </cell>
          <cell r="P158" t="str">
            <v>التحصيل</v>
          </cell>
          <cell r="Q158" t="str">
            <v>القاهرة</v>
          </cell>
        </row>
        <row r="159">
          <cell r="K159">
            <v>516</v>
          </cell>
          <cell r="L159" t="str">
            <v>حسين شعبان النوبى حسنين</v>
          </cell>
          <cell r="M159"/>
          <cell r="N159" t="str">
            <v>وكيل تحصيل</v>
          </cell>
          <cell r="O159" t="str">
            <v>شركة راية</v>
          </cell>
          <cell r="P159" t="str">
            <v>التحصيل</v>
          </cell>
          <cell r="Q159" t="str">
            <v>القاهرة</v>
          </cell>
        </row>
        <row r="160">
          <cell r="K160">
            <v>521</v>
          </cell>
          <cell r="L160" t="str">
            <v>تغريد احمد سعد محمود رستم</v>
          </cell>
          <cell r="M160"/>
          <cell r="N160" t="str">
            <v xml:space="preserve">وكيل تحصيل هاتفي </v>
          </cell>
          <cell r="P160" t="str">
            <v>التحصيل</v>
          </cell>
          <cell r="Q160" t="str">
            <v>المنصورة</v>
          </cell>
        </row>
        <row r="161">
          <cell r="L161" t="str">
            <v>محمد طلال محمد المعصراوى</v>
          </cell>
          <cell r="M161"/>
          <cell r="N161" t="str">
            <v>وكيل تحصيل</v>
          </cell>
          <cell r="P161" t="str">
            <v>التحصيل</v>
          </cell>
          <cell r="Q161" t="str">
            <v>المنصورة</v>
          </cell>
        </row>
        <row r="162">
          <cell r="K162">
            <v>528</v>
          </cell>
          <cell r="L162" t="str">
            <v>فرح اشرف محمد محمد حسن</v>
          </cell>
          <cell r="M162"/>
          <cell r="N162" t="str">
            <v xml:space="preserve">وكيل تحصيل هاتفي </v>
          </cell>
          <cell r="O162" t="str">
            <v>شركة تنمية</v>
          </cell>
          <cell r="P162" t="str">
            <v>التحصيل</v>
          </cell>
          <cell r="Q162" t="str">
            <v>القاهرة</v>
          </cell>
        </row>
        <row r="163">
          <cell r="K163">
            <v>529</v>
          </cell>
          <cell r="L163" t="str">
            <v xml:space="preserve">احمد سيد محمد ابوالخير سليمان </v>
          </cell>
          <cell r="M163"/>
          <cell r="N163" t="str">
            <v>وكيل تحصيل</v>
          </cell>
          <cell r="O163" t="str">
            <v>بنك الإسكندرية / شركة وسيلة</v>
          </cell>
          <cell r="P163" t="str">
            <v>التحصيل</v>
          </cell>
          <cell r="Q163" t="str">
            <v>القاهرة</v>
          </cell>
        </row>
        <row r="164">
          <cell r="K164">
            <v>531</v>
          </cell>
          <cell r="L164" t="str">
            <v>ياسمين سيد عبدالله إبراهيم حسن نصار</v>
          </cell>
          <cell r="M164"/>
          <cell r="N164" t="str">
            <v xml:space="preserve">وكيل تحصيل هاتفي </v>
          </cell>
          <cell r="O164" t="str">
            <v>شركة تنمية</v>
          </cell>
          <cell r="P164" t="str">
            <v>التحصيل</v>
          </cell>
          <cell r="Q164" t="str">
            <v>القاهرة</v>
          </cell>
        </row>
        <row r="165">
          <cell r="K165">
            <v>532</v>
          </cell>
          <cell r="L165" t="str">
            <v>ندى نبيل محمد عبدالسلام</v>
          </cell>
          <cell r="M165"/>
          <cell r="N165" t="str">
            <v xml:space="preserve">وكيل تحصيل هاتفي </v>
          </cell>
          <cell r="P165" t="str">
            <v>التحصيل</v>
          </cell>
          <cell r="Q165" t="str">
            <v>المنصورة</v>
          </cell>
        </row>
        <row r="166">
          <cell r="K166">
            <v>533</v>
          </cell>
          <cell r="L166" t="str">
            <v>امل زيدان فرج خيرى</v>
          </cell>
          <cell r="M166"/>
          <cell r="N166" t="str">
            <v xml:space="preserve">وكيل تحصيل هاتفي </v>
          </cell>
          <cell r="P166" t="str">
            <v>التحصيل</v>
          </cell>
          <cell r="Q166" t="str">
            <v>المنصورة</v>
          </cell>
        </row>
        <row r="167">
          <cell r="K167">
            <v>535</v>
          </cell>
          <cell r="L167" t="str">
            <v>جورج صبحي جورجي ذكي سعد</v>
          </cell>
          <cell r="M167"/>
          <cell r="N167" t="str">
            <v>وكيل تحصيل</v>
          </cell>
          <cell r="O167" t="str">
            <v>شركة تنمية</v>
          </cell>
          <cell r="P167" t="str">
            <v>التحصيل</v>
          </cell>
          <cell r="Q167" t="str">
            <v>القاهرة</v>
          </cell>
        </row>
        <row r="168">
          <cell r="K168">
            <v>538</v>
          </cell>
          <cell r="L168" t="str">
            <v>بسمه عبدالمنعم إبراهيم السيد</v>
          </cell>
          <cell r="M168"/>
          <cell r="N168" t="str">
            <v xml:space="preserve">وكيل تحصيل هاتفي </v>
          </cell>
          <cell r="O168" t="str">
            <v>شركة تنمية</v>
          </cell>
          <cell r="P168" t="str">
            <v>التحصيل</v>
          </cell>
          <cell r="Q168" t="str">
            <v>القاهرة</v>
          </cell>
        </row>
        <row r="169">
          <cell r="K169">
            <v>281</v>
          </cell>
          <cell r="L169" t="str">
            <v>احمد عاطف محمد محمود</v>
          </cell>
          <cell r="N169" t="str">
            <v xml:space="preserve">وكيل تحصيل </v>
          </cell>
          <cell r="O169" t="str">
            <v>سهولة</v>
          </cell>
          <cell r="P169" t="str">
            <v>التحصيل</v>
          </cell>
          <cell r="Q169" t="str">
            <v>القاهرة</v>
          </cell>
        </row>
        <row r="170">
          <cell r="K170">
            <v>266</v>
          </cell>
          <cell r="L170" t="str">
            <v>عبد الرحمن خالد عبد الفتاح محمد الرياش</v>
          </cell>
          <cell r="N170" t="str">
            <v xml:space="preserve">وكيل تحصيل </v>
          </cell>
          <cell r="O170" t="str">
            <v>فاليو</v>
          </cell>
          <cell r="P170" t="str">
            <v>التحصيل</v>
          </cell>
          <cell r="Q170" t="str">
            <v>القاهرة</v>
          </cell>
        </row>
        <row r="171">
          <cell r="K171">
            <v>339</v>
          </cell>
          <cell r="L171" t="str">
            <v>كريم مجدى ربيع</v>
          </cell>
          <cell r="N171" t="str">
            <v>كبير مشرفى تحصيل</v>
          </cell>
          <cell r="O171" t="str">
            <v>كريدى اجريكول</v>
          </cell>
          <cell r="P171" t="str">
            <v>التحصيل</v>
          </cell>
          <cell r="Q171" t="str">
            <v>القاهرة</v>
          </cell>
        </row>
        <row r="172">
          <cell r="K172">
            <v>3</v>
          </cell>
          <cell r="L172" t="str">
            <v>عبد الرحمن منصور حسن أبو المجد</v>
          </cell>
          <cell r="N172" t="str">
            <v>متعدد</v>
          </cell>
          <cell r="O172" t="str">
            <v>وكيل تحصيل</v>
          </cell>
          <cell r="P172" t="str">
            <v>التحصيل</v>
          </cell>
          <cell r="Q172" t="str">
            <v>الصعيد</v>
          </cell>
        </row>
        <row r="173">
          <cell r="K173">
            <v>128</v>
          </cell>
          <cell r="L173" t="str">
            <v xml:space="preserve">محمد احمد مرسى خليل </v>
          </cell>
          <cell r="N173" t="str">
            <v>متعدد</v>
          </cell>
          <cell r="P173" t="str">
            <v>التحصيل</v>
          </cell>
          <cell r="Q173" t="str">
            <v>المنصورة</v>
          </cell>
        </row>
        <row r="174">
          <cell r="K174">
            <v>141</v>
          </cell>
          <cell r="L174" t="str">
            <v>محمد جمال شحاتة محمد سالم</v>
          </cell>
          <cell r="N174" t="str">
            <v>متعدد</v>
          </cell>
          <cell r="O174" t="str">
            <v>وكيل تحصيل</v>
          </cell>
          <cell r="P174" t="str">
            <v>التحصيل</v>
          </cell>
          <cell r="Q174" t="str">
            <v>المنصورة</v>
          </cell>
        </row>
        <row r="175">
          <cell r="K175">
            <v>542</v>
          </cell>
          <cell r="L175" t="str">
            <v xml:space="preserve">ضحى توفيق فؤاد توفيق </v>
          </cell>
          <cell r="N175" t="str">
            <v>بنك كريدى اجريكول</v>
          </cell>
          <cell r="O175" t="str">
            <v>وكيل تحصيل هاتفى</v>
          </cell>
          <cell r="P175" t="str">
            <v>التحصيل</v>
          </cell>
          <cell r="Q175" t="str">
            <v>القاهرة</v>
          </cell>
        </row>
        <row r="176">
          <cell r="K176">
            <v>543</v>
          </cell>
          <cell r="L176" t="str">
            <v xml:space="preserve">مياده صلاح خالد عبدالعليم </v>
          </cell>
          <cell r="N176" t="str">
            <v>الخدمات المعاونة</v>
          </cell>
          <cell r="O176" t="str">
            <v>خدمات معاونة</v>
          </cell>
          <cell r="P176" t="str">
            <v>الادارى</v>
          </cell>
          <cell r="Q176" t="str">
            <v>القاهرة</v>
          </cell>
        </row>
        <row r="177">
          <cell r="K177">
            <v>544</v>
          </cell>
          <cell r="L177" t="str">
            <v>احمد منصور سليم منصور سليم</v>
          </cell>
          <cell r="N177" t="str">
            <v>الشئون القانونية</v>
          </cell>
          <cell r="O177" t="str">
            <v>محامى</v>
          </cell>
          <cell r="P177" t="str">
            <v>الادارى</v>
          </cell>
          <cell r="Q177" t="str">
            <v>القاهرة</v>
          </cell>
        </row>
        <row r="178">
          <cell r="K178">
            <v>545</v>
          </cell>
          <cell r="L178" t="str">
            <v>محمد الظافر محمد رفعت احمد إبراهيم</v>
          </cell>
          <cell r="N178" t="str">
            <v>الشئون القانونية</v>
          </cell>
          <cell r="O178" t="str">
            <v>محامى</v>
          </cell>
          <cell r="P178" t="str">
            <v>الادارى</v>
          </cell>
          <cell r="Q178" t="str">
            <v>القاهرة</v>
          </cell>
        </row>
        <row r="179">
          <cell r="K179">
            <v>546</v>
          </cell>
          <cell r="L179" t="str">
            <v>احمد عادل محمد احمد</v>
          </cell>
          <cell r="N179" t="str">
            <v>الشئون القانونية</v>
          </cell>
          <cell r="O179" t="str">
            <v>محامى</v>
          </cell>
          <cell r="P179" t="str">
            <v>الادارى</v>
          </cell>
          <cell r="Q179" t="str">
            <v>القاهرة</v>
          </cell>
        </row>
        <row r="180">
          <cell r="K180">
            <v>548</v>
          </cell>
          <cell r="L180" t="str">
            <v>احمد حسين رمضان محمد ربيع</v>
          </cell>
          <cell r="N180" t="str">
            <v>بنك كريدى اجريكول</v>
          </cell>
          <cell r="O180" t="str">
            <v>وكيل تحصيل</v>
          </cell>
          <cell r="P180" t="str">
            <v>التحصيل</v>
          </cell>
          <cell r="Q180" t="str">
            <v>القاهرة</v>
          </cell>
        </row>
        <row r="181">
          <cell r="K181">
            <v>549</v>
          </cell>
          <cell r="L181" t="str">
            <v>مازن احمد عبدالحليم عبدالحميد المرسى</v>
          </cell>
          <cell r="N181" t="str">
            <v>متعدد</v>
          </cell>
          <cell r="O181" t="str">
            <v>وكيل تحصيل</v>
          </cell>
          <cell r="P181" t="str">
            <v>التحصيل</v>
          </cell>
          <cell r="Q181" t="str">
            <v>المنصورة</v>
          </cell>
        </row>
        <row r="182">
          <cell r="K182">
            <v>550</v>
          </cell>
          <cell r="L182" t="str">
            <v>اريج خالد العوضى الدسوقى السايح</v>
          </cell>
          <cell r="N182" t="str">
            <v>شركة سهولة</v>
          </cell>
          <cell r="O182" t="str">
            <v>وكيل تحصيل هاتفى</v>
          </cell>
          <cell r="P182" t="str">
            <v>التحصيل</v>
          </cell>
          <cell r="Q182" t="str">
            <v>المنصورة</v>
          </cell>
        </row>
        <row r="183">
          <cell r="K183">
            <v>551</v>
          </cell>
          <cell r="L183" t="str">
            <v xml:space="preserve">عاطف السيد شحاته السيد الشربينى </v>
          </cell>
          <cell r="N183" t="str">
            <v>بنك الإسكندرية</v>
          </cell>
          <cell r="O183" t="str">
            <v>وكيل تحصيل</v>
          </cell>
          <cell r="P183" t="str">
            <v>التحصيل</v>
          </cell>
          <cell r="Q183" t="str">
            <v>المنصورة</v>
          </cell>
        </row>
        <row r="184">
          <cell r="K184">
            <v>552</v>
          </cell>
          <cell r="L184" t="str">
            <v>صفيناز عبدالقادر علام عبدالقادر</v>
          </cell>
          <cell r="N184" t="str">
            <v>متعدد</v>
          </cell>
          <cell r="O184" t="str">
            <v>وكيل تحصيل هاتفى</v>
          </cell>
          <cell r="P184" t="str">
            <v>التحصيل</v>
          </cell>
          <cell r="Q184" t="str">
            <v>المنصورة</v>
          </cell>
        </row>
        <row r="185">
          <cell r="K185">
            <v>553</v>
          </cell>
          <cell r="L185" t="str">
            <v xml:space="preserve">محمد احمد احمد محمد نصار </v>
          </cell>
          <cell r="N185" t="str">
            <v>بنك الإسكندرية</v>
          </cell>
          <cell r="O185" t="str">
            <v>وكيل تحصيل</v>
          </cell>
          <cell r="P185" t="str">
            <v>التحصيل</v>
          </cell>
          <cell r="Q185" t="str">
            <v>القاهرة</v>
          </cell>
        </row>
        <row r="186">
          <cell r="K186">
            <v>554</v>
          </cell>
          <cell r="L186" t="str">
            <v>نيره عادل محمد حسين حجازى</v>
          </cell>
          <cell r="N186" t="str">
            <v>شركة تنمية</v>
          </cell>
          <cell r="O186" t="str">
            <v>وكيل تحصيل هاتفى</v>
          </cell>
          <cell r="P186" t="str">
            <v>التحصيل</v>
          </cell>
          <cell r="Q186" t="str">
            <v>المنصورة</v>
          </cell>
        </row>
        <row r="187">
          <cell r="K187">
            <v>555</v>
          </cell>
          <cell r="L187" t="str">
            <v>اكرم امين على الوصال</v>
          </cell>
          <cell r="N187" t="str">
            <v>بنك كريدى اجريكول</v>
          </cell>
          <cell r="O187" t="str">
            <v>وكيل تحصيل</v>
          </cell>
          <cell r="P187" t="str">
            <v>التحصيل</v>
          </cell>
          <cell r="Q187" t="str">
            <v>القاهرة</v>
          </cell>
        </row>
        <row r="188">
          <cell r="K188">
            <v>556</v>
          </cell>
          <cell r="L188" t="str">
            <v>روان محمود محمد إبراهيم يوسف</v>
          </cell>
          <cell r="N188" t="str">
            <v>شركة راية</v>
          </cell>
          <cell r="O188" t="str">
            <v>وكيل تحصيل هاتفى</v>
          </cell>
          <cell r="P188" t="str">
            <v>التحصيل</v>
          </cell>
          <cell r="Q188" t="str">
            <v>القاهرة</v>
          </cell>
        </row>
        <row r="189">
          <cell r="K189">
            <v>557</v>
          </cell>
          <cell r="L189" t="str">
            <v>روان عماد الدين امين عبدالعزيز</v>
          </cell>
          <cell r="N189" t="str">
            <v>بنك الإسكندرية</v>
          </cell>
          <cell r="O189" t="str">
            <v>وكيل تحصيل هاتفى</v>
          </cell>
          <cell r="P189" t="str">
            <v>التحصيل</v>
          </cell>
          <cell r="Q189" t="str">
            <v>القاهرة</v>
          </cell>
        </row>
        <row r="190">
          <cell r="K190">
            <v>558</v>
          </cell>
          <cell r="L190" t="str">
            <v xml:space="preserve">ايه محمد الفلاح عبدالقادر </v>
          </cell>
          <cell r="N190" t="str">
            <v>شركة فاليو</v>
          </cell>
          <cell r="O190" t="str">
            <v>مشرف تحصيل</v>
          </cell>
          <cell r="P190" t="str">
            <v>التحصيل</v>
          </cell>
          <cell r="Q190" t="str">
            <v>القاهرة</v>
          </cell>
        </row>
        <row r="191">
          <cell r="K191">
            <v>559</v>
          </cell>
          <cell r="L191" t="str">
            <v>كريمه خليل محمد خليل</v>
          </cell>
          <cell r="N191">
            <v>0</v>
          </cell>
          <cell r="O191" t="str">
            <v>وكيل تحصيل هاتفى</v>
          </cell>
          <cell r="P191" t="str">
            <v>التحصيل</v>
          </cell>
          <cell r="Q191" t="str">
            <v>المنصورة</v>
          </cell>
        </row>
        <row r="192">
          <cell r="K192">
            <v>560</v>
          </cell>
          <cell r="L192" t="str">
            <v>محمد عبدالكريم عكاشه عكاشه يوسف</v>
          </cell>
          <cell r="N192">
            <v>0</v>
          </cell>
          <cell r="O192" t="str">
            <v>it specialist</v>
          </cell>
          <cell r="P192" t="str">
            <v>الادارى</v>
          </cell>
          <cell r="Q192" t="str">
            <v>القاهرة</v>
          </cell>
        </row>
        <row r="193">
          <cell r="K193">
            <v>561</v>
          </cell>
          <cell r="L193" t="str">
            <v>عمار ياسر عبدالمنعم طلبه</v>
          </cell>
          <cell r="N193" t="str">
            <v>شركة سهولة</v>
          </cell>
          <cell r="O193" t="str">
            <v>وكيل تحصيل</v>
          </cell>
          <cell r="P193" t="str">
            <v>التحصيل</v>
          </cell>
          <cell r="Q193" t="str">
            <v>القاهرة</v>
          </cell>
        </row>
        <row r="194">
          <cell r="K194">
            <v>562</v>
          </cell>
          <cell r="L194" t="str">
            <v>عبدالله جابر عبدالمجيد محمد الاكراشى</v>
          </cell>
          <cell r="O194" t="str">
            <v>وكيل تحصيل</v>
          </cell>
          <cell r="P194" t="str">
            <v>التحصيل</v>
          </cell>
          <cell r="Q194" t="str">
            <v>المنصورة</v>
          </cell>
        </row>
        <row r="195">
          <cell r="K195">
            <v>574</v>
          </cell>
          <cell r="L195" t="str">
            <v>عادل الادهم امين احمد</v>
          </cell>
          <cell r="N195" t="str">
            <v>بنك كريدى اجريكول</v>
          </cell>
          <cell r="O195" t="str">
            <v>مشرف تحصيل</v>
          </cell>
          <cell r="P195" t="str">
            <v>التحصيل</v>
          </cell>
          <cell r="Q195" t="str">
            <v>القاهرة</v>
          </cell>
        </row>
        <row r="196">
          <cell r="K196">
            <v>573</v>
          </cell>
          <cell r="L196" t="str">
            <v xml:space="preserve">كريم البكرى محمدى بكرى سويلم </v>
          </cell>
          <cell r="N196" t="str">
            <v>بنك كريدى اجريكول</v>
          </cell>
          <cell r="O196" t="str">
            <v>وكيل تحصيل</v>
          </cell>
          <cell r="P196" t="str">
            <v>التحصيل</v>
          </cell>
          <cell r="Q196" t="str">
            <v>القاهرة</v>
          </cell>
        </row>
        <row r="197">
          <cell r="K197">
            <v>577</v>
          </cell>
          <cell r="L197" t="str">
            <v>عزيزه عبدالكريم حسين غنيم</v>
          </cell>
          <cell r="N197" t="str">
            <v>الشئون القانونية</v>
          </cell>
          <cell r="O197" t="str">
            <v>محامى</v>
          </cell>
          <cell r="P197" t="str">
            <v>الادارى</v>
          </cell>
          <cell r="Q197" t="str">
            <v>القاهرة</v>
          </cell>
        </row>
        <row r="198">
          <cell r="K198">
            <v>570</v>
          </cell>
          <cell r="L198" t="str">
            <v xml:space="preserve">مصطفى محمد عبدالرازق احمد </v>
          </cell>
          <cell r="N198" t="str">
            <v>بنك كريدى اجريكول</v>
          </cell>
          <cell r="O198" t="str">
            <v>وكيل تحصيل</v>
          </cell>
          <cell r="P198" t="str">
            <v>التحصيل</v>
          </cell>
          <cell r="Q198" t="str">
            <v>القاهرة</v>
          </cell>
        </row>
        <row r="199">
          <cell r="K199">
            <v>582</v>
          </cell>
          <cell r="L199" t="str">
            <v xml:space="preserve">عبدالرحمن سيد عبد الفتاح أبو الفتوح </v>
          </cell>
          <cell r="N199" t="str">
            <v>الشئون القانونية</v>
          </cell>
          <cell r="O199" t="str">
            <v>محامى</v>
          </cell>
          <cell r="P199" t="str">
            <v>الادارى</v>
          </cell>
          <cell r="Q199" t="str">
            <v>القاهرة</v>
          </cell>
        </row>
        <row r="200">
          <cell r="K200">
            <v>598</v>
          </cell>
          <cell r="L200" t="str">
            <v>على مصطفى كامل حسين</v>
          </cell>
          <cell r="N200" t="str">
            <v>بنك الإسكندرية</v>
          </cell>
          <cell r="O200" t="str">
            <v>وكيل تحصيل</v>
          </cell>
          <cell r="P200" t="str">
            <v>التحصيل</v>
          </cell>
          <cell r="Q200" t="str">
            <v>القاهرة</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التقرير"/>
      <sheetName val="ايداعات"/>
      <sheetName val="انستا باى"/>
      <sheetName val="اتصالات كاش"/>
      <sheetName val="فودافون كاش"/>
      <sheetName val="امان"/>
      <sheetName val="فورى"/>
    </sheetNames>
    <sheetDataSet>
      <sheetData sheetId="0">
        <row r="13">
          <cell r="F13">
            <v>49667.985000000001</v>
          </cell>
        </row>
      </sheetData>
      <sheetData sheetId="1"/>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بيانات"/>
      <sheetName val="تقرير المأموريات"/>
      <sheetName val="Total"/>
      <sheetName val="رسوم"/>
    </sheetNames>
    <sheetDataSet>
      <sheetData sheetId="0" refreshError="1"/>
      <sheetData sheetId="1" refreshError="1"/>
      <sheetData sheetId="2"/>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 "/>
      <sheetName val="بنك كريدي   2023"/>
      <sheetName val="بنك مصر  2023"/>
      <sheetName val="Rebort total "/>
      <sheetName val="خزينة 2023"/>
      <sheetName val="خزينه السلف "/>
      <sheetName val="راس المال "/>
      <sheetName val="عهده"/>
      <sheetName val="مستحقات لدي الغير "/>
      <sheetName val="خزينه تسويات (لم يتم القبض )"/>
      <sheetName val="تحويلات فودافون كاش "/>
    </sheetNames>
    <sheetDataSet>
      <sheetData sheetId="0"/>
      <sheetData sheetId="1"/>
      <sheetData sheetId="2"/>
      <sheetData sheetId="3"/>
      <sheetData sheetId="4">
        <row r="58">
          <cell r="C58">
            <v>5000</v>
          </cell>
        </row>
        <row r="59">
          <cell r="C59">
            <v>5000</v>
          </cell>
        </row>
        <row r="60">
          <cell r="C60">
            <v>5000</v>
          </cell>
        </row>
        <row r="61">
          <cell r="C61">
            <v>5000</v>
          </cell>
        </row>
        <row r="78">
          <cell r="C78">
            <v>20000</v>
          </cell>
        </row>
        <row r="79">
          <cell r="C79">
            <v>20000</v>
          </cell>
        </row>
        <row r="80">
          <cell r="C80">
            <v>20000</v>
          </cell>
        </row>
        <row r="81">
          <cell r="C81">
            <v>20000</v>
          </cell>
        </row>
        <row r="96">
          <cell r="C96">
            <v>10000</v>
          </cell>
        </row>
        <row r="97">
          <cell r="C97">
            <v>10000</v>
          </cell>
        </row>
        <row r="98">
          <cell r="C98">
            <v>10000</v>
          </cell>
        </row>
        <row r="99">
          <cell r="C99">
            <v>10000</v>
          </cell>
        </row>
        <row r="117">
          <cell r="C117">
            <v>5000</v>
          </cell>
        </row>
        <row r="132">
          <cell r="C132">
            <v>10000</v>
          </cell>
        </row>
        <row r="133">
          <cell r="C133">
            <v>5000</v>
          </cell>
        </row>
        <row r="136">
          <cell r="C136">
            <v>5000</v>
          </cell>
        </row>
        <row r="137">
          <cell r="C137">
            <v>5000</v>
          </cell>
        </row>
        <row r="146">
          <cell r="C146">
            <v>10000</v>
          </cell>
        </row>
        <row r="157">
          <cell r="C157">
            <v>5000</v>
          </cell>
        </row>
        <row r="158">
          <cell r="C158">
            <v>5000</v>
          </cell>
        </row>
        <row r="159">
          <cell r="C159">
            <v>5000</v>
          </cell>
        </row>
        <row r="160">
          <cell r="C160">
            <v>5000</v>
          </cell>
        </row>
        <row r="177">
          <cell r="C177">
            <v>10000</v>
          </cell>
        </row>
        <row r="179">
          <cell r="C179">
            <v>10000</v>
          </cell>
        </row>
        <row r="180">
          <cell r="C180">
            <v>10000</v>
          </cell>
        </row>
        <row r="181">
          <cell r="C181">
            <v>10000</v>
          </cell>
        </row>
        <row r="201">
          <cell r="C201">
            <v>10000</v>
          </cell>
        </row>
        <row r="205">
          <cell r="C205">
            <v>15000</v>
          </cell>
        </row>
        <row r="206">
          <cell r="C206">
            <v>15000</v>
          </cell>
        </row>
        <row r="223">
          <cell r="C223">
            <v>10000</v>
          </cell>
        </row>
      </sheetData>
      <sheetData sheetId="5"/>
      <sheetData sheetId="6"/>
      <sheetData sheetId="7"/>
      <sheetData sheetId="8"/>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Ahmed Abd ElBaset" id="{051BF861-8466-491E-8AB8-9474ADAA708F}" userId="S-1-5-21-1304008095-3539897153-930435779-116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nance 2" refreshedDate="45992.018202662039" createdVersion="8" refreshedVersion="8" minRefreshableVersion="3" recordCount="141" xr:uid="{8E6B202D-002B-4925-9DFC-3679D9F55575}">
  <cacheSource type="worksheet">
    <worksheetSource name="Table4"/>
  </cacheSource>
  <cacheFields count="11">
    <cacheField name="التاريخ " numFmtId="165">
      <sharedItems containsNonDate="0" containsDate="1" containsString="0" containsBlank="1" minDate="2024-04-18T00:00:00" maxDate="2025-11-27T00:00:00"/>
    </cacheField>
    <cacheField name="الشهر " numFmtId="0">
      <sharedItems/>
    </cacheField>
    <cacheField name="الكود" numFmtId="0">
      <sharedItems containsString="0" containsBlank="1" containsNumber="1" containsInteger="1" minValue="1" maxValue="5000" count="185">
        <n v="281"/>
        <n v="266"/>
        <n v="339"/>
        <n v="574"/>
        <n v="340"/>
        <n v="515"/>
        <n v="701"/>
        <n v="284"/>
        <n v="544"/>
        <n v="744"/>
        <n v="197"/>
        <n v="657"/>
        <n v="119"/>
        <n v="527"/>
        <n v="655"/>
        <n v="332"/>
        <n v="731"/>
        <n v="749"/>
        <n v="747"/>
        <n v="594"/>
        <n v="31"/>
        <n v="45"/>
        <n v="774"/>
        <n v="756"/>
        <n v="621"/>
        <n v="512"/>
        <n v="54"/>
        <n v="71"/>
        <n v="705"/>
        <n v="702"/>
        <n v="707"/>
        <n v="759"/>
        <n v="239"/>
        <n v="238"/>
        <n v="642"/>
        <n v="612"/>
        <m/>
        <n v="223" u="1"/>
        <n v="378" u="1"/>
        <n v="611" u="1"/>
        <n v="609" u="1"/>
        <n v="745" u="1"/>
        <n v="725" u="1"/>
        <n v="735" u="1"/>
        <n v="710" u="1"/>
        <n v="706" u="1"/>
        <n v="215" u="1"/>
        <n v="125" u="1"/>
        <n v="695" u="1"/>
        <n v="97" u="1"/>
        <n v="336" u="1"/>
        <n v="341" u="1"/>
        <n v="151" u="1"/>
        <n v="545" u="1"/>
        <n v="389" u="1"/>
        <n v="492" u="1"/>
        <n v="445" u="1"/>
        <n v="543" u="1"/>
        <n v="269" u="1"/>
        <n v="60" u="1"/>
        <n v="258" u="1"/>
        <n v="421" u="1"/>
        <n v="613" u="1"/>
        <n v="603" u="1"/>
        <n v="627" u="1"/>
        <n v="242" u="1"/>
        <n v="608" u="1"/>
        <n v="514" u="1"/>
        <n v="509" u="1"/>
        <n v="289" u="1"/>
        <n v="136" u="1"/>
        <n v="294" u="1"/>
        <n v="162" u="1"/>
        <n v="494" u="1"/>
        <n v="640" u="1"/>
        <n v="549" u="1"/>
        <n v="548" u="1"/>
        <n v="444" u="1"/>
        <n v="558" u="1"/>
        <n v="461" u="1"/>
        <n v="614" u="1"/>
        <n v="593" u="1"/>
        <n v="511" u="1"/>
        <n v="598" u="1"/>
        <n v="573" u="1"/>
        <n v="25" u="1"/>
        <n v="222" u="1"/>
        <n v="345" u="1"/>
        <n v="486" u="1"/>
        <n v="137" u="1"/>
        <n v="128" u="1"/>
        <n v="141" u="1"/>
        <n v="127" u="1"/>
        <n v="562" u="1"/>
        <n v="380" u="1"/>
        <n v="379" u="1"/>
        <n v="456" u="1"/>
        <n v="410" u="1"/>
        <n v="530" u="1"/>
        <n v="148" u="1"/>
        <n v="468" u="1"/>
        <n v="495" u="1"/>
        <n v="418" u="1"/>
        <n v="448" u="1"/>
        <n v="497" u="1"/>
        <n v="221" u="1"/>
        <n v="487" u="1"/>
        <n v="466" u="1"/>
        <n v="356" u="1"/>
        <n v="401" u="1"/>
        <n v="324" u="1"/>
        <n v="478" u="1"/>
        <n v="10" u="1"/>
        <n v="307" u="1"/>
        <n v="519" u="1"/>
        <n v="150" u="1"/>
        <n v="375" u="1"/>
        <n v="362" u="1"/>
        <n v="383" u="1"/>
        <n v="130" u="1"/>
        <n v="498" u="1"/>
        <n v="459" u="1"/>
        <n v="489" u="1"/>
        <n v="481" u="1"/>
        <n v="403" u="1"/>
        <n v="457" u="1"/>
        <n v="169" u="1"/>
        <n v="467" u="1"/>
        <n v="402" u="1"/>
        <n v="434" u="1"/>
        <n v="381" u="1"/>
        <n v="391" u="1"/>
        <n v="302" u="1"/>
        <n v="217" u="1"/>
        <n v="273" u="1"/>
        <n v="262" u="1"/>
        <n v="283" u="1"/>
        <n v="308" u="1"/>
        <n v="412" u="1"/>
        <n v="35" u="1"/>
        <n v="126" u="1"/>
        <n v="1" u="1"/>
        <n v="276" u="1"/>
        <n v="318" u="1"/>
        <n v="422" u="1"/>
        <n v="224" u="1"/>
        <n v="291" u="1"/>
        <n v="397" u="1"/>
        <n v="19" u="1"/>
        <n v="328" u="1"/>
        <n v="299" u="1"/>
        <n v="323" u="1"/>
        <n v="300" u="1"/>
        <n v="344" u="1"/>
        <n v="329" u="1"/>
        <n v="5000" u="1"/>
        <n v="232" u="1"/>
        <n v="319" u="1"/>
        <n v="251" u="1"/>
        <n v="255" u="1"/>
        <n v="317" u="1"/>
        <n v="80" u="1"/>
        <n v="241" u="1"/>
        <n v="250" u="1"/>
        <n v="7" u="1"/>
        <n v="115" u="1"/>
        <n v="286" u="1"/>
        <n v="214" u="1"/>
        <n v="172" u="1"/>
        <n v="257" u="1"/>
        <n v="53" u="1"/>
        <n v="187" u="1"/>
        <n v="201" u="1"/>
        <n v="195" u="1"/>
        <n v="206" u="1"/>
        <n v="264" u="1"/>
        <n v="155" u="1"/>
        <n v="170" u="1"/>
        <n v="248" u="1"/>
        <n v="254" u="1"/>
        <n v="234" u="1"/>
        <n v="240" u="1"/>
        <n v="171" u="1"/>
        <n v="166" u="1"/>
        <n v="212" u="1"/>
      </sharedItems>
    </cacheField>
    <cacheField name="اسم الموظف" numFmtId="0">
      <sharedItems containsBlank="1" count="207">
        <s v="احمد عاطف محمد محمود"/>
        <s v="عبد الرحمن خالد عبد الفتاح محمد الرياش"/>
        <s v="كريم مجدى ربيع"/>
        <s v="عادل الادهم امين احمد"/>
        <s v="اميرة شعراوى ابراهيم  حامد على"/>
        <s v="محمد عبدالمنعم عبدالحليم إبراهيم"/>
        <s v="احمد سيد عبد المنعم"/>
        <s v="زياد كرم عبد الفضيل عبد المجيد"/>
        <s v="احمد منصور سليم منصور سليم"/>
        <s v="الهام حسن عبدالمولي"/>
        <s v="احمد مجدى بكر على "/>
        <s v="محمود فوزى بخيت"/>
        <s v="مصطفى جميل عبد الفتاح محمد شاهين"/>
        <s v="محمد محمود حسين محمود"/>
        <s v="احمد عبدالعزيز إبراهيم عبدالعزيز"/>
        <s v="إسماعيل سلامه إسماعيل بركات "/>
        <s v="يوسف تامر محمد"/>
        <s v="احمد محمد مصطفى عبد الغفار"/>
        <s v="هاله محمد موسى"/>
        <s v="امنيه وليد احمد توفيق"/>
        <s v="محمود النادى أبو الحسن احمد"/>
        <s v="محمد مجدى ربيع عبد الغنى جاد"/>
        <s v="احمد سعيد محمود"/>
        <s v="عبدالله هاني عبد المنعم عيد "/>
        <s v="بسنت نصر سالم محمد سالم"/>
        <s v="شريهان كمال شفيق حسب الله"/>
        <s v="رحاب عبد الهادى احمد بدوى"/>
        <s v="ندى محمد سعد محمد"/>
        <s v="محمود مصطفى محمود"/>
        <s v="فاطمة خالد عبدالمرضى شهاب الدين"/>
        <s v="شهد احمد عبد الله"/>
        <s v="احمد خالد زغلول إبراهيم"/>
        <s v="يوسف كامل  عبد الله صبحى غنيم "/>
        <s v="اشرف محمد محروس محمود "/>
        <s v="سلمى محمد محمد السيد"/>
        <s v="احمد محمد حسنى"/>
        <e v="#N/A"/>
        <s v="هبة خلف محمد احمد" u="1"/>
        <s v="عبد الحميد نبوى فهيم محمد" u="1"/>
        <s v="حنان عادل محمد كمال الدين" u="1"/>
        <s v="احمد عبدالرحمن محمد درويش " u="1"/>
        <s v="محمد اشرف محمد" u="1"/>
        <s v="احمد توفيق عبد الهادى" u="1"/>
        <s v="ادهم خالد محمد" u="1"/>
        <s v="عبد الله محمد عزت" u="1"/>
        <s v="ناريمان محمد فريد عبد المقصود" u="1"/>
        <s v="روان عادل محمد عبد الكريم" u="1"/>
        <s v="احمد محمد مصطفى" u="1"/>
        <s v="زينب محمود محمد محمود صالح" u="1"/>
        <s v="عمر عبد الرحيم إبراهيم" u="1"/>
        <s v="ندى محمد محمود عبد المقصود" u="1"/>
        <s v="زياد احمد سيد محمد" u="1"/>
        <s v="بسنت نصر سالم" u="1"/>
        <s v="نرمين شعراوى إبراهيم حامد على" u="1"/>
        <s v="احمد عبد الباسط عبد السلام محمد " u="1"/>
        <s v="محمد الظافر محمد رفعت احمد إبراهيم" u="1"/>
        <s v="ادهم رؤوف كمال كامل سعيد" u="1"/>
        <s v="اسامه محمد احمد عبد الحميد" u="1"/>
        <s v="أسماء عباس عثمان عباس" u="1"/>
        <s v="مياده صلاح خالد عبدالعليم " u="1"/>
        <s v="هاجر شريف محمد عبد الرؤف " u="1"/>
        <s v="مروة مصطفى على جاد" u="1"/>
        <s v="منار  سيد عثمان احمد " u="1"/>
        <s v="محمد احمد ناجز سعيد" u="1"/>
        <s v="محمد عبدالله منتصر نصار" u="1"/>
        <s v="السيد محمد السيد بدوى حلابه" u="1"/>
        <m u="1"/>
        <s v="اشرف ايمن معوض عبد السلام" u="1"/>
        <s v="محمد احمد محمد" u="1"/>
        <s v="احمد محمد نجيب" u="1"/>
        <s v="حسين احمد حسين محمود مرسى" u="1"/>
        <s v="كريم اشرف فاروق " u="1"/>
        <s v="السيد محمد السيد بدوي " u="1"/>
        <s v="صبري عبد الهادي عبد الهادي" u="1"/>
        <s v="بهاء محمد السيد صالح أبو حسين" u="1"/>
        <s v="باسم ناجي سعد" u="1"/>
        <s v="عمرو على سليم محمد السيد" u="1"/>
        <s v="محمود عبدالمنعم محمد إبراهيم " u="1"/>
        <s v="سامح السعيد عارف إبراهيم ياسين" u="1"/>
        <s v="محمد عبدالله منتصر " u="1"/>
        <s v="مازن احمد عبدالحليم عبدالحميد " u="1"/>
        <s v="نورين محمود عبد السلام" u="1"/>
        <s v="ايه محمد الفلاح عبدالقادر " u="1"/>
        <s v="كريم جمال السيد عبد الهادي" u="1"/>
        <s v="احمد حسين رمضان محمد ربيع" u="1"/>
        <s v="عبدالله رضا بحيرى" u="1"/>
        <s v="عبدالله إيهاب حسن رشدى على " u="1"/>
        <s v="ورد محمد احمد عبد الحميد شهده" u="1"/>
        <s v="على مصطفى كامل حسين" u="1"/>
        <s v="كريم البكرى محمدى بكرى سويلم " u="1"/>
        <s v="منى احمد طه احمد سعد" u="1"/>
        <s v="مريم محمد على سيد خطاب" u="1"/>
        <s v="دعاء محمد عثمان" u="1"/>
        <s v="" u="1"/>
        <s v="كريم البكرى محمدى" u="1"/>
        <s v="اسراء صبري رمضان احمد" u="1"/>
        <s v="محمد وفيق إبراهيم عبد المعطى" u="1"/>
        <s v="محمد احمد مرسي خليل " u="1"/>
        <s v="محمد جمال شحاته " u="1"/>
        <s v="احمد عوض عباس عوض كشك" u="1"/>
        <s v="عبدالله جابر عبدالمجيد " u="1"/>
        <s v="عمرو حسن محمد عصران احمد" u="1"/>
        <s v="حسين محمود حسين حسن" u="1"/>
        <s v="مختار محمد محمد مختار" u="1"/>
        <s v="سيف طارق محمد  إسماعيل" u="1"/>
        <s v="هند سيد السيد علي يونس " u="1"/>
        <s v="امال كمال عبد الله عبد الحليم" u="1"/>
        <s v="حسام حسن محمد حسن" u="1"/>
        <s v="أسماء عبد المنعم غنيمي علي" u="1"/>
        <s v="احمد حمدى محمد سرور" u="1"/>
        <s v="ياسمين ماهر زيدان محمود عبد الباقي" u="1"/>
        <s v="عمرو خالد ياسين إبراهيم" u="1"/>
        <s v="عمرو صابر إبراهيم سيد محمد" u="1"/>
        <s v="محمود رياض محمد رياض" u="1"/>
        <s v="فاطمة محمود سلامه " u="1"/>
        <s v="عبدالله عماد محمد" u="1"/>
        <s v="سامح ماجد الهجرسي" u="1"/>
        <s v="شوقيه محمد عثمان" u="1"/>
        <s v="محمد السيد محمد الدسوقي " u="1"/>
        <s v="كريم اشرف فاروق احمد" u="1"/>
        <s v="عبد المنعم مجدى عبدربه محمد هلهل" u="1"/>
        <s v="حسين محمود حسين" u="1"/>
        <s v="عبد الحميد نبوى فهيم" u="1"/>
        <s v="شيماء حمدى حسن ركابى حامد" u="1"/>
        <s v="يوسف محمد مسعود ديوشى عمار" u="1"/>
        <s v="اسراء صبرى رمضان" u="1"/>
        <s v="كريم جمال السيد عبد الهادى" u="1"/>
        <s v="حسين احمد حسين" u="1"/>
        <s v="زياد احمد سيد" u="1"/>
        <s v="ندى محمد سعد" u="1"/>
        <s v="هدى حسن السيد على الضوى" u="1"/>
        <s v="مصطفى جميل عبد الفتاح محمد" u="1"/>
        <s v="اسراء خالد محمود" u="1"/>
        <s v="احمد محمد محمود" u="1"/>
        <s v="محمد عبد المنعم عبد الحليم" u="1"/>
        <s v="أميرة شعراوى إبراهيم حامد" u="1"/>
        <s v="ايه حمدي رجب علي" u="1"/>
        <s v="عبد الرحمن عوض عباس عوض كشك" u="1"/>
        <s v="ياسمين وائل صلاح " u="1"/>
        <s v="نرمين شعراوى إبراهيم" u="1"/>
        <s v="ولاء عادل عبده التهامى" u="1"/>
        <s v="احمد على محمد" u="1"/>
        <s v="مصطفى عطا فراج" u="1"/>
        <s v="ملك يسرى عبد الشافى عبدربه محمد هلهل" u="1"/>
        <s v="سعيد عماد محمد عفيفي" u="1"/>
        <s v="احمد ممدوح احمد عباس احمد" u="1"/>
        <s v="مي علاء السيد محمد غريب " u="1"/>
        <s v="ياسر عبد الحكيم حمزه " u="1"/>
        <s v="محمد كمال محمد عبد المنعم" u="1"/>
        <s v="احمد عادل طلعت" u="1"/>
        <s v="عبد الرحمن فريد عبد المنعم" u="1"/>
        <s v="مي سيد إبراهيم" u="1"/>
        <s v="صباح عبد المنعم عتريس حسن" u="1"/>
        <s v="ملك رمضان يوسف عبده " u="1"/>
        <s v="يارا رمضان يوسف" u="1"/>
        <s v="ملك يسرى " u="1"/>
        <s v="طارق عصام فتوح حسن " u="1"/>
        <s v="روضة ايمن إبراهيم عبد الحميد" u="1"/>
        <s v="محمد عبد الوهاب ابراهيم عبد الوهاب" u="1"/>
        <s v="رحمة مصطفى خلف الله" u="1"/>
        <s v="حبيبة عادل بدرالدين" u="1"/>
        <s v="احمد شريف سليمان امين سليمان" u="1"/>
        <s v="مصطفي محمود محمد" u="1"/>
        <s v="احمد مصطفي كامل" u="1"/>
        <s v="يوسف عاطف حسين عبد الرحمن علي" u="1"/>
        <s v="حبيبة عادل بدر" u="1"/>
        <s v="أميرة شعراوى " u="1"/>
        <s v="إبراهيم محمود حسن السيد محفوظ" u="1"/>
        <s v="سعيد عبد الله سعيد" u="1"/>
        <s v="هاجر شريف محمد" u="1"/>
        <s v="محمد محمد السيد إبراهيم محمد" u="1"/>
        <s v="سحر اوسامة احمد محمد" u="1"/>
        <s v="منة هشام سعيد" u="1"/>
        <s v="انجى حسن فوزى" u="1"/>
        <s v="مهند وليد متولى محمد الجمل" u="1"/>
        <s v="أسماء حسن على" u="1"/>
        <s v="شهد شعبان عبد الرحمن" u="1"/>
        <s v="محمد رضا محمد سليمان" u="1"/>
        <s v="نور خالد وجدى هاشم" u="1"/>
        <s v="اسلام رفعت شحاته " u="1"/>
        <s v="احمد سيد حسين" u="1"/>
        <s v="هيثم فاروق إبراهيم" u="1"/>
        <s v="مينا محب شلبي" u="1"/>
        <s v="محمد سيد حسن محمود" u="1"/>
        <s v="كريم محمود فهمى عبد الصادق احمد" u="1"/>
        <s v="ندى محمد عاشور سعد " u="1"/>
        <s v="حازم مجدى احمد عبد السميع" u="1"/>
        <s v="احمد عبد المقصود عبد الفضيل" u="1"/>
        <s v="اسلام حسين عبدالفتاح محمد عامر " u="1"/>
        <s v="مصطفى خالد حامد خليل" u="1"/>
        <s v="احمد جمال شحاتة محمد سالم" u="1"/>
        <s v="سامح محمد احمد" u="1"/>
        <s v="احمد الحفنى احمد الجمل" u="1"/>
        <s v="محمد سمير إبراهيم سيد احمد والى" u="1"/>
        <s v="حسام احمد عبد الفتاح حسين" u="1"/>
        <s v="سحر احمد حمدى احمد النجار" u="1"/>
        <s v="كريم عبد المنعم عبد العزيز السيد" u="1"/>
        <s v="عبد الرحمن احمد محمد" u="1"/>
        <s v="خالد محمد عبد العظيم إسماعيل" u="1"/>
        <s v="فاطمة احمد إسماعيل" u="1"/>
        <s v="محمد اشرف محروس" u="1"/>
        <s v="ايمن ماهر جبر" u="1"/>
        <s v="حازم عصام عبد الموجود إسماعيل" u="1"/>
        <s v="محمد عزت محمد رشاد " u="1"/>
        <s v="فاطمة احمد سيد حجازى" u="1"/>
        <s v="احمد سالم عبد العظيم محمد" u="1"/>
        <s v="اسلام" u="1"/>
      </sharedItems>
    </cacheField>
    <cacheField name="القسم " numFmtId="0">
      <sharedItems/>
    </cacheField>
    <cacheField name="الفرع " numFmtId="0">
      <sharedItems containsBlank="1"/>
    </cacheField>
    <cacheField name="سلفه / سداد" numFmtId="0">
      <sharedItems/>
    </cacheField>
    <cacheField name="السلفه " numFmtId="43">
      <sharedItems containsString="0" containsBlank="1" containsNumber="1" containsInteger="1" minValue="0" maxValue="2330"/>
    </cacheField>
    <cacheField name="طريق السداد" numFmtId="0">
      <sharedItems containsBlank="1"/>
    </cacheField>
    <cacheField name="ملاحظات " numFmtId="0">
      <sharedItems containsString="0" containsBlank="1" containsNumber="1" containsInteger="1" minValue="500" maxValue="35055"/>
    </cacheField>
    <cacheField name="Column1" numFmtId="0">
      <sharedItems containsString="0" containsBlank="1" containsNumber="1" containsInteger="1" minValue="200" maxValue="4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nance" refreshedDate="46001.974764930557" createdVersion="8" refreshedVersion="8" minRefreshableVersion="3" recordCount="184" xr:uid="{D3C9F594-6EC1-41FF-8BF7-D635FD4C5003}">
  <cacheSource type="worksheet">
    <worksheetSource name="Table8"/>
  </cacheSource>
  <cacheFields count="21">
    <cacheField name="العميل " numFmtId="43">
      <sharedItems containsBlank="1" count="41">
        <s v="اور للتمويل الاستهلاكى -وسيلة"/>
        <s v="فاليو لخدمات البيع والتقسيط"/>
        <s v="فاليو قانونى"/>
        <s v="فاليو"/>
        <s v="ميد للتقسيط"/>
        <s v="بى ام للتمويل الاستهلاكى"/>
        <s v="سفن"/>
        <s v="ميد قانونى"/>
        <s v="مانى فيللوز لتكنولوجيا المعلومات وادارة المشروعات"/>
        <s v="شركه رايه للالكترونيات"/>
        <s v="بنك كريدي اجريكول مصر"/>
        <s v="بنك الإسكندرية"/>
        <s v="تنميه لخدمات المشروعات متناهيه الصغر"/>
        <s v="شركه رايه قانونى"/>
        <s v="شهرى للتمويل الاستهلاكى"/>
        <s v="بلتون للتمويل الاستهلاكى سفن"/>
        <s v="سهولة قانونى"/>
        <s v="اور للتمويل الاستهلاكى -وسيلة قانونى"/>
        <s v="امان لتمويل المشروعات"/>
        <s v="فورى لتكنولوجيا المعلومات التجارية"/>
        <s v="بنك البركة مصر"/>
        <s v="شركه تساهيل للتمويل  "/>
        <s v="شركه حالا للتمويل الاستهلاكى "/>
        <s v="شركه مشروعى للتجاره "/>
        <s v="ميد بنك"/>
        <s v="شركة إرادة لتمويل المشروعات"/>
        <s v="تنميه قانوني"/>
        <s v="الكان فاينانس للخدمات المالية الحديثة"/>
        <s v="سيجما كوم"/>
        <m/>
        <s v="فورى للتمويل الاستهلاكى" u="1"/>
        <s v="سيمبل للحلول والتكنولوجيا المالية" u="1"/>
        <s v="شركه رايه كوربت" u="1"/>
        <s v="بلنك قانونى" u="1"/>
        <s v="بى ام للتمويل الستهلاكى" u="1"/>
        <s v="شركة بلتون" u="1"/>
        <s v="وسيله قانونى" u="1"/>
        <s v="اور لتمويل المشروعات متناهيه الصغر وسيله" u="1"/>
        <s v="الخدمات القانونية" u="1"/>
        <s v="بلنك للتمويل الاستهلاكي" u="1"/>
        <s v="امان للخدمات الماليه" u="1"/>
      </sharedItems>
    </cacheField>
    <cacheField name="الشهر " numFmtId="0">
      <sharedItems containsNonDate="0" containsDate="1" containsString="0" containsBlank="1" minDate="2023-10-01T00:00:00" maxDate="2025-11-02T00:00:00" count="27">
        <d v="2024-10-01T00:00:00"/>
        <d v="2024-11-01T00:00:00"/>
        <d v="2024-12-01T00:00:00"/>
        <d v="2024-09-01T00:00:00"/>
        <d v="2025-01-01T00:00:00"/>
        <d v="2025-02-01T00:00:00"/>
        <d v="2025-03-01T00:00:00"/>
        <d v="2025-04-01T00:00:00"/>
        <d v="2025-05-01T00:00:00"/>
        <d v="2025-06-01T00:00:00"/>
        <d v="2025-07-01T00:00:00"/>
        <d v="2025-08-01T00:00:00"/>
        <d v="2025-09-01T00:00:00"/>
        <d v="2025-10-01T00:00:00"/>
        <d v="2025-11-01T00:00:00"/>
        <m/>
        <d v="2023-10-01T00:00:00" u="1"/>
        <d v="2023-11-01T00:00:00" u="1"/>
        <d v="2023-12-01T00:00:00" u="1"/>
        <d v="2024-01-01T00:00:00" u="1"/>
        <d v="2024-02-01T00:00:00" u="1"/>
        <d v="2024-03-01T00:00:00" u="1"/>
        <d v="2024-04-01T00:00:00" u="1"/>
        <d v="2024-05-01T00:00:00" u="1"/>
        <d v="2024-06-01T00:00:00" u="1"/>
        <d v="2024-07-01T00:00:00" u="1"/>
        <d v="2024-08-01T00:00:00" u="1"/>
      </sharedItems>
    </cacheField>
    <cacheField name="تاريخ اصدار الفاتورة " numFmtId="0">
      <sharedItems containsNonDate="0" containsDate="1" containsString="0" containsBlank="1" minDate="2024-12-09T00:00:00" maxDate="2025-12-11T00:00:00"/>
    </cacheField>
    <cacheField name="الاجمالي بالضريبه 14%" numFmtId="43">
      <sharedItems containsString="0" containsBlank="1" containsNumber="1" minValue="2280" maxValue="628140"/>
    </cacheField>
    <cacheField name="الاجمالي بدون الضريبه14%" numFmtId="43">
      <sharedItems containsSemiMixedTypes="0" containsString="0" containsNumber="1" minValue="0" maxValue="551000"/>
    </cacheField>
    <cacheField name="القاهرة " numFmtId="43">
      <sharedItems containsNonDate="0" containsString="0" containsBlank="1"/>
    </cacheField>
    <cacheField name="المنصورة " numFmtId="43">
      <sharedItems containsNonDate="0" containsString="0" containsBlank="1"/>
    </cacheField>
    <cacheField name="القانونيه " numFmtId="43">
      <sharedItems containsNonDate="0" containsString="0" containsBlank="1"/>
    </cacheField>
    <cacheField name="اخري " numFmtId="43">
      <sharedItems containsSemiMixedTypes="0" containsString="0" containsNumber="1" minValue="0" maxValue="551000"/>
    </cacheField>
    <cacheField name="14%" numFmtId="43">
      <sharedItems containsSemiMixedTypes="0" containsString="0" containsNumber="1" minValue="0" maxValue="77140"/>
    </cacheField>
    <cacheField name="3%" numFmtId="43">
      <sharedItems containsSemiMixedTypes="0" containsString="0" containsNumber="1" minValue="0" maxValue="16530"/>
    </cacheField>
    <cacheField name="المطلوب تحويله " numFmtId="43">
      <sharedItems containsSemiMixedTypes="0" containsString="0" containsNumber="1" minValue="0" maxValue="611610"/>
    </cacheField>
    <cacheField name="المبلغ المسدد" numFmtId="0">
      <sharedItems containsString="0" containsBlank="1" containsNumber="1" minValue="3012.54" maxValue="611610"/>
    </cacheField>
    <cacheField name="مصروفات " numFmtId="43">
      <sharedItems containsString="0" containsBlank="1" containsNumber="1" minValue="-8528.0147368421076" maxValue="-725.55684210526317"/>
    </cacheField>
    <cacheField name="المستحق " numFmtId="43">
      <sharedItems containsSemiMixedTypes="0" containsString="0" containsNumber="1" minValue="-389671.60500000004" maxValue="3519.3047368421103"/>
    </cacheField>
    <cacheField name="تاريخ الاستحقاق" numFmtId="0">
      <sharedItems containsNonDate="0" containsString="0" containsBlank="1"/>
    </cacheField>
    <cacheField name="payment term" numFmtId="1">
      <sharedItems containsSemiMixedTypes="0" containsString="0" containsNumber="1" containsInteger="1" minValue="-46001" maxValue="0"/>
    </cacheField>
    <cacheField name="الاستحقاق" numFmtId="1">
      <sharedItems/>
    </cacheField>
    <cacheField name="التاخير " numFmtId="3">
      <sharedItems containsSemiMixedTypes="0" containsString="0" containsNumber="1" containsInteger="1" minValue="-46001" maxValue="-46001"/>
    </cacheField>
    <cacheField name="تاريخ السداد" numFmtId="43">
      <sharedItems containsNonDate="0" containsString="0" containsBlank="1"/>
    </cacheField>
    <cacheField name="الايراد الفعلي -14%" numFmtId="43">
      <sharedItems containsSemiMixedTypes="0" containsString="0" containsNumber="1" minValue="0" maxValue="5365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nance 2" refreshedDate="46002.632546875" createdVersion="8" refreshedVersion="8" minRefreshableVersion="3" recordCount="272" xr:uid="{C66C43A6-4E34-47F2-8C2C-7CC27637F586}">
  <cacheSource type="worksheet">
    <worksheetSource name="Table47"/>
  </cacheSource>
  <cacheFields count="15">
    <cacheField name="التاريخ " numFmtId="165">
      <sharedItems containsNonDate="0" containsDate="1" containsString="0" containsBlank="1" minDate="2025-02-27T00:00:00" maxDate="2025-12-12T00:00:00" count="74">
        <d v="2025-12-06T00:00:00"/>
        <d v="2025-02-27T00:00:00"/>
        <d v="2025-05-19T00:00:00"/>
        <d v="2025-07-14T00:00:00"/>
        <d v="2025-08-16T00:00:00"/>
        <d v="2025-08-18T00:00:00"/>
        <d v="2025-09-03T00:00:00"/>
        <d v="2025-09-11T00:00:00"/>
        <d v="2025-10-04T00:00:00"/>
        <d v="2025-10-22T00:00:00"/>
        <d v="2025-10-23T00:00:00"/>
        <d v="2025-10-25T00:00:00"/>
        <d v="2025-10-27T00:00:00"/>
        <d v="2025-10-30T00:00:00"/>
        <d v="2025-10-29T00:00:00"/>
        <d v="2025-11-02T00:00:00"/>
        <d v="2025-11-03T00:00:00"/>
        <d v="2025-11-06T00:00:00"/>
        <d v="2025-11-08T00:00:00"/>
        <d v="2025-11-10T00:00:00"/>
        <d v="2025-11-09T00:00:00"/>
        <d v="2025-11-11T00:00:00"/>
        <d v="2025-11-13T00:00:00"/>
        <d v="2025-11-15T00:00:00"/>
        <d v="2025-11-17T00:00:00"/>
        <d v="2025-11-19T00:00:00"/>
        <d v="2025-11-20T00:00:00"/>
        <d v="2025-11-21T00:00:00"/>
        <d v="2025-11-22T00:00:00"/>
        <d v="2025-11-23T00:00:00"/>
        <d v="2025-11-24T00:00:00"/>
        <d v="2025-11-25T00:00:00"/>
        <d v="2025-11-26T00:00:00"/>
        <d v="2025-11-27T00:00:00"/>
        <d v="2025-11-29T00:00:00"/>
        <d v="2025-12-01T00:00:00"/>
        <d v="2025-12-02T00:00:00"/>
        <d v="2025-12-03T00:00:00"/>
        <d v="2025-12-04T00:00:00"/>
        <d v="2025-12-07T00:00:00"/>
        <d v="2025-12-08T00:00:00"/>
        <d v="2025-12-09T00:00:00"/>
        <d v="2025-12-10T00:00:00"/>
        <d v="2025-12-11T00:00:00"/>
        <m/>
        <d v="2025-09-17T00:00:00" u="1"/>
        <d v="2025-09-23T00:00:00" u="1"/>
        <d v="2025-09-24T00:00:00" u="1"/>
        <d v="2025-09-27T00:00:00" u="1"/>
        <d v="2025-09-28T00:00:00" u="1"/>
        <d v="2025-09-29T00:00:00" u="1"/>
        <d v="2025-09-25T00:00:00" u="1"/>
        <d v="2025-10-01T00:00:00" u="1"/>
        <d v="2025-10-06T00:00:00" u="1"/>
        <d v="2025-10-07T00:00:00" u="1"/>
        <d v="2025-10-08T00:00:00" u="1"/>
        <d v="2025-10-11T00:00:00" u="1"/>
        <d v="2025-10-12T00:00:00" u="1"/>
        <d v="2025-10-13T00:00:00" u="1"/>
        <d v="2025-10-16T00:00:00" u="1"/>
        <d v="2025-10-19T00:00:00" u="1"/>
        <d v="2025-10-20T00:00:00" u="1"/>
        <d v="2025-10-21T00:00:00" u="1"/>
        <d v="2025-10-26T00:00:00" u="1"/>
        <d v="2025-10-28T00:00:00" u="1"/>
        <d v="2025-11-04T00:00:00" u="1"/>
        <d v="2025-11-05T00:00:00" u="1"/>
        <d v="2025-11-12T00:00:00" u="1"/>
        <d v="2025-11-16T00:00:00" u="1"/>
        <d v="2025-11-18T00:00:00" u="1"/>
        <d v="2025-09-10T00:00:00" u="1"/>
        <d v="2025-09-15T00:00:00" u="1"/>
        <d v="2025-09-16T00:00:00" u="1"/>
        <d v="2025-09-21T00:00:00" u="1"/>
      </sharedItems>
      <fieldGroup par="14"/>
    </cacheField>
    <cacheField name="الشهر " numFmtId="0">
      <sharedItems/>
    </cacheField>
    <cacheField name="البيان " numFmtId="0">
      <sharedItems containsBlank="1"/>
    </cacheField>
    <cacheField name="المنصرف اليه " numFmtId="0">
      <sharedItems count="43">
        <s v="باسم ناجى سعد ابرهيم خلف"/>
        <s v="عبد المنعم مجدى عبدربه محمد هلهل"/>
        <s v="احمد خالد زغلول إبراهيم"/>
        <s v="عمر عبد الرحيم إبراهيم"/>
        <s v="حاتم احمد احمد سعد"/>
        <s v="محمد شريف محمد طاهر"/>
        <s v="عزيزه عبدالكريم حسين غنيم"/>
        <s v="يوسف تامر محمد"/>
        <s v="احمد سعيد محمود"/>
        <s v="احمد عبدالعزيز إبراهيم عبدالعزيز"/>
        <s v="كريم خالد محمد محمود"/>
        <s v="وليد عبد الكريم عبد العليم"/>
        <s v="الهام حسن عبدالمولي"/>
        <s v="عبد العزيز صلاح عبد العزيز على حسن"/>
        <s v="اسامه محمد احمد عبد الحميد"/>
        <s v="علاء محمد عوض جاد الله"/>
        <s v="احمد محمد حسنى"/>
        <s v="احمد منصور سليم منصور سليم"/>
        <s v="محمد عبدالمنعم عبدالحليم إبراهيم"/>
        <s v="عبدالله هاني عبد المنعم عيد "/>
        <s v="حسين احمد حسين محمود مرسى"/>
        <s v="محمد مجدى السيد عبد الدايم"/>
        <s v="باسم صلاح عبد الله قوشتى"/>
        <s v="محمود مصطفى محمود"/>
        <s v="كريم يحي امين"/>
        <s v="محمد حسن تقى دشناوى"/>
        <s v="احمد السيد"/>
        <s v=""/>
        <s v="محمود محمد محمود محمد" u="1"/>
        <s v="مصطفى جميل عبد الفتاح محمد شاهين" u="1"/>
        <s v="حسام ناصر حسين ناصر " u="1"/>
        <s v="هاله محمد موسى" u="1"/>
        <s v="محمد مجدى ربيع عبد الغنى جاد" u="1"/>
        <s v="محمود فوزى بخيت" u="1"/>
        <s v="عبد الحميد نبوى فهيم محمد" u="1"/>
        <s v="احمد مجدى بكر على " u="1"/>
        <s v="يوسف كامل  عبد الله صبحى غنيم " u="1"/>
        <s v="إسماعيل سلامه إسماعيل بركات " u="1"/>
        <s v="مدين السيد علوانى" u="1"/>
        <s v="احمد محمد مصطفى عبد الغفار" u="1"/>
        <s v="محمد رضا السيد جاد " u="1"/>
        <s v="ايمان رمضان السعيد مصطفي" u="1"/>
        <s v="سحر سيد إبراهيم" u="1"/>
      </sharedItems>
    </cacheField>
    <cacheField name="رقم الفاتورة / كود موظف " numFmtId="0">
      <sharedItems containsString="0" containsBlank="1" containsNumber="1" containsInteger="1" minValue="2" maxValue="812" count="40">
        <n v="294"/>
        <n v="10"/>
        <n v="759"/>
        <n v="695"/>
        <m/>
        <n v="577"/>
        <n v="731"/>
        <n v="774"/>
        <n v="655"/>
        <n v="675"/>
        <n v="4"/>
        <n v="744"/>
        <n v="20"/>
        <n v="492"/>
        <n v="2"/>
        <n v="612"/>
        <n v="544"/>
        <n v="515"/>
        <n v="756"/>
        <n v="514"/>
        <n v="62"/>
        <n v="5"/>
        <n v="705"/>
        <n v="812"/>
        <n v="738"/>
        <n v="493" u="1"/>
        <n v="119" u="1"/>
        <n v="758" u="1"/>
        <n v="747" u="1"/>
        <n v="45" u="1"/>
        <n v="657" u="1"/>
        <n v="378" u="1"/>
        <n v="197" u="1"/>
        <n v="239" u="1"/>
        <n v="332" u="1"/>
        <n v="797" u="1"/>
        <n v="749" u="1"/>
        <n v="788" u="1"/>
        <n v="484" u="1"/>
        <n v="743" u="1"/>
      </sharedItems>
    </cacheField>
    <cacheField name="القسم " numFmtId="0">
      <sharedItems containsBlank="1"/>
    </cacheField>
    <cacheField name="التصنيف " numFmtId="0">
      <sharedItems containsBlank="1" count="8">
        <s v="المنصورة "/>
        <s v="قيمه "/>
        <s v="الصعيد"/>
        <s v="القانونيه "/>
        <s v="25 ج"/>
        <s v="المقر الجديد"/>
        <s v="20 أ"/>
        <m/>
      </sharedItems>
    </cacheField>
    <cacheField name="نوع المصروف " numFmtId="0">
      <sharedItems containsNonDate="0" containsString="0" containsBlank="1"/>
    </cacheField>
    <cacheField name="رقم إيصال الصرف/ استلام " numFmtId="0">
      <sharedItems containsNonDate="0" containsString="0" containsBlank="1"/>
    </cacheField>
    <cacheField name="العهدة  / سداد" numFmtId="0">
      <sharedItems containsBlank="1"/>
    </cacheField>
    <cacheField name="العهدة " numFmtId="0">
      <sharedItems containsString="0" containsBlank="1" containsNumber="1" minValue="0" maxValue="70000"/>
    </cacheField>
    <cacheField name="ملاحظات " numFmtId="0">
      <sharedItems containsBlank="1"/>
    </cacheField>
    <cacheField name="Column1" numFmtId="0">
      <sharedItems containsNonDate="0" containsString="0" containsBlank="1"/>
    </cacheField>
    <cacheField name="Days (التاريخ )" numFmtId="0" databaseField="0">
      <fieldGroup base="0">
        <rangePr groupBy="days" startDate="2025-02-27T00:00:00" endDate="2025-12-12T00:00:00"/>
        <groupItems count="368">
          <s v="&lt;27/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2/12/2025"/>
        </groupItems>
      </fieldGroup>
    </cacheField>
    <cacheField name="Months (التاريخ )" numFmtId="0" databaseField="0">
      <fieldGroup base="0">
        <rangePr groupBy="months" startDate="2025-02-27T00:00:00" endDate="2025-12-12T00:00:00"/>
        <groupItems count="14">
          <s v="&lt;27/02/2025"/>
          <s v="Jan"/>
          <s v="Feb"/>
          <s v="Mar"/>
          <s v="Apr"/>
          <s v="May"/>
          <s v="Jun"/>
          <s v="Jul"/>
          <s v="Aug"/>
          <s v="Sep"/>
          <s v="Oct"/>
          <s v="Nov"/>
          <s v="Dec"/>
          <s v="&gt;12/12/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d v="2024-04-21T00:00:00"/>
    <s v="Apr"/>
    <x v="0"/>
    <x v="0"/>
    <s v="وكيل تحصيل "/>
    <s v="سهولة"/>
    <s v="سلفه "/>
    <n v="150"/>
    <s v="مبلغ معلق"/>
    <n v="35055"/>
    <m/>
  </r>
  <r>
    <d v="2024-04-18T00:00:00"/>
    <s v="Apr"/>
    <x v="1"/>
    <x v="1"/>
    <s v="وكيل تحصيل "/>
    <s v="فاليو"/>
    <s v="سلفه "/>
    <n v="150"/>
    <s v="مبلغ معلق"/>
    <n v="35055"/>
    <m/>
  </r>
  <r>
    <d v="2024-07-28T00:00:00"/>
    <s v="Jul"/>
    <x v="2"/>
    <x v="2"/>
    <s v="كبير مشرفى تحصيل"/>
    <s v="كريدى اجريكول"/>
    <s v="سلفه "/>
    <n v="2000"/>
    <s v="مبلغ معلق"/>
    <m/>
    <m/>
  </r>
  <r>
    <d v="2025-03-22T00:00:00"/>
    <s v="Mar"/>
    <x v="3"/>
    <x v="3"/>
    <s v="بنك كريدى اجريكول"/>
    <s v="مشرف تحصيل"/>
    <s v="سلفه "/>
    <n v="1000"/>
    <s v="مبلغ معلق"/>
    <m/>
    <m/>
  </r>
  <r>
    <d v="2025-05-15T00:00:00"/>
    <s v="May"/>
    <x v="4"/>
    <x v="4"/>
    <s v="كبير مشرفى تحصيل"/>
    <s v="شركة فاليو"/>
    <s v="سلفه "/>
    <n v="0"/>
    <m/>
    <m/>
    <n v="1500"/>
  </r>
  <r>
    <d v="2025-06-23T00:00:00"/>
    <s v="Jun"/>
    <x v="5"/>
    <x v="5"/>
    <s v="خدمات معاونة"/>
    <s v="الخدمات المعاونة"/>
    <s v="سلفه "/>
    <n v="0"/>
    <s v="إيصال امانة تخصم 500 كل شهر"/>
    <m/>
    <n v="1000"/>
  </r>
  <r>
    <d v="2025-07-15T00:00:00"/>
    <s v="Jul"/>
    <x v="6"/>
    <x v="6"/>
    <s v="كبير مشرفى تحصيل"/>
    <e v="#N/A"/>
    <s v="سلفه "/>
    <n v="1000"/>
    <s v="إيصال امانة"/>
    <m/>
    <n v="1000"/>
  </r>
  <r>
    <d v="2025-09-20T00:00:00"/>
    <s v="Sep"/>
    <x v="5"/>
    <x v="5"/>
    <s v="خدمات معاونة"/>
    <s v="الخدمات المعاونة"/>
    <s v="سلفه "/>
    <n v="0"/>
    <s v="علاج ابنه"/>
    <m/>
    <n v="500"/>
  </r>
  <r>
    <d v="2025-09-21T00:00:00"/>
    <s v="Sep"/>
    <x v="7"/>
    <x v="7"/>
    <s v="وكيل تحصيل"/>
    <s v="شركة فاليو"/>
    <s v="سلفه "/>
    <n v="0"/>
    <m/>
    <m/>
    <n v="500"/>
  </r>
  <r>
    <d v="2025-10-06T00:00:00"/>
    <s v="Oct"/>
    <x v="8"/>
    <x v="8"/>
    <s v="الشئون القانونية"/>
    <s v="محامى"/>
    <s v="سلفه "/>
    <n v="0"/>
    <s v="ايصال امانة يخصم علي مرتين"/>
    <m/>
    <n v="1500"/>
  </r>
  <r>
    <d v="2025-10-14T00:00:00"/>
    <s v="Oct"/>
    <x v="7"/>
    <x v="7"/>
    <s v="وكيل تحصيل"/>
    <s v="شركة فاليو"/>
    <s v="سلفه "/>
    <n v="0"/>
    <m/>
    <m/>
    <n v="500"/>
  </r>
  <r>
    <d v="2025-10-25T00:00:00"/>
    <s v="Oct"/>
    <x v="9"/>
    <x v="9"/>
    <s v="الشئون القانونية"/>
    <e v="#N/A"/>
    <s v="سلفه "/>
    <n v="0"/>
    <s v="تخصم من شهر نوفمبر"/>
    <m/>
    <n v="500"/>
  </r>
  <r>
    <d v="2025-11-04T00:00:00"/>
    <s v="Nov"/>
    <x v="10"/>
    <x v="10"/>
    <s v="وكيل تحصيل"/>
    <s v="شركة فاليو"/>
    <s v="سلفه "/>
    <n v="2000"/>
    <s v="إيصال امانة"/>
    <m/>
    <n v="1000"/>
  </r>
  <r>
    <d v="2025-11-08T00:00:00"/>
    <s v="Nov"/>
    <x v="11"/>
    <x v="11"/>
    <s v="مشرف تحصيل"/>
    <e v="#N/A"/>
    <s v="سلفه "/>
    <n v="0"/>
    <m/>
    <n v="500"/>
    <m/>
  </r>
  <r>
    <d v="2025-11-08T00:00:00"/>
    <s v="Nov"/>
    <x v="12"/>
    <x v="12"/>
    <s v="وكيل تحصيل"/>
    <s v="بنك كريدى اجريكول"/>
    <s v="سلفه "/>
    <n v="2000"/>
    <s v="إيصال امانة 2500 و 500 سلفة "/>
    <m/>
    <n v="1000"/>
  </r>
  <r>
    <d v="2025-11-08T00:00:00"/>
    <s v="Nov"/>
    <x v="5"/>
    <x v="5"/>
    <s v="خدمات معاونة"/>
    <s v="الخدمات المعاونة"/>
    <s v="سلفه "/>
    <n v="2000"/>
    <m/>
    <m/>
    <m/>
  </r>
  <r>
    <d v="2025-11-08T00:00:00"/>
    <s v="Nov"/>
    <x v="13"/>
    <x v="13"/>
    <s v="مشرف تحصيل"/>
    <s v="بنك الاسكندرية"/>
    <s v="سلفه "/>
    <n v="0"/>
    <s v="عن ايصالات موجودة فالخزينة"/>
    <m/>
    <n v="4000"/>
  </r>
  <r>
    <d v="2025-11-09T00:00:00"/>
    <s v="Nov"/>
    <x v="14"/>
    <x v="14"/>
    <s v="الشئون القانونية"/>
    <e v="#N/A"/>
    <s v="سلفه "/>
    <n v="0"/>
    <s v="تخصم من اقرب مرتب او المكافاة"/>
    <m/>
    <n v="1000"/>
  </r>
  <r>
    <d v="2025-11-10T00:00:00"/>
    <s v="Nov"/>
    <x v="15"/>
    <x v="15"/>
    <s v="وكيل تحصيل"/>
    <s v="شركة ميد تقسيط"/>
    <s v="سلفه "/>
    <n v="0"/>
    <m/>
    <m/>
    <n v="1000"/>
  </r>
  <r>
    <d v="2025-11-10T00:00:00"/>
    <s v="Nov"/>
    <x v="16"/>
    <x v="16"/>
    <s v="وكيل تحصيل"/>
    <e v="#N/A"/>
    <s v="سلفه "/>
    <n v="0"/>
    <m/>
    <m/>
    <n v="1500"/>
  </r>
  <r>
    <d v="2025-11-11T00:00:00"/>
    <s v="Nov"/>
    <x v="17"/>
    <x v="17"/>
    <s v="وكيل تحصيل"/>
    <e v="#N/A"/>
    <s v="سلفه "/>
    <n v="0"/>
    <m/>
    <m/>
    <n v="1000"/>
  </r>
  <r>
    <d v="2025-11-11T00:00:00"/>
    <s v="Nov"/>
    <x v="18"/>
    <x v="18"/>
    <s v="خدمات معاونة"/>
    <e v="#N/A"/>
    <s v="سلفه "/>
    <n v="500"/>
    <s v="علي مرتين من المرتب"/>
    <m/>
    <n v="500"/>
  </r>
  <r>
    <d v="2025-11-11T00:00:00"/>
    <s v="Nov"/>
    <x v="19"/>
    <x v="19"/>
    <s v="وكيل تحصيل هاتفى"/>
    <e v="#N/A"/>
    <s v="سلفه "/>
    <n v="0"/>
    <m/>
    <m/>
    <n v="600"/>
  </r>
  <r>
    <d v="2025-11-11T00:00:00"/>
    <s v="Nov"/>
    <x v="20"/>
    <x v="20"/>
    <s v="كبير مشرفى تحصيل"/>
    <s v="بنك الإسكندرية / شركة سهولة"/>
    <s v="سلفه "/>
    <m/>
    <m/>
    <m/>
    <n v="1000"/>
  </r>
  <r>
    <d v="2025-11-12T00:00:00"/>
    <s v="Nov"/>
    <x v="21"/>
    <x v="21"/>
    <s v="مشرف تحصيل"/>
    <s v="شركة فاليو"/>
    <s v="سلفه "/>
    <n v="1500"/>
    <s v="إيصال امانة"/>
    <m/>
    <n v="1500"/>
  </r>
  <r>
    <d v="2025-11-13T00:00:00"/>
    <s v="Nov"/>
    <x v="22"/>
    <x v="22"/>
    <s v="وكيل تحصيل"/>
    <e v="#N/A"/>
    <s v="سلفه "/>
    <n v="0"/>
    <m/>
    <m/>
    <n v="300"/>
  </r>
  <r>
    <d v="2025-11-13T00:00:00"/>
    <s v="Nov"/>
    <x v="23"/>
    <x v="23"/>
    <s v="وكيل تحصيل"/>
    <e v="#N/A"/>
    <s v="سلفه "/>
    <n v="0"/>
    <m/>
    <m/>
    <n v="300"/>
  </r>
  <r>
    <d v="2025-11-16T00:00:00"/>
    <s v="Nov"/>
    <x v="24"/>
    <x v="24"/>
    <s v="وكيل تحصيل هاتفى"/>
    <e v="#N/A"/>
    <s v="سلفه "/>
    <n v="0"/>
    <m/>
    <m/>
    <n v="500"/>
  </r>
  <r>
    <d v="2025-11-16T00:00:00"/>
    <s v="Nov"/>
    <x v="25"/>
    <x v="25"/>
    <s v="وكيل تحصيل هاتفى"/>
    <s v="بنك الإسكندرية "/>
    <s v="سلفه "/>
    <n v="0"/>
    <m/>
    <m/>
    <n v="300"/>
  </r>
  <r>
    <d v="2025-11-16T00:00:00"/>
    <s v="Nov"/>
    <x v="11"/>
    <x v="11"/>
    <s v="مشرف تحصيل"/>
    <e v="#N/A"/>
    <s v="سلفه "/>
    <n v="0"/>
    <m/>
    <n v="500"/>
    <m/>
  </r>
  <r>
    <d v="2025-11-17T00:00:00"/>
    <s v="Nov"/>
    <x v="26"/>
    <x v="26"/>
    <s v="مشرف تحصيل"/>
    <s v="بنك الإسكندرية / شركة سهولة"/>
    <s v="سلفه "/>
    <n v="0"/>
    <m/>
    <m/>
    <n v="500"/>
  </r>
  <r>
    <d v="2025-11-17T00:00:00"/>
    <s v="Nov"/>
    <x v="12"/>
    <x v="12"/>
    <s v="وكيل تحصيل"/>
    <s v="بنك كريدى اجريكول"/>
    <s v="سلفه "/>
    <n v="500"/>
    <m/>
    <m/>
    <m/>
  </r>
  <r>
    <d v="2025-11-17T00:00:00"/>
    <s v="Nov"/>
    <x v="27"/>
    <x v="27"/>
    <s v="وكيل تحصيل هاتفى"/>
    <s v="بنك كريدى اجريكول"/>
    <s v="سلفه "/>
    <n v="0"/>
    <m/>
    <m/>
    <n v="500"/>
  </r>
  <r>
    <d v="2025-11-17T00:00:00"/>
    <s v="Nov"/>
    <x v="20"/>
    <x v="20"/>
    <s v="كبير مشرفى تحصيل"/>
    <s v="بنك الإسكندرية / شركة سهولة"/>
    <s v="سلفه "/>
    <m/>
    <m/>
    <m/>
    <n v="500"/>
  </r>
  <r>
    <d v="2025-11-17T00:00:00"/>
    <s v="Nov"/>
    <x v="10"/>
    <x v="10"/>
    <s v="وكيل تحصيل"/>
    <s v="شركة فاليو"/>
    <s v="سلفه "/>
    <n v="2000"/>
    <s v="إيصال امانة"/>
    <m/>
    <m/>
  </r>
  <r>
    <d v="2025-11-18T00:00:00"/>
    <s v="Nov"/>
    <x v="28"/>
    <x v="28"/>
    <s v="وكيل تحصيل"/>
    <e v="#N/A"/>
    <s v="سلفه "/>
    <n v="0"/>
    <m/>
    <m/>
    <n v="500"/>
  </r>
  <r>
    <d v="2025-11-18T00:00:00"/>
    <s v="Nov"/>
    <x v="17"/>
    <x v="17"/>
    <s v="وكيل تحصيل"/>
    <e v="#N/A"/>
    <s v="سلفه "/>
    <n v="0"/>
    <m/>
    <m/>
    <n v="1000"/>
  </r>
  <r>
    <d v="2025-11-19T00:00:00"/>
    <s v="Nov"/>
    <x v="23"/>
    <x v="23"/>
    <s v="وكيل تحصيل"/>
    <e v="#N/A"/>
    <s v="سلفه "/>
    <n v="0"/>
    <m/>
    <m/>
    <n v="200"/>
  </r>
  <r>
    <d v="2025-11-19T00:00:00"/>
    <s v="Nov"/>
    <x v="29"/>
    <x v="29"/>
    <s v="وكيل تحصيل هاتفى"/>
    <e v="#N/A"/>
    <s v="سلفه "/>
    <n v="0"/>
    <m/>
    <m/>
    <n v="500"/>
  </r>
  <r>
    <d v="2025-11-19T00:00:00"/>
    <s v="Nov"/>
    <x v="5"/>
    <x v="5"/>
    <s v="خدمات معاونة"/>
    <s v="الخدمات المعاونة"/>
    <s v="سلفه "/>
    <n v="200"/>
    <m/>
    <m/>
    <m/>
  </r>
  <r>
    <d v="2025-11-19T00:00:00"/>
    <s v="Nov"/>
    <x v="11"/>
    <x v="11"/>
    <s v="مشرف تحصيل"/>
    <e v="#N/A"/>
    <s v="سلفه "/>
    <n v="500"/>
    <s v="تخصم من شهر ديسمبر"/>
    <m/>
    <m/>
  </r>
  <r>
    <d v="2025-11-19T00:00:00"/>
    <s v="Nov"/>
    <x v="25"/>
    <x v="25"/>
    <s v="وكيل تحصيل هاتفى"/>
    <s v="بنك الإسكندرية "/>
    <s v="سلفه "/>
    <n v="0"/>
    <m/>
    <m/>
    <n v="200"/>
  </r>
  <r>
    <d v="2025-11-19T00:00:00"/>
    <s v="Nov"/>
    <x v="30"/>
    <x v="30"/>
    <s v="وكيل تحصيل هاتفى"/>
    <e v="#N/A"/>
    <s v="سلفه "/>
    <n v="0"/>
    <m/>
    <m/>
    <n v="200"/>
  </r>
  <r>
    <m/>
    <s v="Jan"/>
    <x v="31"/>
    <x v="31"/>
    <s v="محاسب"/>
    <e v="#N/A"/>
    <s v="سلفه "/>
    <n v="2330"/>
    <m/>
    <m/>
    <m/>
  </r>
  <r>
    <d v="2025-11-20T00:00:00"/>
    <s v="Nov"/>
    <x v="20"/>
    <x v="20"/>
    <s v="كبير مشرفى تحصيل"/>
    <s v="بنك الإسكندرية / شركة سهولة"/>
    <s v="سلفه "/>
    <m/>
    <m/>
    <m/>
    <n v="500"/>
  </r>
  <r>
    <d v="2025-11-20T00:00:00"/>
    <s v="Nov"/>
    <x v="27"/>
    <x v="27"/>
    <s v="وكيل تحصيل هاتفى"/>
    <s v="بنك كريدى اجريكول"/>
    <s v="سلفه "/>
    <n v="0"/>
    <m/>
    <m/>
    <n v="1500"/>
  </r>
  <r>
    <d v="2025-11-20T00:00:00"/>
    <s v="Nov"/>
    <x v="32"/>
    <x v="32"/>
    <s v="وكيل تحصيل "/>
    <s v="شركة ميد تقسيط"/>
    <s v="سلفه "/>
    <n v="0"/>
    <m/>
    <m/>
    <n v="200"/>
  </r>
  <r>
    <d v="2025-11-23T00:00:00"/>
    <s v="Nov"/>
    <x v="33"/>
    <x v="33"/>
    <s v="وكيل تحصيل "/>
    <s v="بنك الإسكندرية"/>
    <s v="سلفه "/>
    <n v="0"/>
    <m/>
    <m/>
    <n v="500"/>
  </r>
  <r>
    <d v="2025-11-23T00:00:00"/>
    <s v="Nov"/>
    <x v="34"/>
    <x v="34"/>
    <s v="وكيل تحصيل هاتفى"/>
    <e v="#N/A"/>
    <s v="سلفه "/>
    <n v="0"/>
    <m/>
    <m/>
    <n v="500"/>
  </r>
  <r>
    <d v="2025-11-23T00:00:00"/>
    <s v="Nov"/>
    <x v="12"/>
    <x v="12"/>
    <s v="وكيل تحصيل"/>
    <s v="بنك كريدى اجريكول"/>
    <s v="سلفه "/>
    <n v="500"/>
    <m/>
    <m/>
    <m/>
  </r>
  <r>
    <d v="2025-11-23T00:00:00"/>
    <s v="Nov"/>
    <x v="20"/>
    <x v="20"/>
    <s v="كبير مشرفى تحصيل"/>
    <s v="بنك الإسكندرية / شركة سهولة"/>
    <s v="سلفه "/>
    <m/>
    <m/>
    <m/>
    <n v="500"/>
  </r>
  <r>
    <d v="2025-11-24T00:00:00"/>
    <s v="Nov"/>
    <x v="35"/>
    <x v="35"/>
    <s v="الشئون القانونية"/>
    <e v="#N/A"/>
    <s v="سلفه "/>
    <m/>
    <m/>
    <m/>
    <n v="500"/>
  </r>
  <r>
    <d v="2025-11-25T00:00:00"/>
    <s v="Nov"/>
    <x v="4"/>
    <x v="4"/>
    <s v="كبير مشرفى تحصيل"/>
    <s v="شركة فاليو"/>
    <s v="سلفه "/>
    <n v="0"/>
    <m/>
    <m/>
    <n v="1000"/>
  </r>
  <r>
    <d v="2025-11-26T00:00:00"/>
    <s v="Nov"/>
    <x v="20"/>
    <x v="20"/>
    <s v="كبير مشرفى تحصيل"/>
    <s v="بنك الإسكندرية / شركة سهولة"/>
    <s v="سلفه "/>
    <m/>
    <m/>
    <m/>
    <n v="500"/>
  </r>
  <r>
    <d v="2025-11-26T00:00:00"/>
    <s v="Nov"/>
    <x v="13"/>
    <x v="13"/>
    <s v="مشرف تحصيل"/>
    <s v="بنك الاسكندرية"/>
    <s v="سلفه "/>
    <n v="0"/>
    <m/>
    <m/>
    <n v="500"/>
  </r>
  <r>
    <m/>
    <s v="Jan"/>
    <x v="36"/>
    <x v="36"/>
    <e v="#N/A"/>
    <m/>
    <s v="سلفه "/>
    <m/>
    <m/>
    <m/>
    <m/>
  </r>
  <r>
    <m/>
    <s v="Jan"/>
    <x v="36"/>
    <x v="36"/>
    <e v="#N/A"/>
    <m/>
    <s v="سلفه "/>
    <m/>
    <m/>
    <m/>
    <m/>
  </r>
  <r>
    <m/>
    <s v="Jan"/>
    <x v="36"/>
    <x v="36"/>
    <e v="#N/A"/>
    <m/>
    <s v="سلفه "/>
    <m/>
    <m/>
    <m/>
    <m/>
  </r>
  <r>
    <m/>
    <s v="Jan"/>
    <x v="36"/>
    <x v="36"/>
    <e v="#N/A"/>
    <m/>
    <s v="سلفه "/>
    <m/>
    <m/>
    <m/>
    <m/>
  </r>
  <r>
    <m/>
    <s v="Jan"/>
    <x v="36"/>
    <x v="36"/>
    <e v="#N/A"/>
    <m/>
    <s v="سلفه "/>
    <m/>
    <m/>
    <m/>
    <m/>
  </r>
  <r>
    <m/>
    <s v="Jan"/>
    <x v="36"/>
    <x v="36"/>
    <e v="#N/A"/>
    <m/>
    <s v="سلفه "/>
    <m/>
    <m/>
    <m/>
    <m/>
  </r>
  <r>
    <m/>
    <s v="Jan"/>
    <x v="36"/>
    <x v="36"/>
    <e v="#N/A"/>
    <m/>
    <s v="سلفه "/>
    <m/>
    <m/>
    <m/>
    <m/>
  </r>
  <r>
    <m/>
    <s v="Jan"/>
    <x v="36"/>
    <x v="36"/>
    <e v="#N/A"/>
    <m/>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r>
    <m/>
    <s v="Jan"/>
    <x v="36"/>
    <x v="36"/>
    <e v="#N/A"/>
    <e v="#N/A"/>
    <s v="سلفه "/>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4">
  <r>
    <x v="0"/>
    <x v="0"/>
    <d v="2024-12-09T00:00:00"/>
    <n v="30574.66"/>
    <n v="26819.877192982458"/>
    <m/>
    <m/>
    <m/>
    <n v="26819.877192982458"/>
    <n v="3754.7828070175419"/>
    <n v="804.59631578947369"/>
    <n v="29770.063684210527"/>
    <n v="29770.063684210527"/>
    <m/>
    <n v="0"/>
    <m/>
    <n v="-45635"/>
    <s v="مستحق"/>
    <n v="-46001"/>
    <m/>
    <n v="26114.090951061869"/>
  </r>
  <r>
    <x v="1"/>
    <x v="1"/>
    <d v="2024-12-15T00:00:00"/>
    <n v="98980.800000000003"/>
    <n v="86825.263157894748"/>
    <m/>
    <m/>
    <m/>
    <n v="86825.263157894748"/>
    <n v="12155.536842105255"/>
    <n v="2604.7578947368424"/>
    <n v="96376.042105263157"/>
    <n v="96376.042105263157"/>
    <m/>
    <n v="0"/>
    <m/>
    <n v="-45641"/>
    <s v="مستحق"/>
    <n v="-46001"/>
    <m/>
    <n v="84540.387811634355"/>
  </r>
  <r>
    <x v="2"/>
    <x v="2"/>
    <d v="2024-12-17T00:00:00"/>
    <n v="122094"/>
    <n v="107100.00000000001"/>
    <m/>
    <m/>
    <m/>
    <n v="107100.00000000001"/>
    <n v="14993.999999999985"/>
    <n v="3213.0000000000005"/>
    <n v="118881"/>
    <n v="118881"/>
    <m/>
    <n v="0"/>
    <m/>
    <n v="-45643"/>
    <s v="مستحق"/>
    <n v="-46001"/>
    <m/>
    <n v="104281.57894736843"/>
  </r>
  <r>
    <x v="3"/>
    <x v="2"/>
    <d v="2024-12-22T00:00:00"/>
    <n v="364000.01"/>
    <n v="319298.25438596494"/>
    <m/>
    <m/>
    <m/>
    <n v="319298.25438596494"/>
    <n v="44701.755614035064"/>
    <n v="9578.9476315789489"/>
    <n v="354421.06236842106"/>
    <m/>
    <m/>
    <n v="-354421.06236842106"/>
    <m/>
    <n v="-45648"/>
    <s v="مستحق"/>
    <n v="-46001"/>
    <m/>
    <n v="0"/>
  </r>
  <r>
    <x v="3"/>
    <x v="2"/>
    <d v="2024-12-22T00:00:00"/>
    <n v="201210"/>
    <n v="176500.00000000003"/>
    <m/>
    <m/>
    <m/>
    <n v="176500.00000000003"/>
    <n v="24709.999999999971"/>
    <n v="5295.0000000000009"/>
    <n v="195915"/>
    <n v="195915"/>
    <m/>
    <n v="0"/>
    <m/>
    <n v="-45648"/>
    <s v="مستحق"/>
    <n v="-46001"/>
    <m/>
    <n v="171855.26315789475"/>
  </r>
  <r>
    <x v="4"/>
    <x v="1"/>
    <d v="2024-12-23T00:00:00"/>
    <n v="35142.79"/>
    <n v="30827.008771929828"/>
    <m/>
    <m/>
    <m/>
    <n v="30827.008771929828"/>
    <n v="4315.7812280701728"/>
    <n v="924.81026315789484"/>
    <n v="34217.979736842106"/>
    <n v="34217.979736842106"/>
    <m/>
    <n v="0"/>
    <m/>
    <n v="-45649"/>
    <s v="مستحق"/>
    <n v="-46001"/>
    <m/>
    <n v="30015.771698984307"/>
  </r>
  <r>
    <x v="5"/>
    <x v="1"/>
    <d v="2024-12-23T00:00:00"/>
    <n v="358197.59"/>
    <n v="314208.4122807018"/>
    <m/>
    <m/>
    <m/>
    <n v="314208.4122807018"/>
    <n v="43989.177719298226"/>
    <n v="9426.2523684210537"/>
    <n v="348771.33763157896"/>
    <n v="348771.33763157896"/>
    <m/>
    <n v="0"/>
    <m/>
    <n v="-45649"/>
    <s v="مستحق"/>
    <n v="-46001"/>
    <m/>
    <n v="305939.76985226228"/>
  </r>
  <r>
    <x v="6"/>
    <x v="0"/>
    <d v="2024-12-24T00:00:00"/>
    <n v="16691.91"/>
    <n v="14642.026315789475"/>
    <m/>
    <m/>
    <m/>
    <n v="14642.026315789475"/>
    <n v="2049.8836842105247"/>
    <n v="439.26078947368421"/>
    <n v="16252.649210526315"/>
    <n v="16252.649210526315"/>
    <m/>
    <n v="0"/>
    <m/>
    <n v="-45650"/>
    <s v="مستحق"/>
    <n v="-46001"/>
    <m/>
    <n v="14256.709833795014"/>
  </r>
  <r>
    <x v="7"/>
    <x v="3"/>
    <d v="2024-12-26T00:00:00"/>
    <n v="42616.05"/>
    <n v="37382.500000000007"/>
    <m/>
    <m/>
    <m/>
    <n v="37382.500000000007"/>
    <n v="5233.5499999999956"/>
    <n v="1121.4750000000001"/>
    <n v="41494.575000000004"/>
    <n v="41494.575000000004"/>
    <m/>
    <n v="0"/>
    <m/>
    <n v="-45652"/>
    <s v="مستحق"/>
    <n v="-46001"/>
    <m/>
    <n v="36398.750000000007"/>
  </r>
  <r>
    <x v="8"/>
    <x v="1"/>
    <d v="2024-12-30T00:00:00"/>
    <n v="114176.28"/>
    <n v="100154.63157894737"/>
    <m/>
    <m/>
    <m/>
    <n v="100154.63157894737"/>
    <n v="14021.648421052625"/>
    <n v="3004.6389473684212"/>
    <n v="111171.64105263157"/>
    <n v="111171.64105263157"/>
    <m/>
    <n v="0"/>
    <m/>
    <n v="-45656"/>
    <s v="مستحق"/>
    <n v="-46001"/>
    <m/>
    <n v="97518.983379501384"/>
  </r>
  <r>
    <x v="1"/>
    <x v="2"/>
    <d v="2025-01-01T00:00:00"/>
    <n v="168615.72"/>
    <n v="147908.5263157895"/>
    <m/>
    <m/>
    <m/>
    <n v="147908.5263157895"/>
    <n v="20707.193684210506"/>
    <n v="4437.2557894736847"/>
    <n v="164178.46421052632"/>
    <n v="164178.46421052632"/>
    <m/>
    <n v="0"/>
    <m/>
    <n v="-45658"/>
    <s v="مستحق"/>
    <n v="-46001"/>
    <m/>
    <n v="144016.19667590028"/>
  </r>
  <r>
    <x v="9"/>
    <x v="2"/>
    <d v="2025-01-06T00:00:00"/>
    <n v="108900.53"/>
    <n v="95526.780701754396"/>
    <m/>
    <m/>
    <m/>
    <n v="95526.780701754396"/>
    <n v="13373.749298245602"/>
    <n v="2865.8034210526316"/>
    <n v="106034.72657894736"/>
    <n v="104124.19096491227"/>
    <n v="-1910.535614035088"/>
    <n v="-4.3200998334214091E-12"/>
    <m/>
    <n v="-45663"/>
    <s v="مستحق"/>
    <n v="-46001"/>
    <m/>
    <n v="91337.009618344106"/>
  </r>
  <r>
    <x v="6"/>
    <x v="1"/>
    <d v="2025-01-08T00:00:00"/>
    <n v="32130.6"/>
    <n v="28184.736842105263"/>
    <m/>
    <m/>
    <m/>
    <n v="28184.736842105263"/>
    <n v="3945.8631578947352"/>
    <n v="845.54210526315785"/>
    <n v="31285.057894736841"/>
    <n v="31285.057894736841"/>
    <m/>
    <n v="0"/>
    <m/>
    <n v="-45665"/>
    <s v="مستحق"/>
    <n v="-46001"/>
    <m/>
    <n v="27443.033240997232"/>
  </r>
  <r>
    <x v="10"/>
    <x v="2"/>
    <d v="2025-01-14T00:00:00"/>
    <n v="355629.84"/>
    <n v="311956.00000000006"/>
    <m/>
    <m/>
    <m/>
    <n v="311956.00000000006"/>
    <n v="43673.839999999967"/>
    <n v="9358.6800000000021"/>
    <n v="346271.16000000003"/>
    <n v="340032.04"/>
    <n v="-6239.1200000000017"/>
    <n v="-5.184119800105691E-11"/>
    <m/>
    <n v="-45671"/>
    <s v="مستحق"/>
    <n v="-46001"/>
    <m/>
    <n v="298273.71929824562"/>
  </r>
  <r>
    <x v="11"/>
    <x v="2"/>
    <d v="2025-01-14T00:00:00"/>
    <n v="83502.13"/>
    <n v="73247.482456140366"/>
    <m/>
    <m/>
    <m/>
    <n v="73247.482456140366"/>
    <n v="10254.647543859639"/>
    <n v="2197.4244736842111"/>
    <n v="81304.705526315796"/>
    <n v="81304.705526315796"/>
    <m/>
    <n v="0"/>
    <m/>
    <n v="-45671"/>
    <s v="مستحق"/>
    <n v="-46001"/>
    <m/>
    <n v="71319.917128347195"/>
  </r>
  <r>
    <x v="8"/>
    <x v="2"/>
    <d v="2025-01-14T00:00:00"/>
    <n v="133733.57999999999"/>
    <n v="117310.15789473684"/>
    <m/>
    <m/>
    <m/>
    <n v="117310.15789473684"/>
    <n v="16423.422105263147"/>
    <n v="3519.3047368421053"/>
    <n v="130214.27526315788"/>
    <n v="133733.57999999999"/>
    <m/>
    <n v="3519.3047368421103"/>
    <m/>
    <n v="-45671"/>
    <s v="مستحق"/>
    <n v="-46001"/>
    <m/>
    <n v="117310.15789473684"/>
  </r>
  <r>
    <x v="5"/>
    <x v="2"/>
    <d v="2025-01-15T00:00:00"/>
    <n v="68483.199999999997"/>
    <n v="60072.982456140351"/>
    <m/>
    <m/>
    <m/>
    <n v="60072.982456140351"/>
    <n v="8410.217543859646"/>
    <n v="1802.1894736842105"/>
    <n v="66681.010526315789"/>
    <n v="66681.010526315789"/>
    <m/>
    <n v="0"/>
    <m/>
    <n v="-45672"/>
    <s v="مستحق"/>
    <n v="-46001"/>
    <m/>
    <n v="58492.114496768241"/>
  </r>
  <r>
    <x v="12"/>
    <x v="1"/>
    <d v="2025-01-20T00:00:00"/>
    <n v="125671.25"/>
    <n v="110237.93859649124"/>
    <m/>
    <m/>
    <m/>
    <n v="110237.93859649124"/>
    <n v="15433.311403508764"/>
    <n v="3307.1381578947371"/>
    <n v="122364.11184210527"/>
    <n v="122364.11"/>
    <m/>
    <n v="-1.8421052664052695E-3"/>
    <m/>
    <n v="-45677"/>
    <s v="مستحق"/>
    <n v="-46001"/>
    <m/>
    <n v="107336.93859649124"/>
  </r>
  <r>
    <x v="6"/>
    <x v="2"/>
    <d v="2025-01-28T00:00:00"/>
    <n v="21097.95"/>
    <n v="18506.97368421053"/>
    <m/>
    <m/>
    <m/>
    <n v="18506.97368421053"/>
    <n v="2590.9763157894704"/>
    <n v="555.20921052631593"/>
    <n v="20542.740789473686"/>
    <n v="20542.740789473686"/>
    <m/>
    <n v="0"/>
    <m/>
    <n v="-45685"/>
    <s v="مستحق"/>
    <n v="-46001"/>
    <m/>
    <n v="18019.948060941831"/>
  </r>
  <r>
    <x v="0"/>
    <x v="1"/>
    <d v="2025-01-29T00:00:00"/>
    <n v="35781.370000000003"/>
    <n v="31387.166666666672"/>
    <m/>
    <m/>
    <m/>
    <n v="31387.166666666672"/>
    <n v="4394.2033333333311"/>
    <n v="941.61500000000012"/>
    <n v="34839.755000000005"/>
    <n v="34839.755000000005"/>
    <m/>
    <n v="0"/>
    <m/>
    <n v="-45686"/>
    <s v="مستحق"/>
    <n v="-46001"/>
    <m/>
    <n v="30561.188596491236"/>
  </r>
  <r>
    <x v="0"/>
    <x v="2"/>
    <d v="2025-01-29T00:00:00"/>
    <n v="44975.82"/>
    <n v="39452.473684210527"/>
    <m/>
    <m/>
    <m/>
    <n v="39452.473684210527"/>
    <n v="5523.346315789473"/>
    <n v="1183.5742105263157"/>
    <n v="43792.245789473687"/>
    <n v="43792.245789473687"/>
    <m/>
    <n v="0"/>
    <m/>
    <n v="-45686"/>
    <s v="مستحق"/>
    <n v="-46001"/>
    <m/>
    <n v="38414.250692520778"/>
  </r>
  <r>
    <x v="4"/>
    <x v="2"/>
    <d v="2025-02-08T00:00:00"/>
    <n v="31430.58"/>
    <n v="27570.68421052632"/>
    <m/>
    <m/>
    <m/>
    <n v="27570.68421052632"/>
    <n v="3859.8957894736814"/>
    <n v="827.12052631578956"/>
    <n v="30603.459473684212"/>
    <n v="30603.47"/>
    <m/>
    <n v="1.0526315789320506E-2"/>
    <m/>
    <n v="-45696"/>
    <s v="مستحق"/>
    <n v="-46001"/>
    <m/>
    <n v="26845.149122807023"/>
  </r>
  <r>
    <x v="12"/>
    <x v="2"/>
    <d v="2025-02-09T00:00:00"/>
    <n v="168413.43"/>
    <n v="147731.07894736843"/>
    <m/>
    <m/>
    <m/>
    <n v="147731.07894736843"/>
    <n v="20682.351052631566"/>
    <n v="4431.9323684210531"/>
    <n v="163981.49763157894"/>
    <n v="163981.49763157894"/>
    <m/>
    <n v="0"/>
    <m/>
    <n v="-45697"/>
    <s v="مستحق"/>
    <n v="-46001"/>
    <m/>
    <n v="143843.41897506925"/>
  </r>
  <r>
    <x v="9"/>
    <x v="4"/>
    <d v="2025-02-09T00:00:00"/>
    <n v="76472.11"/>
    <n v="67080.798245614045"/>
    <m/>
    <m/>
    <m/>
    <n v="67080.798245614045"/>
    <n v="9391.3117543859553"/>
    <n v="2012.4239473684213"/>
    <n v="74459.686052631572"/>
    <n v="73118.070087719287"/>
    <n v="-1341.615964912281"/>
    <n v="-4.5474735088646412E-12"/>
    <m/>
    <n v="-45697"/>
    <s v="مستحق"/>
    <n v="-46001"/>
    <m/>
    <n v="64138.657971683591"/>
  </r>
  <r>
    <x v="10"/>
    <x v="4"/>
    <d v="2025-02-10T00:00:00"/>
    <n v="140469.98000000001"/>
    <n v="123219.28070175441"/>
    <m/>
    <m/>
    <m/>
    <n v="123219.28070175441"/>
    <n v="17250.699298245599"/>
    <n v="3696.5784210526322"/>
    <n v="136773.40157894738"/>
    <n v="134309.01596491228"/>
    <n v="-2464.3856140350881"/>
    <n v="-1.0004441719502211E-11"/>
    <m/>
    <n v="-45698"/>
    <s v="مستحق"/>
    <n v="-46001"/>
    <m/>
    <n v="117814.92628501078"/>
  </r>
  <r>
    <x v="11"/>
    <x v="4"/>
    <d v="2025-02-12T00:00:00"/>
    <n v="75749.22"/>
    <n v="66446.68421052632"/>
    <m/>
    <m/>
    <m/>
    <n v="66446.68421052632"/>
    <n v="9302.5357894736808"/>
    <n v="1993.4005263157896"/>
    <n v="73755.819473684212"/>
    <n v="73755.819473684212"/>
    <m/>
    <n v="0"/>
    <m/>
    <n v="-45700"/>
    <s v="مستحق"/>
    <n v="-46001"/>
    <m/>
    <n v="64698.087257617735"/>
  </r>
  <r>
    <x v="5"/>
    <x v="4"/>
    <d v="2025-02-17T00:00:00"/>
    <n v="71142.720000000001"/>
    <n v="62405.894736842114"/>
    <m/>
    <m/>
    <m/>
    <n v="62405.894736842114"/>
    <n v="8736.8252631578871"/>
    <n v="1872.1768421052634"/>
    <n v="69270.543157894732"/>
    <n v="69270.543157894732"/>
    <m/>
    <n v="0"/>
    <m/>
    <n v="-45705"/>
    <s v="مستحق"/>
    <n v="-46001"/>
    <m/>
    <n v="60763.634349030472"/>
  </r>
  <r>
    <x v="8"/>
    <x v="4"/>
    <d v="2025-02-20T00:00:00"/>
    <n v="156782.6"/>
    <n v="137528.59649122809"/>
    <m/>
    <m/>
    <m/>
    <n v="137528.59649122809"/>
    <n v="19254.003508771915"/>
    <n v="4125.8578947368424"/>
    <n v="152656.74210526317"/>
    <n v="152656.75"/>
    <m/>
    <n v="7.8947368310764432E-3"/>
    <m/>
    <n v="-45708"/>
    <s v="مستحق"/>
    <n v="-46001"/>
    <m/>
    <n v="133909.4298245614"/>
  </r>
  <r>
    <x v="13"/>
    <x v="4"/>
    <d v="2025-02-20T00:00:00"/>
    <n v="197277"/>
    <n v="173050.00000000003"/>
    <m/>
    <m/>
    <m/>
    <n v="173050.00000000003"/>
    <n v="24226.999999999971"/>
    <n v="5191.5000000000009"/>
    <n v="192085.5"/>
    <n v="192085.5"/>
    <m/>
    <n v="0"/>
    <m/>
    <n v="-45708"/>
    <s v="مستحق"/>
    <n v="-46001"/>
    <m/>
    <n v="168496.05263157896"/>
  </r>
  <r>
    <x v="4"/>
    <x v="4"/>
    <d v="2025-02-23T00:00:00"/>
    <n v="31904.685924000005"/>
    <n v="27986.566600000006"/>
    <m/>
    <m/>
    <m/>
    <n v="27986.566600000006"/>
    <n v="3918.1193239999993"/>
    <n v="839.5969980000001"/>
    <n v="31065.088926000004"/>
    <n v="31065.088926000004"/>
    <m/>
    <n v="0"/>
    <m/>
    <n v="-45711"/>
    <s v="مستحق"/>
    <n v="-46001"/>
    <m/>
    <n v="27250.078005263164"/>
  </r>
  <r>
    <x v="1"/>
    <x v="4"/>
    <d v="2025-02-23T00:00:00"/>
    <n v="156576.51999999999"/>
    <n v="137347.82456140351"/>
    <m/>
    <m/>
    <m/>
    <n v="137347.82456140351"/>
    <n v="19228.695438596478"/>
    <n v="4120.4347368421049"/>
    <n v="152456.08526315787"/>
    <n v="152456.08526315787"/>
    <m/>
    <n v="0"/>
    <m/>
    <n v="-45711"/>
    <s v="مستحق"/>
    <n v="-46001"/>
    <m/>
    <n v="133733.40812557709"/>
  </r>
  <r>
    <x v="3"/>
    <x v="4"/>
    <d v="2025-02-24T00:00:00"/>
    <n v="135090"/>
    <n v="118500.00000000001"/>
    <m/>
    <m/>
    <m/>
    <n v="118500.00000000001"/>
    <n v="16589.999999999985"/>
    <n v="3555.0000000000005"/>
    <n v="131535"/>
    <n v="131535"/>
    <m/>
    <n v="0"/>
    <m/>
    <n v="-45712"/>
    <s v="مستحق"/>
    <n v="-46001"/>
    <m/>
    <n v="115381.57894736843"/>
  </r>
  <r>
    <x v="14"/>
    <x v="4"/>
    <d v="2025-02-24T00:00:00"/>
    <n v="22800"/>
    <n v="20000"/>
    <m/>
    <m/>
    <m/>
    <n v="20000"/>
    <n v="2800"/>
    <n v="600"/>
    <n v="22200"/>
    <n v="22200"/>
    <m/>
    <n v="0"/>
    <m/>
    <n v="-45712"/>
    <s v="مستحق"/>
    <n v="-46001"/>
    <m/>
    <n v="19473.684210526317"/>
  </r>
  <r>
    <x v="0"/>
    <x v="4"/>
    <d v="2025-03-04T00:00:00"/>
    <n v="41256.019999999997"/>
    <n v="36189.491228070176"/>
    <m/>
    <m/>
    <m/>
    <n v="36189.491228070176"/>
    <n v="5066.5287719298212"/>
    <n v="1085.6847368421052"/>
    <n v="40170.335263157889"/>
    <n v="40170.335263157889"/>
    <m/>
    <n v="0"/>
    <m/>
    <n v="-45720"/>
    <s v="مستحق"/>
    <n v="-46001"/>
    <m/>
    <n v="35237.136195752537"/>
  </r>
  <r>
    <x v="12"/>
    <x v="4"/>
    <d v="2025-03-04T00:00:00"/>
    <n v="167226.57"/>
    <n v="146689.97368421053"/>
    <m/>
    <m/>
    <m/>
    <n v="146689.97368421053"/>
    <n v="20536.596315789473"/>
    <n v="4400.6992105263162"/>
    <n v="162825.8707894737"/>
    <n v="162825.8707894737"/>
    <m/>
    <n v="0"/>
    <m/>
    <n v="-45720"/>
    <s v="مستحق"/>
    <n v="-46001"/>
    <m/>
    <n v="142829.7112188366"/>
  </r>
  <r>
    <x v="15"/>
    <x v="4"/>
    <d v="2025-03-06T00:00:00"/>
    <n v="7296"/>
    <n v="6400.0000000000009"/>
    <m/>
    <m/>
    <m/>
    <n v="6400.0000000000009"/>
    <n v="895.99999999999909"/>
    <n v="192.00000000000003"/>
    <n v="7104"/>
    <n v="7104"/>
    <m/>
    <n v="0"/>
    <m/>
    <n v="-45722"/>
    <s v="مستحق"/>
    <n v="-46001"/>
    <m/>
    <n v="6231.5789473684217"/>
  </r>
  <r>
    <x v="2"/>
    <x v="4"/>
    <d v="2025-03-06T00:00:00"/>
    <n v="31806"/>
    <n v="27900.000000000004"/>
    <m/>
    <m/>
    <m/>
    <n v="27900.000000000004"/>
    <n v="3905.9999999999964"/>
    <n v="837.00000000000011"/>
    <n v="30969"/>
    <n v="30969"/>
    <m/>
    <n v="0"/>
    <m/>
    <n v="-45722"/>
    <s v="مستحق"/>
    <n v="-46001"/>
    <m/>
    <n v="27165.789473684214"/>
  </r>
  <r>
    <x v="9"/>
    <x v="5"/>
    <d v="2025-03-08T00:00:00"/>
    <n v="73420.25"/>
    <n v="64403.728070175443"/>
    <m/>
    <m/>
    <m/>
    <n v="64403.728070175443"/>
    <n v="9016.5219298245574"/>
    <n v="1932.1118421052631"/>
    <n v="71488.138157894733"/>
    <n v="70200.063596491222"/>
    <n v="-1288.0745614035088"/>
    <n v="-2.5011104298755527E-12"/>
    <m/>
    <n v="-45724"/>
    <s v="مستحق"/>
    <n v="-46001"/>
    <m/>
    <n v="61579.00315481687"/>
  </r>
  <r>
    <x v="13"/>
    <x v="5"/>
    <d v="2025-03-09T00:00:00"/>
    <n v="156180"/>
    <n v="137000"/>
    <m/>
    <m/>
    <m/>
    <n v="137000"/>
    <n v="19180"/>
    <n v="4110"/>
    <n v="152070"/>
    <n v="152070"/>
    <m/>
    <n v="0"/>
    <m/>
    <n v="-45725"/>
    <s v="مستحق"/>
    <n v="-46001"/>
    <m/>
    <n v="133394.73684210528"/>
  </r>
  <r>
    <x v="16"/>
    <x v="5"/>
    <d v="2025-03-11T00:00:00"/>
    <n v="76608"/>
    <n v="67200"/>
    <m/>
    <m/>
    <m/>
    <n v="67200"/>
    <n v="9408"/>
    <n v="2016"/>
    <n v="74592"/>
    <n v="74592"/>
    <m/>
    <n v="0"/>
    <m/>
    <n v="-45727"/>
    <s v="مستحق"/>
    <n v="-46001"/>
    <m/>
    <n v="65431.578947368427"/>
  </r>
  <r>
    <x v="10"/>
    <x v="5"/>
    <d v="2025-03-12T00:00:00"/>
    <n v="188091.23"/>
    <n v="164992.30701754388"/>
    <m/>
    <m/>
    <m/>
    <n v="164992.30701754388"/>
    <n v="23098.922982456133"/>
    <n v="4949.7692105263159"/>
    <n v="183141.4607894737"/>
    <n v="179841.61464912281"/>
    <n v="-3299.8461403508777"/>
    <n v="-6.8212102632969618E-12"/>
    <m/>
    <n v="-45728"/>
    <s v="مستحق"/>
    <n v="-46001"/>
    <m/>
    <n v="157755.80232379196"/>
  </r>
  <r>
    <x v="11"/>
    <x v="5"/>
    <d v="2025-03-12T00:00:00"/>
    <n v="79411.199999999997"/>
    <n v="69658.947368421053"/>
    <m/>
    <m/>
    <m/>
    <n v="69658.947368421053"/>
    <n v="9752.2526315789437"/>
    <n v="2089.7684210526313"/>
    <n v="77321.431578947362"/>
    <n v="77321.440000000002"/>
    <m/>
    <n v="8.4210526401875541E-3"/>
    <m/>
    <n v="-45728"/>
    <s v="مستحق"/>
    <n v="-46001"/>
    <m/>
    <n v="67825.824561403511"/>
  </r>
  <r>
    <x v="5"/>
    <x v="5"/>
    <d v="2025-03-13T00:00:00"/>
    <n v="170779.76"/>
    <n v="149806.80701754388"/>
    <m/>
    <m/>
    <m/>
    <n v="149806.80701754388"/>
    <n v="20972.952982456132"/>
    <n v="4494.2042105263163"/>
    <n v="166285.5557894737"/>
    <n v="166285.5557894737"/>
    <m/>
    <n v="0"/>
    <m/>
    <n v="-45729"/>
    <s v="مستحق"/>
    <n v="-46001"/>
    <m/>
    <n v="145864.52262234536"/>
  </r>
  <r>
    <x v="8"/>
    <x v="5"/>
    <d v="2025-03-16T00:00:00"/>
    <n v="120423.43"/>
    <n v="105634.58771929824"/>
    <m/>
    <m/>
    <m/>
    <n v="105634.58771929824"/>
    <n v="14788.842280701749"/>
    <n v="3169.0376315789472"/>
    <n v="117254.39236842105"/>
    <n v="117254.39236842105"/>
    <m/>
    <n v="0"/>
    <m/>
    <n v="-45732"/>
    <s v="مستحق"/>
    <n v="-46001"/>
    <m/>
    <n v="102854.73014773776"/>
  </r>
  <r>
    <x v="4"/>
    <x v="5"/>
    <d v="2025-03-23T00:00:00"/>
    <n v="18374.82"/>
    <n v="16118.263157894738"/>
    <m/>
    <m/>
    <m/>
    <n v="16118.263157894738"/>
    <n v="2256.5568421052612"/>
    <n v="483.54789473684212"/>
    <n v="17891.272105263157"/>
    <n v="17891.272105263157"/>
    <m/>
    <n v="0"/>
    <m/>
    <n v="-45739"/>
    <s v="مستحق"/>
    <n v="-46001"/>
    <m/>
    <n v="15694.098337950139"/>
  </r>
  <r>
    <x v="1"/>
    <x v="5"/>
    <d v="2025-03-25T00:00:00"/>
    <n v="171901.58"/>
    <n v="150790.85964912281"/>
    <m/>
    <m/>
    <m/>
    <n v="150790.85964912281"/>
    <n v="21110.720350877178"/>
    <n v="4523.725789473684"/>
    <n v="167377.8542105263"/>
    <n v="167377.85"/>
    <m/>
    <n v="-4.2105262982659042E-3"/>
    <m/>
    <n v="-45741"/>
    <s v="مستحق"/>
    <n v="-46001"/>
    <m/>
    <n v="146822.67543859652"/>
  </r>
  <r>
    <x v="17"/>
    <x v="6"/>
    <d v="2025-04-08T00:00:00"/>
    <n v="26470.799999999999"/>
    <n v="23220"/>
    <m/>
    <m/>
    <m/>
    <n v="23220"/>
    <n v="3250.7999999999993"/>
    <n v="696.6"/>
    <n v="25774.2"/>
    <n v="25774.2"/>
    <m/>
    <n v="0"/>
    <m/>
    <n v="-45755"/>
    <s v="مستحق"/>
    <n v="-46001"/>
    <m/>
    <n v="22608.947368421053"/>
  </r>
  <r>
    <x v="10"/>
    <x v="6"/>
    <d v="2025-04-10T00:00:00"/>
    <n v="175554.44956800001"/>
    <n v="153995.13120000003"/>
    <m/>
    <m/>
    <m/>
    <n v="153995.13120000003"/>
    <n v="21559.318367999978"/>
    <n v="4619.8539360000004"/>
    <n v="170934.59563200001"/>
    <n v="167854.69"/>
    <n v="-3079.9026240000007"/>
    <n v="-3.0080000083216873E-3"/>
    <m/>
    <n v="-45757"/>
    <s v="مستحق"/>
    <n v="-46001"/>
    <m/>
    <n v="147240.9561403509"/>
  </r>
  <r>
    <x v="9"/>
    <x v="6"/>
    <d v="2025-04-13T00:00:00"/>
    <n v="75528.600000000006"/>
    <n v="66253.157894736854"/>
    <m/>
    <m/>
    <m/>
    <n v="66253.157894736854"/>
    <n v="9275.4421052631515"/>
    <n v="1987.5947368421055"/>
    <n v="73541.005263157902"/>
    <n v="72215.942105263166"/>
    <n v="-1325.0631578947371"/>
    <n v="0"/>
    <m/>
    <n v="-45760"/>
    <s v="مستحق"/>
    <n v="-46001"/>
    <m/>
    <n v="63347.317636195767"/>
  </r>
  <r>
    <x v="11"/>
    <x v="6"/>
    <d v="2025-04-14T00:00:00"/>
    <n v="121545.91"/>
    <n v="106619.21929824563"/>
    <m/>
    <m/>
    <m/>
    <n v="106619.21929824563"/>
    <n v="14926.690701754371"/>
    <n v="3198.5765789473689"/>
    <n v="118347.33342105264"/>
    <n v="118347.33342105264"/>
    <m/>
    <n v="0"/>
    <m/>
    <n v="-45761"/>
    <s v="مستحق"/>
    <n v="-46001"/>
    <m/>
    <n v="103813.45036934443"/>
  </r>
  <r>
    <x v="12"/>
    <x v="5"/>
    <d v="2025-04-16T00:00:00"/>
    <n v="126873.12"/>
    <n v="111292.2105263158"/>
    <m/>
    <m/>
    <m/>
    <n v="111292.2105263158"/>
    <n v="15580.909473684194"/>
    <n v="3338.766315789474"/>
    <n v="123534.35368421052"/>
    <n v="123534.35368421052"/>
    <m/>
    <n v="0"/>
    <m/>
    <n v="-45763"/>
    <s v="مستحق"/>
    <n v="-46001"/>
    <m/>
    <n v="108363.46814404432"/>
  </r>
  <r>
    <x v="13"/>
    <x v="6"/>
    <d v="2025-04-16T00:00:00"/>
    <n v="295260"/>
    <n v="259000.00000000003"/>
    <m/>
    <m/>
    <m/>
    <n v="259000.00000000003"/>
    <n v="36259.999999999971"/>
    <n v="7770.0000000000009"/>
    <n v="287490"/>
    <n v="287490"/>
    <m/>
    <n v="0"/>
    <m/>
    <n v="-45763"/>
    <s v="مستحق"/>
    <n v="-46001"/>
    <m/>
    <n v="252184.21052631582"/>
  </r>
  <r>
    <x v="18"/>
    <x v="5"/>
    <d v="2025-04-17T00:00:00"/>
    <n v="7410"/>
    <n v="6500.0000000000009"/>
    <m/>
    <m/>
    <m/>
    <n v="6500.0000000000009"/>
    <n v="909.99999999999909"/>
    <n v="195.00000000000003"/>
    <n v="7215"/>
    <n v="7215"/>
    <m/>
    <n v="0"/>
    <m/>
    <n v="-45764"/>
    <s v="مستحق"/>
    <n v="-46001"/>
    <m/>
    <n v="6328.9473684210534"/>
  </r>
  <r>
    <x v="19"/>
    <x v="6"/>
    <d v="2025-04-27T00:00:00"/>
    <n v="132060.31"/>
    <n v="115842.37719298246"/>
    <m/>
    <m/>
    <m/>
    <n v="115842.37719298246"/>
    <n v="16217.93280701754"/>
    <n v="3475.2713157894736"/>
    <n v="128585.03868421052"/>
    <n v="128585.03868421052"/>
    <m/>
    <n v="0"/>
    <m/>
    <n v="-45774"/>
    <s v="مستحق"/>
    <n v="-46001"/>
    <m/>
    <n v="112793.89358264081"/>
  </r>
  <r>
    <x v="8"/>
    <x v="6"/>
    <d v="2025-04-26T00:00:00"/>
    <n v="99415.98"/>
    <n v="87207"/>
    <m/>
    <m/>
    <m/>
    <n v="87207"/>
    <n v="12208.979999999996"/>
    <n v="2616.21"/>
    <n v="96799.76999999999"/>
    <n v="96799.77"/>
    <m/>
    <n v="1.4551915228366852E-11"/>
    <m/>
    <n v="-45773"/>
    <s v="مستحق"/>
    <n v="-46001"/>
    <m/>
    <n v="84912.078947368427"/>
  </r>
  <r>
    <x v="6"/>
    <x v="6"/>
    <d v="2025-04-26T00:00:00"/>
    <n v="76254.759999999995"/>
    <n v="66890.140350877191"/>
    <m/>
    <m/>
    <m/>
    <n v="66890.140350877191"/>
    <n v="9364.6196491228038"/>
    <n v="2006.7042105263156"/>
    <n v="74248.055789473685"/>
    <n v="74248.055789473685"/>
    <m/>
    <n v="0"/>
    <m/>
    <n v="-45773"/>
    <s v="مستحق"/>
    <n v="-46001"/>
    <m/>
    <n v="65129.873499538327"/>
  </r>
  <r>
    <x v="4"/>
    <x v="6"/>
    <d v="2025-04-27T00:00:00"/>
    <n v="72793.45"/>
    <n v="63853.903508771931"/>
    <m/>
    <m/>
    <m/>
    <n v="63853.903508771931"/>
    <n v="8939.5464912280659"/>
    <n v="1915.6171052631578"/>
    <n v="70877.832894736843"/>
    <n v="70877.832894736843"/>
    <m/>
    <n v="0"/>
    <m/>
    <n v="-45774"/>
    <s v="مستحق"/>
    <n v="-46001"/>
    <m/>
    <n v="62173.537626962148"/>
  </r>
  <r>
    <x v="0"/>
    <x v="5"/>
    <d v="2025-04-27T00:00:00"/>
    <n v="43146.53"/>
    <n v="37847.833333333336"/>
    <m/>
    <m/>
    <m/>
    <n v="37847.833333333336"/>
    <n v="5298.6966666666631"/>
    <n v="1135.4349999999999"/>
    <n v="42011.095000000001"/>
    <n v="42011.095000000001"/>
    <m/>
    <n v="0"/>
    <m/>
    <n v="-45774"/>
    <s v="مستحق"/>
    <n v="-46001"/>
    <m/>
    <n v="36851.837719298252"/>
  </r>
  <r>
    <x v="12"/>
    <x v="6"/>
    <d v="2025-05-07T00:00:00"/>
    <n v="133607.44"/>
    <n v="117199.50877192983"/>
    <m/>
    <m/>
    <m/>
    <n v="117199.50877192983"/>
    <n v="16407.931228070171"/>
    <n v="3515.9852631578947"/>
    <n v="130091.4547368421"/>
    <n v="130091.4547368421"/>
    <m/>
    <n v="0"/>
    <m/>
    <n v="-45784"/>
    <s v="مستحق"/>
    <n v="-46001"/>
    <m/>
    <n v="114115.31117266852"/>
  </r>
  <r>
    <x v="9"/>
    <x v="7"/>
    <d v="2025-05-07T00:00:00"/>
    <n v="41356.74"/>
    <n v="36277.84210526316"/>
    <m/>
    <m/>
    <m/>
    <n v="36277.84210526316"/>
    <n v="5078.8978947368378"/>
    <n v="1088.3352631578948"/>
    <n v="40268.404736842102"/>
    <n v="39542.847894736798"/>
    <n v="-725.55684210526317"/>
    <n v="-3.9904080040287226E-11"/>
    <m/>
    <n v="-45784"/>
    <s v="مستحق"/>
    <n v="-46001"/>
    <m/>
    <n v="34686.708679593685"/>
  </r>
  <r>
    <x v="10"/>
    <x v="7"/>
    <d v="2025-05-08T00:00:00"/>
    <n v="249942.93"/>
    <n v="219248.18421052632"/>
    <m/>
    <m/>
    <m/>
    <n v="219248.18421052632"/>
    <n v="30694.745789473673"/>
    <n v="6577.4455263157897"/>
    <n v="243365.48447368419"/>
    <n v="238980.52078947367"/>
    <n v="-4384.9636842105265"/>
    <n v="0"/>
    <m/>
    <n v="-45785"/>
    <s v="مستحق"/>
    <n v="-46001"/>
    <m/>
    <n v="209632.03578024008"/>
  </r>
  <r>
    <x v="11"/>
    <x v="7"/>
    <d v="2025-05-14T00:00:00"/>
    <n v="76548.77"/>
    <n v="67148.043859649129"/>
    <m/>
    <m/>
    <m/>
    <n v="67148.043859649129"/>
    <n v="9400.7261403508746"/>
    <n v="2014.4413157894737"/>
    <n v="74534.32868421053"/>
    <n v="74534.32868421053"/>
    <m/>
    <n v="0"/>
    <m/>
    <n v="-45791"/>
    <s v="مستحق"/>
    <n v="-46001"/>
    <m/>
    <n v="65380.990073868888"/>
  </r>
  <r>
    <x v="19"/>
    <x v="7"/>
    <d v="2025-05-18T00:00:00"/>
    <n v="96602.79"/>
    <n v="84739.289473684214"/>
    <m/>
    <m/>
    <m/>
    <n v="84739.289473684214"/>
    <n v="11863.50052631578"/>
    <n v="2542.1786842105262"/>
    <n v="94060.611315789472"/>
    <n v="94060.61"/>
    <m/>
    <n v="-1.3157894718460739E-3"/>
    <m/>
    <n v="-45795"/>
    <s v="مستحق"/>
    <n v="-46001"/>
    <m/>
    <n v="82509.307017543862"/>
  </r>
  <r>
    <x v="20"/>
    <x v="7"/>
    <d v="2025-05-18T00:00:00"/>
    <n v="185250"/>
    <n v="162500"/>
    <m/>
    <m/>
    <m/>
    <n v="162500"/>
    <n v="22750"/>
    <n v="4875"/>
    <n v="180375"/>
    <n v="180375"/>
    <m/>
    <n v="0"/>
    <m/>
    <n v="-45795"/>
    <s v="مستحق"/>
    <n v="-46001"/>
    <m/>
    <n v="158223.68421052632"/>
  </r>
  <r>
    <x v="2"/>
    <x v="6"/>
    <d v="2025-05-19T00:00:00"/>
    <n v="14820"/>
    <n v="13000.000000000002"/>
    <m/>
    <m/>
    <m/>
    <n v="13000.000000000002"/>
    <n v="1819.9999999999982"/>
    <n v="390.00000000000006"/>
    <n v="14430"/>
    <n v="14430"/>
    <m/>
    <n v="0"/>
    <m/>
    <n v="-45796"/>
    <s v="مستحق"/>
    <n v="-46001"/>
    <m/>
    <n v="12657.894736842107"/>
  </r>
  <r>
    <x v="3"/>
    <x v="7"/>
    <d v="2025-05-19T00:00:00"/>
    <n v="102970.5"/>
    <n v="90325.000000000015"/>
    <m/>
    <m/>
    <m/>
    <n v="90325.000000000015"/>
    <n v="12645.499999999985"/>
    <n v="2709.7500000000005"/>
    <n v="100260.75"/>
    <n v="100260.75"/>
    <m/>
    <n v="0"/>
    <m/>
    <n v="-45796"/>
    <s v="مستحق"/>
    <n v="-46001"/>
    <m/>
    <n v="87948.026315789481"/>
  </r>
  <r>
    <x v="4"/>
    <x v="7"/>
    <d v="2025-05-27T00:00:00"/>
    <n v="133458.85999999999"/>
    <n v="117069.17543859649"/>
    <m/>
    <m/>
    <m/>
    <n v="117069.17543859649"/>
    <n v="16389.684561403497"/>
    <n v="3512.0752631578944"/>
    <n v="129946.78473684209"/>
    <n v="129946.78473684209"/>
    <m/>
    <n v="0"/>
    <m/>
    <n v="-45804"/>
    <s v="مستحق"/>
    <n v="-46001"/>
    <m/>
    <n v="113988.40766389658"/>
  </r>
  <r>
    <x v="6"/>
    <x v="7"/>
    <d v="2025-05-29T00:00:00"/>
    <n v="88117.56"/>
    <n v="77296.105263157893"/>
    <m/>
    <m/>
    <m/>
    <n v="77296.105263157893"/>
    <n v="10821.454736842104"/>
    <n v="2318.8831578947365"/>
    <n v="85798.676842105255"/>
    <n v="85798.676842105255"/>
    <m/>
    <n v="0"/>
    <m/>
    <n v="-45806"/>
    <s v="مستحق"/>
    <n v="-46001"/>
    <m/>
    <n v="75261.997229916902"/>
  </r>
  <r>
    <x v="13"/>
    <x v="8"/>
    <d v="2025-06-01T00:00:00"/>
    <n v="249660"/>
    <n v="219000.00000000003"/>
    <m/>
    <m/>
    <m/>
    <n v="219000.00000000003"/>
    <n v="30659.999999999971"/>
    <n v="6570.0000000000009"/>
    <n v="243090"/>
    <n v="243090"/>
    <m/>
    <n v="0"/>
    <m/>
    <n v="-45809"/>
    <s v="مستحق"/>
    <n v="-46001"/>
    <m/>
    <n v="213236.84210526317"/>
  </r>
  <r>
    <x v="17"/>
    <x v="8"/>
    <d v="2025-06-04T00:00:00"/>
    <n v="215460"/>
    <n v="189000.00000000003"/>
    <m/>
    <m/>
    <m/>
    <n v="189000.00000000003"/>
    <n v="26459.999999999971"/>
    <n v="5670.0000000000009"/>
    <n v="209790"/>
    <n v="209790"/>
    <m/>
    <n v="0"/>
    <m/>
    <n v="-45812"/>
    <s v="مستحق"/>
    <n v="-46001"/>
    <m/>
    <n v="184026.31578947371"/>
  </r>
  <r>
    <x v="17"/>
    <x v="8"/>
    <d v="2025-06-04T00:00:00"/>
    <n v="18733.560000000001"/>
    <n v="16432.947368421053"/>
    <m/>
    <m/>
    <m/>
    <n v="16432.947368421053"/>
    <n v="2300.6126315789479"/>
    <n v="492.98842105263157"/>
    <n v="18240.571578947369"/>
    <n v="18240.57"/>
    <m/>
    <n v="-1.5789473691256717E-3"/>
    <m/>
    <n v="-45812"/>
    <s v="مستحق"/>
    <n v="-46001"/>
    <m/>
    <n v="16000.500000000002"/>
  </r>
  <r>
    <x v="11"/>
    <x v="8"/>
    <d v="2025-06-10T00:00:00"/>
    <n v="191095.34"/>
    <n v="167627.4912280702"/>
    <m/>
    <m/>
    <m/>
    <n v="167627.4912280702"/>
    <n v="23467.848771929799"/>
    <n v="5028.8247368421062"/>
    <n v="186066.5152631579"/>
    <n v="186066.5152631579"/>
    <m/>
    <n v="0"/>
    <m/>
    <n v="-45818"/>
    <s v="مستحق"/>
    <n v="-46001"/>
    <m/>
    <n v="163216.24145891046"/>
  </r>
  <r>
    <x v="9"/>
    <x v="8"/>
    <d v="2025-06-10T00:00:00"/>
    <n v="73402.210000000006"/>
    <n v="64387.903508771939"/>
    <m/>
    <m/>
    <m/>
    <n v="64387.903508771939"/>
    <n v="9014.3064912280679"/>
    <n v="1931.637105263158"/>
    <n v="71470.572894736848"/>
    <n v="70182.814824561414"/>
    <n v="-1287.7580701754389"/>
    <n v="4.7748471843078732E-12"/>
    <m/>
    <n v="-45818"/>
    <s v="مستحق"/>
    <n v="-46001"/>
    <m/>
    <n v="61563.872653124054"/>
  </r>
  <r>
    <x v="20"/>
    <x v="8"/>
    <d v="2025-06-12T00:00:00"/>
    <n v="10374"/>
    <n v="9100"/>
    <m/>
    <m/>
    <m/>
    <n v="9100"/>
    <n v="1274"/>
    <n v="273"/>
    <n v="10101"/>
    <n v="10101"/>
    <m/>
    <n v="0"/>
    <m/>
    <n v="-45820"/>
    <s v="مستحق"/>
    <n v="-46001"/>
    <m/>
    <n v="8860.5263157894751"/>
  </r>
  <r>
    <x v="8"/>
    <x v="7"/>
    <d v="2025-06-12T00:00:00"/>
    <n v="135784.26"/>
    <n v="119109.00000000001"/>
    <m/>
    <m/>
    <m/>
    <n v="119109.00000000001"/>
    <n v="16675.259999999995"/>
    <n v="3573.2700000000004"/>
    <n v="132210.99000000002"/>
    <n v="132210.99000000002"/>
    <m/>
    <n v="0"/>
    <m/>
    <n v="-45820"/>
    <s v="مستحق"/>
    <n v="-46001"/>
    <m/>
    <n v="115974.55263157898"/>
  </r>
  <r>
    <x v="12"/>
    <x v="7"/>
    <d v="2025-06-14T00:00:00"/>
    <n v="85364.42"/>
    <n v="74881.070175438595"/>
    <m/>
    <m/>
    <m/>
    <n v="74881.070175438595"/>
    <n v="10483.349824561403"/>
    <n v="2246.4321052631576"/>
    <n v="83117.987894736842"/>
    <n v="83117.98"/>
    <m/>
    <n v="-7.8947368456283584E-3"/>
    <m/>
    <n v="-45822"/>
    <s v="مستحق"/>
    <n v="-46001"/>
    <m/>
    <n v="72910.508771929832"/>
  </r>
  <r>
    <x v="10"/>
    <x v="8"/>
    <d v="2025-06-15T00:00:00"/>
    <n v="256826.46"/>
    <n v="225286.36842105264"/>
    <m/>
    <m/>
    <m/>
    <n v="225286.36842105264"/>
    <n v="31540.091578947351"/>
    <n v="6758.5910526315793"/>
    <n v="250067.86894736841"/>
    <n v="245562.14157894734"/>
    <n v="-4505.7273684210531"/>
    <n v="-1.3642420526593924E-11"/>
    <m/>
    <n v="-45823"/>
    <s v="مستحق"/>
    <n v="-46001"/>
    <m/>
    <n v="215405.38734995382"/>
  </r>
  <r>
    <x v="0"/>
    <x v="6"/>
    <d v="2025-06-17T00:00:00"/>
    <n v="73349.87"/>
    <n v="64341.991228070176"/>
    <m/>
    <m/>
    <m/>
    <n v="64341.991228070176"/>
    <n v="9007.8787719298198"/>
    <n v="1930.2597368421052"/>
    <n v="71419.610263157883"/>
    <n v="71419.610263157883"/>
    <m/>
    <n v="0"/>
    <m/>
    <n v="-45825"/>
    <s v="مستحق"/>
    <n v="-46001"/>
    <m/>
    <n v="62648.780932594636"/>
  </r>
  <r>
    <x v="19"/>
    <x v="8"/>
    <d v="2025-06-26T00:00:00"/>
    <n v="79050.7"/>
    <n v="69342.719298245618"/>
    <m/>
    <m/>
    <m/>
    <n v="69342.719298245618"/>
    <n v="9707.980701754379"/>
    <n v="2080.2815789473684"/>
    <n v="76970.418421052629"/>
    <n v="76970.418421052629"/>
    <m/>
    <n v="0"/>
    <m/>
    <n v="-45834"/>
    <s v="مستحق"/>
    <n v="-46001"/>
    <m/>
    <n v="67517.910895660214"/>
  </r>
  <r>
    <x v="2"/>
    <x v="7"/>
    <d v="2025-06-28T00:00:00"/>
    <n v="227259"/>
    <n v="199350.00000000003"/>
    <m/>
    <m/>
    <m/>
    <n v="199350.00000000003"/>
    <n v="27908.999999999971"/>
    <n v="5980.5000000000009"/>
    <n v="221278.5"/>
    <n v="221278.5"/>
    <m/>
    <n v="0"/>
    <m/>
    <n v="-45836"/>
    <s v="مستحق"/>
    <n v="-46001"/>
    <m/>
    <n v="194103.94736842107"/>
  </r>
  <r>
    <x v="13"/>
    <x v="9"/>
    <d v="2025-06-28T00:00:00"/>
    <n v="299820"/>
    <n v="263000"/>
    <m/>
    <m/>
    <m/>
    <n v="263000"/>
    <n v="36820"/>
    <n v="7890"/>
    <n v="291930"/>
    <n v="291930"/>
    <m/>
    <n v="0"/>
    <m/>
    <n v="-45836"/>
    <s v="مستحق"/>
    <n v="-46001"/>
    <m/>
    <n v="256078.94736842107"/>
  </r>
  <r>
    <x v="18"/>
    <x v="8"/>
    <d v="2025-07-06T00:00:00"/>
    <n v="3093.96"/>
    <n v="2714.0000000000005"/>
    <m/>
    <m/>
    <m/>
    <n v="2714.0000000000005"/>
    <n v="379.95999999999958"/>
    <n v="81.420000000000016"/>
    <n v="3012.54"/>
    <n v="3012.54"/>
    <m/>
    <n v="0"/>
    <m/>
    <n v="-45844"/>
    <s v="مستحق"/>
    <n v="-46001"/>
    <m/>
    <n v="2642.5789473684213"/>
  </r>
  <r>
    <x v="0"/>
    <x v="7"/>
    <d v="2025-07-06T00:00:00"/>
    <n v="220441.45"/>
    <n v="193369.69298245618"/>
    <m/>
    <m/>
    <m/>
    <n v="193369.69298245618"/>
    <n v="27071.75701754383"/>
    <n v="5801.0907894736856"/>
    <n v="214640.35921052634"/>
    <n v="214640.36"/>
    <m/>
    <n v="7.8947364818304777E-4"/>
    <m/>
    <n v="-45844"/>
    <s v="مستحق"/>
    <n v="-46001"/>
    <m/>
    <n v="188281.01754385966"/>
  </r>
  <r>
    <x v="12"/>
    <x v="8"/>
    <d v="2025-07-07T00:00:00"/>
    <n v="141737.10999999999"/>
    <n v="124330.79824561403"/>
    <m/>
    <m/>
    <m/>
    <n v="124330.79824561403"/>
    <n v="17406.311754385955"/>
    <n v="3729.9239473684206"/>
    <n v="138007.18605263156"/>
    <n v="138007.18605263156"/>
    <m/>
    <n v="0"/>
    <m/>
    <n v="-45845"/>
    <s v="مستحق"/>
    <n v="-46001"/>
    <m/>
    <n v="121058.93513388734"/>
  </r>
  <r>
    <x v="13"/>
    <x v="10"/>
    <d v="2025-07-09T00:00:00"/>
    <n v="628140"/>
    <n v="551000"/>
    <m/>
    <m/>
    <m/>
    <n v="551000"/>
    <n v="77140"/>
    <n v="16530"/>
    <n v="611610"/>
    <n v="611610"/>
    <m/>
    <n v="0"/>
    <m/>
    <n v="-45847"/>
    <s v="مستحق"/>
    <n v="-46001"/>
    <m/>
    <n v="536500"/>
  </r>
  <r>
    <x v="4"/>
    <x v="8"/>
    <d v="2025-07-09T00:00:00"/>
    <n v="149327.38"/>
    <n v="130988.92982456142"/>
    <m/>
    <m/>
    <m/>
    <n v="130988.92982456142"/>
    <n v="18338.450175438586"/>
    <n v="3929.6678947368423"/>
    <n v="145397.71210526317"/>
    <n v="114793"/>
    <m/>
    <n v="-30604.71210526317"/>
    <m/>
    <n v="-45847"/>
    <s v="مستحق"/>
    <n v="-46001"/>
    <m/>
    <n v="100695.61403508772"/>
  </r>
  <r>
    <x v="20"/>
    <x v="9"/>
    <d v="2025-07-09T00:00:00"/>
    <n v="23155.68"/>
    <n v="20312.000000000004"/>
    <m/>
    <m/>
    <m/>
    <n v="20312.000000000004"/>
    <n v="2843.6799999999967"/>
    <n v="609.36000000000013"/>
    <n v="22546.32"/>
    <n v="22546.32"/>
    <m/>
    <n v="0"/>
    <m/>
    <n v="-45847"/>
    <s v="مستحق"/>
    <n v="-46001"/>
    <m/>
    <n v="19777.473684210527"/>
  </r>
  <r>
    <x v="9"/>
    <x v="9"/>
    <d v="2025-07-09T00:00:00"/>
    <n v="53842.05"/>
    <n v="47229.868421052641"/>
    <m/>
    <m/>
    <m/>
    <n v="47229.868421052641"/>
    <n v="6612.1815789473621"/>
    <n v="1416.8960526315791"/>
    <n v="52425.153947368424"/>
    <n v="51480.56"/>
    <n v="-944.59736842105281"/>
    <n v="3.4210526262086205E-3"/>
    <m/>
    <n v="-45847"/>
    <s v="مستحق"/>
    <n v="-46001"/>
    <m/>
    <n v="45158.385964912282"/>
  </r>
  <r>
    <x v="11"/>
    <x v="9"/>
    <d v="2025-07-13T00:00:00"/>
    <n v="123728.43"/>
    <n v="108533.71052631579"/>
    <m/>
    <m/>
    <m/>
    <n v="108533.71052631579"/>
    <n v="15194.719473684207"/>
    <n v="3256.0113157894734"/>
    <n v="120472.41868421053"/>
    <n v="120472.41868421053"/>
    <m/>
    <n v="0"/>
    <m/>
    <n v="-45851"/>
    <s v="مستحق"/>
    <n v="-46001"/>
    <m/>
    <n v="105677.56024930748"/>
  </r>
  <r>
    <x v="8"/>
    <x v="8"/>
    <d v="2025-07-13T00:00:00"/>
    <n v="137409.68"/>
    <n v="120534.80701754386"/>
    <m/>
    <m/>
    <m/>
    <n v="120534.80701754386"/>
    <n v="16874.872982456131"/>
    <n v="3616.044210526316"/>
    <n v="133793.63578947369"/>
    <n v="133793.63578947369"/>
    <m/>
    <n v="0"/>
    <m/>
    <n v="-45851"/>
    <s v="مستحق"/>
    <n v="-46001"/>
    <m/>
    <n v="117362.83841181903"/>
  </r>
  <r>
    <x v="10"/>
    <x v="9"/>
    <d v="2025-07-14T00:00:00"/>
    <n v="201215.24716"/>
    <n v="176504.60277192984"/>
    <m/>
    <m/>
    <m/>
    <n v="176504.60277192984"/>
    <n v="24710.644388070155"/>
    <n v="5295.1380831578954"/>
    <n v="195920.10907684211"/>
    <n v="192390.02"/>
    <n v="-3530.0920554385971"/>
    <n v="2.9785964738948678E-3"/>
    <m/>
    <n v="-45852"/>
    <s v="مستحق"/>
    <n v="-46001"/>
    <m/>
    <n v="168763.17543859649"/>
  </r>
  <r>
    <x v="16"/>
    <x v="9"/>
    <d v="2025-07-14T00:00:00"/>
    <n v="139650"/>
    <n v="122500.00000000001"/>
    <m/>
    <m/>
    <m/>
    <n v="122500.00000000001"/>
    <n v="17149.999999999985"/>
    <n v="3675.0000000000005"/>
    <n v="135975"/>
    <n v="135975"/>
    <m/>
    <n v="0"/>
    <m/>
    <n v="-45852"/>
    <s v="مستحق"/>
    <n v="-46001"/>
    <m/>
    <n v="119276.31578947369"/>
  </r>
  <r>
    <x v="6"/>
    <x v="8"/>
    <d v="2025-07-14T00:00:00"/>
    <n v="59996.639999999999"/>
    <n v="52628.631578947374"/>
    <m/>
    <m/>
    <m/>
    <n v="52628.631578947374"/>
    <n v="7368.0084210526256"/>
    <n v="1578.8589473684212"/>
    <n v="58417.781052631581"/>
    <n v="58417.781052631581"/>
    <m/>
    <n v="0"/>
    <m/>
    <n v="-45852"/>
    <s v="مستحق"/>
    <n v="-46001"/>
    <m/>
    <n v="51243.667590027704"/>
  </r>
  <r>
    <x v="19"/>
    <x v="9"/>
    <d v="2025-07-20T00:00:00"/>
    <n v="63861.22"/>
    <n v="56018.614035087725"/>
    <m/>
    <m/>
    <m/>
    <n v="56018.614035087725"/>
    <n v="7842.6059649122762"/>
    <n v="1680.5584210526317"/>
    <n v="62180.661578947373"/>
    <n v="62180.661578947373"/>
    <m/>
    <n v="0"/>
    <m/>
    <n v="-45858"/>
    <s v="مستحق"/>
    <n v="-46001"/>
    <m/>
    <n v="54544.439981532785"/>
  </r>
  <r>
    <x v="18"/>
    <x v="9"/>
    <d v="2025-07-27T00:00:00"/>
    <n v="2280"/>
    <n v="2000.0000000000002"/>
    <m/>
    <m/>
    <m/>
    <n v="2000.0000000000002"/>
    <n v="279.99999999999977"/>
    <n v="60.000000000000007"/>
    <n v="2220"/>
    <m/>
    <m/>
    <n v="-2220"/>
    <m/>
    <n v="-45865"/>
    <s v="مستحق"/>
    <n v="-46001"/>
    <m/>
    <n v="0"/>
  </r>
  <r>
    <x v="8"/>
    <x v="9"/>
    <d v="2025-07-27T00:00:00"/>
    <n v="122768.5"/>
    <n v="107691.66666666667"/>
    <m/>
    <m/>
    <m/>
    <n v="107691.66666666667"/>
    <n v="15076.833333333328"/>
    <n v="3230.75"/>
    <n v="119537.75"/>
    <n v="119537.75"/>
    <m/>
    <n v="0"/>
    <m/>
    <n v="-45865"/>
    <s v="مستحق"/>
    <n v="-46001"/>
    <m/>
    <n v="104857.6754385965"/>
  </r>
  <r>
    <x v="21"/>
    <x v="9"/>
    <d v="2025-07-27T00:00:00"/>
    <n v="89282.84"/>
    <n v="78318.280701754396"/>
    <m/>
    <m/>
    <m/>
    <n v="78318.280701754396"/>
    <n v="10964.5592982456"/>
    <n v="2349.548421052632"/>
    <n v="86933.291578947363"/>
    <n v="86933.291578947363"/>
    <m/>
    <n v="0"/>
    <m/>
    <n v="-45865"/>
    <s v="مستحق"/>
    <n v="-46001"/>
    <m/>
    <n v="76257.273314866121"/>
  </r>
  <r>
    <x v="22"/>
    <x v="9"/>
    <d v="2025-07-27T00:00:00"/>
    <n v="61425.32"/>
    <n v="53881.859649122809"/>
    <m/>
    <m/>
    <m/>
    <n v="53881.859649122809"/>
    <n v="7543.4603508771906"/>
    <n v="1616.4557894736843"/>
    <n v="59808.864210526313"/>
    <n v="59808.864210526313"/>
    <m/>
    <n v="0"/>
    <m/>
    <n v="-45865"/>
    <s v="مستحق"/>
    <n v="-46001"/>
    <m/>
    <n v="52463.915974145893"/>
  </r>
  <r>
    <x v="23"/>
    <x v="9"/>
    <d v="2025-07-27T00:00:00"/>
    <n v="41028.39"/>
    <n v="35989.815789473687"/>
    <m/>
    <m/>
    <m/>
    <n v="35989.815789473687"/>
    <n v="5038.5742105263125"/>
    <n v="1079.6944736842106"/>
    <n v="39948.695526315787"/>
    <n v="39948"/>
    <m/>
    <n v="-0.6955263157869922"/>
    <m/>
    <n v="-45865"/>
    <s v="مستحق"/>
    <n v="-46001"/>
    <m/>
    <n v="35042.1052631579"/>
  </r>
  <r>
    <x v="4"/>
    <x v="9"/>
    <d v="2025-07-28T00:00:00"/>
    <n v="115655.09"/>
    <n v="101451.83333333334"/>
    <m/>
    <m/>
    <m/>
    <n v="101451.83333333334"/>
    <n v="14203.256666666653"/>
    <n v="3043.5550000000003"/>
    <n v="112611.535"/>
    <n v="112611.535"/>
    <m/>
    <n v="0"/>
    <m/>
    <n v="-45866"/>
    <s v="مستحق"/>
    <n v="-46001"/>
    <m/>
    <n v="98782.048245614045"/>
  </r>
  <r>
    <x v="6"/>
    <x v="9"/>
    <d v="2025-07-31T00:00:00"/>
    <n v="34148.14"/>
    <n v="29954.508771929828"/>
    <m/>
    <m/>
    <m/>
    <n v="29954.508771929828"/>
    <n v="4193.6312280701713"/>
    <n v="898.63526315789477"/>
    <n v="33249.504736842107"/>
    <n v="33249.504736842107"/>
    <m/>
    <n v="0"/>
    <m/>
    <n v="-45869"/>
    <s v="مستحق"/>
    <n v="-46001"/>
    <m/>
    <n v="29166.232225300097"/>
  </r>
  <r>
    <x v="10"/>
    <x v="10"/>
    <d v="2025-08-10T00:00:00"/>
    <n v="224080.76"/>
    <n v="196562.07017543862"/>
    <m/>
    <m/>
    <m/>
    <n v="196562.07017543862"/>
    <n v="27518.689824561385"/>
    <n v="5896.8621052631588"/>
    <n v="218183.89789473685"/>
    <n v="214252.65649122806"/>
    <n v="-3931.2414035087727"/>
    <n v="-1.3187673175707459E-11"/>
    <m/>
    <n v="-45879"/>
    <s v="مستحق"/>
    <n v="-46001"/>
    <m/>
    <n v="187940.92674669129"/>
  </r>
  <r>
    <x v="11"/>
    <x v="10"/>
    <d v="2025-08-13T00:00:00"/>
    <n v="113904.66"/>
    <n v="99916.368421052641"/>
    <m/>
    <m/>
    <m/>
    <n v="99916.368421052641"/>
    <n v="13988.291578947363"/>
    <n v="2997.4910526315789"/>
    <n v="110907.16894736842"/>
    <n v="110907.16894736842"/>
    <m/>
    <n v="0"/>
    <m/>
    <n v="-45882"/>
    <s v="مستحق"/>
    <n v="-46001"/>
    <m/>
    <n v="97286.99030470915"/>
  </r>
  <r>
    <x v="0"/>
    <x v="8"/>
    <d v="2025-08-13T00:00:00"/>
    <n v="79277.97"/>
    <n v="69542.078947368427"/>
    <m/>
    <m/>
    <m/>
    <n v="69542.078947368427"/>
    <n v="9735.891052631574"/>
    <n v="2086.2623684210525"/>
    <n v="77191.707631578945"/>
    <n v="77191.707631578945"/>
    <m/>
    <n v="0"/>
    <m/>
    <n v="-45882"/>
    <s v="مستحق"/>
    <n v="-46001"/>
    <m/>
    <n v="67712.024238227154"/>
  </r>
  <r>
    <x v="4"/>
    <x v="10"/>
    <d v="2025-08-17T00:00:00"/>
    <n v="130381.4"/>
    <n v="114369.64912280702"/>
    <m/>
    <m/>
    <m/>
    <n v="114369.64912280702"/>
    <n v="16011.750877192972"/>
    <n v="3431.0894736842106"/>
    <n v="126950.31052631578"/>
    <n v="126950.31052631578"/>
    <m/>
    <n v="0"/>
    <m/>
    <n v="-45886"/>
    <s v="مستحق"/>
    <n v="-46001"/>
    <m/>
    <n v="111359.9215143121"/>
  </r>
  <r>
    <x v="20"/>
    <x v="10"/>
    <d v="2025-08-17T00:00:00"/>
    <n v="88920"/>
    <n v="78000"/>
    <m/>
    <m/>
    <m/>
    <n v="78000"/>
    <n v="10920"/>
    <n v="2340"/>
    <n v="86580"/>
    <n v="86580"/>
    <m/>
    <n v="0"/>
    <m/>
    <n v="-45886"/>
    <s v="مستحق"/>
    <n v="-46001"/>
    <m/>
    <n v="75947.368421052641"/>
  </r>
  <r>
    <x v="8"/>
    <x v="10"/>
    <d v="2025-08-18T00:00:00"/>
    <n v="188494.95"/>
    <n v="165346.44736842107"/>
    <m/>
    <m/>
    <m/>
    <n v="165346.44736842107"/>
    <n v="23148.502631578944"/>
    <n v="4960.3934210526322"/>
    <n v="183534.55657894738"/>
    <n v="183534.55657894738"/>
    <m/>
    <n v="0"/>
    <m/>
    <n v="-45887"/>
    <s v="مستحق"/>
    <n v="-46001"/>
    <m/>
    <n v="160995.2250692521"/>
  </r>
  <r>
    <x v="23"/>
    <x v="10"/>
    <d v="2025-08-18T00:00:00"/>
    <n v="13812.7"/>
    <n v="12116.403508771931"/>
    <m/>
    <m/>
    <m/>
    <n v="12116.403508771931"/>
    <n v="1696.2964912280695"/>
    <n v="363.4921052631579"/>
    <n v="13449.207894736843"/>
    <n v="13449.207894736843"/>
    <m/>
    <n v="0"/>
    <m/>
    <n v="-45887"/>
    <s v="مستحق"/>
    <n v="-46001"/>
    <m/>
    <n v="11797.550784856881"/>
  </r>
  <r>
    <x v="22"/>
    <x v="10"/>
    <d v="2025-09-02T00:00:00"/>
    <n v="53887.34"/>
    <n v="47269.596491228069"/>
    <m/>
    <m/>
    <m/>
    <n v="47269.596491228069"/>
    <n v="6617.7435087719277"/>
    <n v="1418.0878947368419"/>
    <n v="52469.252105263156"/>
    <n v="52469.252105263156"/>
    <m/>
    <n v="0"/>
    <m/>
    <n v="-45902"/>
    <s v="مستحق"/>
    <n v="-46001"/>
    <m/>
    <n v="46025.659741458912"/>
  </r>
  <r>
    <x v="21"/>
    <x v="10"/>
    <d v="2025-08-18T00:00:00"/>
    <n v="76622.039999999994"/>
    <n v="67212.31578947368"/>
    <m/>
    <m/>
    <m/>
    <n v="67212.31578947368"/>
    <n v="9409.724210526314"/>
    <n v="2016.3694736842103"/>
    <n v="74605.670526315778"/>
    <n v="74605.670526315778"/>
    <m/>
    <n v="0"/>
    <m/>
    <n v="-45887"/>
    <s v="مستحق"/>
    <n v="-46001"/>
    <m/>
    <n v="65443.570637119112"/>
  </r>
  <r>
    <x v="9"/>
    <x v="10"/>
    <d v="2025-08-19T00:00:00"/>
    <n v="75168.7"/>
    <n v="65937.456140350885"/>
    <m/>
    <m/>
    <m/>
    <n v="65937.456140350885"/>
    <n v="9231.243859649112"/>
    <n v="1978.1236842105266"/>
    <n v="73190.576315789469"/>
    <n v="71871.827192982499"/>
    <n v="-1318.7491228070178"/>
    <n v="4.75210981676355E-11"/>
    <m/>
    <n v="-45888"/>
    <s v="مستحق"/>
    <n v="-46001"/>
    <m/>
    <n v="63045.462449984654"/>
  </r>
  <r>
    <x v="12"/>
    <x v="9"/>
    <d v="2025-08-20T00:00:00"/>
    <n v="100803.99"/>
    <n v="88424.552631578961"/>
    <m/>
    <m/>
    <m/>
    <n v="88424.552631578961"/>
    <n v="12379.437368421044"/>
    <n v="2652.7365789473688"/>
    <n v="98151.253421052636"/>
    <n v="98151.253421052636"/>
    <m/>
    <n v="0"/>
    <m/>
    <n v="-45889"/>
    <s v="مستحق"/>
    <n v="-46001"/>
    <m/>
    <n v="86097.590720221619"/>
  </r>
  <r>
    <x v="12"/>
    <x v="10"/>
    <d v="2025-08-27T00:00:00"/>
    <n v="194872.22"/>
    <n v="170940.54385964913"/>
    <m/>
    <m/>
    <m/>
    <n v="170940.54385964913"/>
    <n v="23931.676140350872"/>
    <n v="5128.2163157894738"/>
    <n v="189744.00368421053"/>
    <n v="189744.00368421053"/>
    <m/>
    <n v="0"/>
    <m/>
    <n v="-45896"/>
    <s v="مستحق"/>
    <n v="-46001"/>
    <m/>
    <n v="166442.10849492153"/>
  </r>
  <r>
    <x v="19"/>
    <x v="10"/>
    <d v="2025-08-27T00:00:00"/>
    <n v="106270.86"/>
    <n v="93220.052631578961"/>
    <m/>
    <m/>
    <m/>
    <n v="93220.052631578961"/>
    <n v="13050.807368421039"/>
    <n v="2796.6015789473686"/>
    <n v="103474.25842105263"/>
    <n v="103474.25842105263"/>
    <m/>
    <n v="0"/>
    <m/>
    <n v="-45896"/>
    <s v="مستحق"/>
    <n v="-46001"/>
    <m/>
    <n v="90766.893351800551"/>
  </r>
  <r>
    <x v="0"/>
    <x v="9"/>
    <d v="2025-08-27T00:00:00"/>
    <n v="58966.07"/>
    <n v="51724.622807017549"/>
    <m/>
    <m/>
    <m/>
    <n v="51724.622807017549"/>
    <n v="7241.4471929824504"/>
    <n v="1551.7386842105263"/>
    <n v="57414.331315789474"/>
    <n v="57414.331315789474"/>
    <m/>
    <n v="0"/>
    <m/>
    <n v="-45896"/>
    <s v="مستحق"/>
    <n v="-46001"/>
    <m/>
    <n v="50363.448522622348"/>
  </r>
  <r>
    <x v="7"/>
    <x v="10"/>
    <d v="2025-08-27T00:00:00"/>
    <n v="186960"/>
    <n v="164000"/>
    <m/>
    <m/>
    <m/>
    <n v="164000"/>
    <n v="22960"/>
    <n v="4920"/>
    <n v="182040"/>
    <n v="182040"/>
    <m/>
    <n v="0"/>
    <m/>
    <n v="-45896"/>
    <s v="مستحق"/>
    <n v="-46001"/>
    <m/>
    <n v="159684.21052631582"/>
  </r>
  <r>
    <x v="6"/>
    <x v="10"/>
    <d v="2025-09-02T00:00:00"/>
    <n v="47930.19"/>
    <n v="42044.026315789481"/>
    <m/>
    <m/>
    <m/>
    <n v="42044.026315789481"/>
    <n v="5886.1636842105218"/>
    <n v="1261.3207894736843"/>
    <n v="46668.869210526318"/>
    <n v="46668.869210526318"/>
    <m/>
    <n v="0"/>
    <m/>
    <n v="-45902"/>
    <s v="مستحق"/>
    <n v="-46001"/>
    <m/>
    <n v="40937.604570637122"/>
  </r>
  <r>
    <x v="10"/>
    <x v="11"/>
    <d v="2025-09-11T00:00:00"/>
    <n v="377063.6298"/>
    <n v="330757.57"/>
    <m/>
    <m/>
    <m/>
    <n v="330757.57"/>
    <n v="46306.059799999988"/>
    <n v="9922.7271000000001"/>
    <n v="367140.90269999998"/>
    <n v="360525.7513"/>
    <n v="-6615.1514000000006"/>
    <n v="2.7284841053187847E-11"/>
    <m/>
    <n v="-45911"/>
    <s v="مستحق"/>
    <n v="-46001"/>
    <m/>
    <n v="316250.65903508774"/>
  </r>
  <r>
    <x v="11"/>
    <x v="11"/>
    <d v="2025-09-14T00:00:00"/>
    <n v="325691.15999999997"/>
    <n v="285694"/>
    <m/>
    <m/>
    <m/>
    <n v="285694"/>
    <n v="39997.159999999974"/>
    <n v="8570.82"/>
    <n v="317120.33999999997"/>
    <n v="317120.33999999997"/>
    <m/>
    <n v="0"/>
    <m/>
    <n v="-45914"/>
    <s v="مستحق"/>
    <n v="-46001"/>
    <m/>
    <n v="278175.73684210528"/>
  </r>
  <r>
    <x v="23"/>
    <x v="11"/>
    <d v="2025-09-16T00:00:00"/>
    <n v="15609.38"/>
    <n v="13692.438596491229"/>
    <m/>
    <m/>
    <m/>
    <n v="13692.438596491229"/>
    <n v="1916.9414035087702"/>
    <n v="410.77315789473687"/>
    <n v="15198.606842105262"/>
    <n v="15198.606842105262"/>
    <m/>
    <n v="0"/>
    <m/>
    <n v="-45916"/>
    <s v="مستحق"/>
    <n v="-46001"/>
    <m/>
    <n v="13332.111265004618"/>
  </r>
  <r>
    <x v="22"/>
    <x v="11"/>
    <d v="2025-09-16T00:00:00"/>
    <n v="49393.81"/>
    <n v="43327.903508771931"/>
    <m/>
    <m/>
    <m/>
    <n v="43327.903508771931"/>
    <n v="6065.9064912280664"/>
    <n v="1299.8371052631578"/>
    <n v="48093.972894736842"/>
    <n v="48093.972894736842"/>
    <m/>
    <n v="0"/>
    <m/>
    <n v="-45916"/>
    <s v="مستحق"/>
    <n v="-46001"/>
    <m/>
    <n v="42187.695521698988"/>
  </r>
  <r>
    <x v="21"/>
    <x v="11"/>
    <d v="2025-09-16T00:00:00"/>
    <n v="129805.1"/>
    <n v="113864.12280701756"/>
    <m/>
    <m/>
    <m/>
    <n v="113864.12280701756"/>
    <n v="15940.977192982449"/>
    <n v="3415.9236842105265"/>
    <n v="126389.17631578947"/>
    <n v="126389.17631578947"/>
    <m/>
    <n v="0"/>
    <m/>
    <n v="-45916"/>
    <s v="مستحق"/>
    <n v="-46001"/>
    <m/>
    <n v="110867.69852262236"/>
  </r>
  <r>
    <x v="18"/>
    <x v="10"/>
    <d v="2025-09-16T00:00:00"/>
    <n v="3420"/>
    <n v="3000.0000000000005"/>
    <m/>
    <m/>
    <m/>
    <n v="3000.0000000000005"/>
    <n v="419.99999999999955"/>
    <n v="90.000000000000014"/>
    <n v="3330"/>
    <m/>
    <m/>
    <n v="-3330"/>
    <m/>
    <n v="-45916"/>
    <s v="مستحق"/>
    <n v="-46001"/>
    <m/>
    <n v="0"/>
  </r>
  <r>
    <x v="19"/>
    <x v="11"/>
    <d v="2025-09-21T00:00:00"/>
    <n v="13122.99"/>
    <n v="11511.394736842107"/>
    <m/>
    <m/>
    <m/>
    <n v="11511.394736842107"/>
    <n v="1611.595263157893"/>
    <n v="345.3418421052632"/>
    <n v="12777.648157894737"/>
    <n v="12777.648157894737"/>
    <m/>
    <n v="0"/>
    <m/>
    <n v="-45921"/>
    <s v="مستحق"/>
    <n v="-46001"/>
    <m/>
    <n v="11208.463296398893"/>
  </r>
  <r>
    <x v="8"/>
    <x v="11"/>
    <d v="2025-09-23T00:00:00"/>
    <n v="181981.88"/>
    <n v="159633.22807017545"/>
    <m/>
    <m/>
    <m/>
    <n v="159633.22807017545"/>
    <n v="22348.651929824555"/>
    <n v="4788.9968421052636"/>
    <n v="177192.88315789474"/>
    <n v="177192.88315789474"/>
    <m/>
    <n v="0"/>
    <m/>
    <n v="-45923"/>
    <s v="مستحق"/>
    <n v="-46001"/>
    <m/>
    <n v="155432.35364727609"/>
  </r>
  <r>
    <x v="0"/>
    <x v="10"/>
    <d v="2025-09-23T00:00:00"/>
    <n v="79402.89"/>
    <n v="69651.657894736854"/>
    <m/>
    <m/>
    <m/>
    <n v="69651.657894736854"/>
    <n v="9751.2321052631451"/>
    <n v="2089.5497368421056"/>
    <n v="77313.340263157894"/>
    <n v="77313.340263157894"/>
    <m/>
    <n v="0"/>
    <m/>
    <n v="-45923"/>
    <s v="مستحق"/>
    <n v="-46001"/>
    <m/>
    <n v="67818.71952908588"/>
  </r>
  <r>
    <x v="24"/>
    <x v="11"/>
    <d v="2025-10-06T00:00:00"/>
    <n v="47323.48"/>
    <n v="41511.824561403519"/>
    <m/>
    <m/>
    <m/>
    <n v="41511.824561403519"/>
    <n v="5811.6554385964846"/>
    <n v="1245.3547368421055"/>
    <n v="46078.125263157897"/>
    <n v="46078.125263157897"/>
    <m/>
    <n v="0"/>
    <m/>
    <n v="-45936"/>
    <s v="مستحق"/>
    <n v="-46001"/>
    <m/>
    <n v="40419.408125577109"/>
  </r>
  <r>
    <x v="9"/>
    <x v="11"/>
    <d v="2025-09-24T00:00:00"/>
    <n v="66819.23"/>
    <n v="58613.359649122809"/>
    <m/>
    <m/>
    <m/>
    <n v="58613.359649122809"/>
    <n v="8205.8703508771869"/>
    <n v="1758.4007894736842"/>
    <n v="65060.82921052631"/>
    <n v="63888.562017543903"/>
    <n v="-1172.2671929824562"/>
    <n v="4.9794834922067821E-11"/>
    <m/>
    <n v="-45924"/>
    <s v="مستحق"/>
    <n v="-46001"/>
    <m/>
    <n v="56042.598261003426"/>
  </r>
  <r>
    <x v="4"/>
    <x v="11"/>
    <d v="2025-09-29T00:00:00"/>
    <n v="102062.46435000001"/>
    <n v="89528.477500000023"/>
    <m/>
    <m/>
    <m/>
    <n v="89528.477500000023"/>
    <n v="12533.986849999987"/>
    <n v="2685.8543250000007"/>
    <n v="99376.610025000002"/>
    <n v="99376"/>
    <m/>
    <n v="-0.61002500000176951"/>
    <m/>
    <n v="-45929"/>
    <s v="مستحق"/>
    <n v="-46001"/>
    <m/>
    <n v="87171.929824561405"/>
  </r>
  <r>
    <x v="12"/>
    <x v="11"/>
    <d v="2025-10-06T00:00:00"/>
    <n v="123404.94"/>
    <n v="108249.94736842107"/>
    <m/>
    <m/>
    <m/>
    <n v="108249.94736842107"/>
    <n v="15154.992631578934"/>
    <n v="3247.4984210526318"/>
    <n v="120157.44157894737"/>
    <n v="120157.44"/>
    <m/>
    <n v="-1.5789473691256717E-3"/>
    <m/>
    <n v="-45936"/>
    <s v="مستحق"/>
    <n v="-46001"/>
    <m/>
    <n v="105401.26315789475"/>
  </r>
  <r>
    <x v="15"/>
    <x v="11"/>
    <d v="2025-10-06T00:00:00"/>
    <n v="75643.31"/>
    <n v="66353.780701754396"/>
    <m/>
    <m/>
    <m/>
    <n v="66353.780701754396"/>
    <n v="9289.5292982456012"/>
    <n v="1990.6134210526318"/>
    <n v="73652.696578947362"/>
    <m/>
    <m/>
    <n v="-73652.696578947362"/>
    <m/>
    <n v="-45936"/>
    <s v="مستحق"/>
    <n v="-46001"/>
    <m/>
    <n v="0"/>
  </r>
  <r>
    <x v="17"/>
    <x v="11"/>
    <d v="2025-10-06T00:00:00"/>
    <n v="56612.4"/>
    <n v="49660.000000000007"/>
    <m/>
    <m/>
    <m/>
    <n v="49660.000000000007"/>
    <n v="6952.3999999999942"/>
    <n v="1489.8000000000002"/>
    <n v="55122.6"/>
    <n v="55122.6"/>
    <m/>
    <n v="0"/>
    <m/>
    <n v="-45936"/>
    <s v="مستحق"/>
    <n v="-46001"/>
    <m/>
    <n v="48353.157894736847"/>
  </r>
  <r>
    <x v="18"/>
    <x v="11"/>
    <d v="2025-10-07T00:00:00"/>
    <n v="3420"/>
    <n v="3000.0000000000005"/>
    <m/>
    <m/>
    <m/>
    <n v="3000.0000000000005"/>
    <n v="419.99999999999955"/>
    <n v="90.000000000000014"/>
    <n v="3330"/>
    <m/>
    <m/>
    <n v="-3330"/>
    <m/>
    <n v="-45937"/>
    <s v="مستحق"/>
    <n v="-46001"/>
    <m/>
    <n v="0"/>
  </r>
  <r>
    <x v="10"/>
    <x v="12"/>
    <d v="2025-10-14T00:00:00"/>
    <n v="154983.87"/>
    <n v="135950.76315789475"/>
    <m/>
    <m/>
    <m/>
    <n v="135950.76315789475"/>
    <n v="19033.106842105248"/>
    <n v="4078.5228947368423"/>
    <n v="150905.34710526315"/>
    <n v="148186.33184210525"/>
    <n v="-2719.0152631578949"/>
    <n v="0"/>
    <m/>
    <n v="-45944"/>
    <s v="مستحق"/>
    <n v="-46001"/>
    <m/>
    <n v="129988.01038781164"/>
  </r>
  <r>
    <x v="11"/>
    <x v="12"/>
    <d v="2025-10-14T00:00:00"/>
    <n v="347656.46"/>
    <n v="304961.80701754388"/>
    <m/>
    <m/>
    <m/>
    <n v="304961.80701754388"/>
    <n v="42694.652982456144"/>
    <n v="9148.8542105263168"/>
    <n v="338507.60578947369"/>
    <n v="338507.60578947369"/>
    <m/>
    <n v="0"/>
    <m/>
    <n v="-45944"/>
    <s v="مستحق"/>
    <n v="-46001"/>
    <m/>
    <n v="296936.49630655587"/>
  </r>
  <r>
    <x v="23"/>
    <x v="12"/>
    <d v="2025-10-14T00:00:00"/>
    <n v="20822.689999999999"/>
    <n v="18265.517543859649"/>
    <m/>
    <m/>
    <m/>
    <n v="18265.517543859649"/>
    <n v="2557.1724561403498"/>
    <n v="547.96552631578948"/>
    <n v="20274.724473684208"/>
    <n v="20274.724473684208"/>
    <m/>
    <n v="0"/>
    <m/>
    <n v="-45944"/>
    <s v="مستحق"/>
    <n v="-46001"/>
    <m/>
    <n v="17784.846029547552"/>
  </r>
  <r>
    <x v="22"/>
    <x v="12"/>
    <d v="2025-10-14T00:00:00"/>
    <n v="47570.49"/>
    <n v="41728.5"/>
    <m/>
    <m/>
    <m/>
    <n v="41728.5"/>
    <n v="5841.989999999998"/>
    <n v="1251.855"/>
    <n v="46318.634999999995"/>
    <n v="46318.634999999995"/>
    <m/>
    <n v="0"/>
    <m/>
    <n v="-45944"/>
    <s v="مستحق"/>
    <n v="-46001"/>
    <m/>
    <n v="40630.381578947367"/>
  </r>
  <r>
    <x v="21"/>
    <x v="12"/>
    <d v="2025-10-14T00:00:00"/>
    <n v="53468.19"/>
    <n v="46901.921052631587"/>
    <m/>
    <m/>
    <m/>
    <n v="46901.921052631587"/>
    <n v="6566.268947368415"/>
    <n v="1407.0576315789476"/>
    <n v="52061.132368421051"/>
    <n v="52061.132368421051"/>
    <m/>
    <n v="0"/>
    <m/>
    <n v="-45944"/>
    <s v="مستحق"/>
    <n v="-46001"/>
    <m/>
    <n v="45667.659972299174"/>
  </r>
  <r>
    <x v="25"/>
    <x v="12"/>
    <d v="2025-10-19T00:00:00"/>
    <n v="77982.789999999994"/>
    <n v="68405.956140350871"/>
    <m/>
    <m/>
    <m/>
    <n v="68405.956140350871"/>
    <n v="9576.833859649123"/>
    <n v="2052.1786842105262"/>
    <n v="75930.611315789472"/>
    <n v="75930.611315789472"/>
    <m/>
    <n v="0"/>
    <m/>
    <n v="-45949"/>
    <s v="مستحق"/>
    <n v="-46001"/>
    <m/>
    <n v="66605.799399815325"/>
  </r>
  <r>
    <x v="26"/>
    <x v="10"/>
    <d v="2025-11-03T00:00:00"/>
    <n v="77232.72"/>
    <n v="67748"/>
    <m/>
    <m/>
    <m/>
    <n v="67748"/>
    <n v="9484.7200000000012"/>
    <n v="2032.4399999999998"/>
    <n v="75200.28"/>
    <n v="75200.28"/>
    <m/>
    <n v="0"/>
    <m/>
    <n v="-45964"/>
    <s v="مستحق"/>
    <n v="-46001"/>
    <m/>
    <n v="65965.15789473684"/>
  </r>
  <r>
    <x v="26"/>
    <x v="11"/>
    <d v="2025-11-03T00:00:00"/>
    <n v="21078.6"/>
    <n v="18490"/>
    <m/>
    <m/>
    <m/>
    <n v="18490"/>
    <n v="2588.5999999999985"/>
    <n v="554.69999999999993"/>
    <n v="20523.899999999998"/>
    <n v="20523.900000000001"/>
    <m/>
    <n v="3.637978807091713E-12"/>
    <m/>
    <n v="-45964"/>
    <s v="مستحق"/>
    <n v="-46001"/>
    <m/>
    <n v="18003.42105263158"/>
  </r>
  <r>
    <x v="0"/>
    <x v="11"/>
    <d v="2025-10-21T00:00:00"/>
    <n v="77649.98"/>
    <n v="68114.017543859649"/>
    <m/>
    <m/>
    <m/>
    <n v="68114.017543859649"/>
    <n v="9535.9624561403471"/>
    <n v="2043.4205263157894"/>
    <n v="75606.559473684203"/>
    <n v="75606.559473684203"/>
    <m/>
    <n v="0"/>
    <m/>
    <n v="-45951"/>
    <s v="مستحق"/>
    <n v="-46001"/>
    <m/>
    <n v="66321.543397968606"/>
  </r>
  <r>
    <x v="27"/>
    <x v="12"/>
    <d v="2025-10-25T00:00:00"/>
    <n v="4212.3"/>
    <n v="3695.0000000000005"/>
    <m/>
    <m/>
    <m/>
    <n v="3695.0000000000005"/>
    <n v="517.29999999999973"/>
    <n v="110.85000000000001"/>
    <n v="4101.45"/>
    <n v="4101.45"/>
    <m/>
    <n v="0"/>
    <m/>
    <n v="-45955"/>
    <s v="مستحق"/>
    <n v="-46001"/>
    <m/>
    <n v="3597.7631578947371"/>
  </r>
  <r>
    <x v="20"/>
    <x v="12"/>
    <d v="2025-10-16T00:00:00"/>
    <n v="23155.68"/>
    <n v="20312.000000000004"/>
    <m/>
    <m/>
    <m/>
    <n v="20312.000000000004"/>
    <n v="2843.6799999999967"/>
    <n v="609.36000000000013"/>
    <n v="22546.32"/>
    <n v="22546.32"/>
    <m/>
    <n v="0"/>
    <m/>
    <n v="-45946"/>
    <s v="مستحق"/>
    <n v="-46001"/>
    <m/>
    <n v="19777.473684210527"/>
  </r>
  <r>
    <x v="24"/>
    <x v="12"/>
    <d v="2025-10-29T00:00:00"/>
    <n v="260537.8"/>
    <n v="228541.9298245614"/>
    <m/>
    <m/>
    <m/>
    <n v="228541.9298245614"/>
    <n v="31995.870175438584"/>
    <n v="6856.257894736842"/>
    <n v="253681.54210526316"/>
    <n v="253681.54210526316"/>
    <m/>
    <n v="0"/>
    <m/>
    <n v="-45959"/>
    <s v="مستحق"/>
    <n v="-46001"/>
    <m/>
    <n v="222527.66851338875"/>
  </r>
  <r>
    <x v="13"/>
    <x v="11"/>
    <d v="2025-11-03T00:00:00"/>
    <n v="305520"/>
    <n v="268000"/>
    <m/>
    <m/>
    <m/>
    <n v="268000"/>
    <n v="37520"/>
    <n v="8040"/>
    <n v="297480"/>
    <m/>
    <m/>
    <n v="-297480"/>
    <m/>
    <n v="-45964"/>
    <s v="مستحق"/>
    <n v="-46001"/>
    <m/>
    <n v="0"/>
  </r>
  <r>
    <x v="2"/>
    <x v="11"/>
    <d v="2025-11-03T00:00:00"/>
    <n v="243162"/>
    <n v="213300.00000000003"/>
    <m/>
    <m/>
    <m/>
    <n v="213300.00000000003"/>
    <n v="29861.999999999971"/>
    <n v="6399.0000000000009"/>
    <n v="236763"/>
    <n v="236763"/>
    <m/>
    <n v="0"/>
    <m/>
    <n v="-45964"/>
    <s v="مستحق"/>
    <n v="-46001"/>
    <m/>
    <n v="207686.84210526317"/>
  </r>
  <r>
    <x v="0"/>
    <x v="12"/>
    <d v="2025-11-04T00:00:00"/>
    <n v="72835.044599999994"/>
    <n v="63890.39"/>
    <m/>
    <m/>
    <m/>
    <n v="63890.39"/>
    <n v="8944.6545999999944"/>
    <n v="1916.7116999999998"/>
    <n v="70918.332899999994"/>
    <m/>
    <m/>
    <n v="-70918.332899999994"/>
    <m/>
    <n v="-45965"/>
    <s v="مستحق"/>
    <n v="-46001"/>
    <m/>
    <n v="0"/>
  </r>
  <r>
    <x v="8"/>
    <x v="12"/>
    <d v="2025-11-05T00:00:00"/>
    <n v="139324.71"/>
    <n v="122214.65789473684"/>
    <m/>
    <m/>
    <m/>
    <n v="122214.65789473684"/>
    <n v="17110.052105263152"/>
    <n v="3666.439736842105"/>
    <n v="135658.2702631579"/>
    <n v="135658.27026315799"/>
    <m/>
    <n v="8.7311491370201111E-11"/>
    <m/>
    <n v="-45966"/>
    <s v="مستحق"/>
    <n v="-46001"/>
    <m/>
    <n v="118998.4826869807"/>
  </r>
  <r>
    <x v="6"/>
    <x v="12"/>
    <d v="2025-11-05T00:00:00"/>
    <n v="109614.47"/>
    <n v="96153.043859649129"/>
    <m/>
    <m/>
    <m/>
    <n v="96153.043859649129"/>
    <n v="13461.426140350872"/>
    <n v="2884.5913157894738"/>
    <n v="106729.87868421053"/>
    <m/>
    <m/>
    <n v="-106729.87868421053"/>
    <m/>
    <n v="-45966"/>
    <s v="مستحق"/>
    <n v="-46001"/>
    <m/>
    <n v="0"/>
  </r>
  <r>
    <x v="10"/>
    <x v="13"/>
    <d v="2025-11-17T00:00:00"/>
    <n v="486096.84"/>
    <n v="426400.73684210534"/>
    <m/>
    <m/>
    <m/>
    <n v="426400.73684210534"/>
    <n v="59696.103157894686"/>
    <n v="12792.02210526316"/>
    <n v="473304.81789473689"/>
    <n v="464776.80315789476"/>
    <n v="-8528.0147368421076"/>
    <n v="-2.3646862246096134E-11"/>
    <m/>
    <n v="-45978"/>
    <s v="مستحق"/>
    <n v="-46001"/>
    <m/>
    <n v="407698.95013850421"/>
  </r>
  <r>
    <x v="12"/>
    <x v="12"/>
    <d v="2025-11-12T00:00:00"/>
    <n v="123352.16"/>
    <n v="108203.64912280702"/>
    <m/>
    <m/>
    <m/>
    <n v="108203.64912280702"/>
    <n v="15148.510877192981"/>
    <n v="3246.1094736842106"/>
    <n v="120106.0505263158"/>
    <n v="120106.0505263158"/>
    <m/>
    <n v="0"/>
    <m/>
    <n v="-45973"/>
    <s v="مستحق"/>
    <n v="-46001"/>
    <m/>
    <n v="105356.18467220684"/>
  </r>
  <r>
    <x v="25"/>
    <x v="13"/>
    <d v="2025-11-13T00:00:00"/>
    <n v="84227.25"/>
    <n v="73883.552631578947"/>
    <m/>
    <m/>
    <m/>
    <n v="73883.552631578947"/>
    <n v="10343.697368421053"/>
    <n v="2216.5065789473683"/>
    <n v="82010.743421052626"/>
    <n v="82010.75"/>
    <m/>
    <n v="6.5789473737822846E-3"/>
    <m/>
    <n v="-45974"/>
    <s v="مستحق"/>
    <n v="-46001"/>
    <m/>
    <n v="71939.254385964916"/>
  </r>
  <r>
    <x v="11"/>
    <x v="13"/>
    <d v="2025-11-13T00:00:00"/>
    <n v="197519.96"/>
    <n v="173263.12280701756"/>
    <m/>
    <m/>
    <m/>
    <n v="173263.12280701756"/>
    <n v="24256.837192982435"/>
    <n v="5197.8936842105268"/>
    <n v="192322.06631578947"/>
    <n v="192322.06631578947"/>
    <m/>
    <n v="0"/>
    <m/>
    <n v="-45974"/>
    <s v="مستحق"/>
    <n v="-46001"/>
    <m/>
    <n v="168703.56694367499"/>
  </r>
  <r>
    <x v="23"/>
    <x v="13"/>
    <d v="2025-11-17T00:00:00"/>
    <n v="8739.01"/>
    <n v="7665.7982456140362"/>
    <m/>
    <m/>
    <m/>
    <n v="7665.7982456140362"/>
    <n v="1073.211754385964"/>
    <n v="229.97394736842108"/>
    <n v="8509.0360526315799"/>
    <m/>
    <m/>
    <n v="-8509.0360526315799"/>
    <m/>
    <n v="-45978"/>
    <s v="مستحق"/>
    <n v="-46001"/>
    <m/>
    <n v="0"/>
  </r>
  <r>
    <x v="22"/>
    <x v="13"/>
    <d v="2025-11-17T00:00:00"/>
    <n v="53036.7"/>
    <n v="46523.42105263158"/>
    <m/>
    <m/>
    <m/>
    <n v="46523.42105263158"/>
    <n v="6513.278947368417"/>
    <n v="1395.7026315789474"/>
    <n v="51640.997368421049"/>
    <m/>
    <m/>
    <n v="-51640.997368421049"/>
    <m/>
    <n v="-45978"/>
    <s v="مستحق"/>
    <n v="-46001"/>
    <m/>
    <n v="0"/>
  </r>
  <r>
    <x v="21"/>
    <x v="13"/>
    <d v="2025-11-17T00:00:00"/>
    <n v="125833.91"/>
    <n v="110380.62280701756"/>
    <m/>
    <m/>
    <m/>
    <n v="110380.62280701756"/>
    <n v="15453.287192982447"/>
    <n v="3311.4186842105264"/>
    <n v="122522.49131578948"/>
    <m/>
    <m/>
    <n v="-122522.49131578948"/>
    <m/>
    <n v="-45978"/>
    <s v="مستحق"/>
    <n v="-46001"/>
    <m/>
    <n v="0"/>
  </r>
  <r>
    <x v="6"/>
    <x v="13"/>
    <d v="2025-11-17T00:00:00"/>
    <n v="35948.839999999997"/>
    <n v="31534.070175438595"/>
    <m/>
    <m/>
    <m/>
    <n v="31534.070175438595"/>
    <n v="4414.769824561401"/>
    <n v="946.02210526315787"/>
    <n v="35002.817894736836"/>
    <m/>
    <m/>
    <n v="-35002.817894736836"/>
    <m/>
    <n v="-45978"/>
    <s v="مستحق"/>
    <n v="-46001"/>
    <m/>
    <n v="0"/>
  </r>
  <r>
    <x v="17"/>
    <x v="13"/>
    <d v="2025-11-17T00:00:00"/>
    <n v="400203.27"/>
    <n v="351055.50000000006"/>
    <m/>
    <m/>
    <m/>
    <n v="351055.50000000006"/>
    <n v="49147.76999999996"/>
    <n v="10531.665000000001"/>
    <n v="389671.60500000004"/>
    <m/>
    <m/>
    <n v="-389671.60500000004"/>
    <m/>
    <n v="-45978"/>
    <s v="مستحق"/>
    <n v="-46001"/>
    <m/>
    <n v="0"/>
  </r>
  <r>
    <x v="16"/>
    <x v="13"/>
    <d v="2025-11-17T00:00:00"/>
    <n v="67830"/>
    <n v="59500.000000000007"/>
    <m/>
    <m/>
    <m/>
    <n v="59500.000000000007"/>
    <n v="8329.9999999999927"/>
    <n v="1785.0000000000002"/>
    <n v="66045"/>
    <n v="66045"/>
    <m/>
    <n v="0"/>
    <m/>
    <n v="-45978"/>
    <s v="مستحق"/>
    <n v="-46001"/>
    <m/>
    <n v="57934.210526315794"/>
  </r>
  <r>
    <x v="4"/>
    <x v="12"/>
    <d v="2025-11-18T00:00:00"/>
    <n v="62711.55"/>
    <n v="55010.131578947374"/>
    <m/>
    <m/>
    <m/>
    <n v="55010.131578947374"/>
    <n v="7701.4184210526291"/>
    <n v="1650.3039473684212"/>
    <n v="61061.246052631584"/>
    <n v="61061.246052631584"/>
    <m/>
    <n v="0"/>
    <m/>
    <n v="-45979"/>
    <s v="مستحق"/>
    <n v="-46001"/>
    <m/>
    <n v="53562.496537396131"/>
  </r>
  <r>
    <x v="8"/>
    <x v="13"/>
    <d v="2025-11-18T00:00:00"/>
    <n v="102817.91"/>
    <n v="90191.149122807023"/>
    <m/>
    <m/>
    <m/>
    <n v="90191.149122807023"/>
    <n v="12626.760877192981"/>
    <n v="2705.7344736842106"/>
    <n v="100112.1755263158"/>
    <m/>
    <m/>
    <n v="-100112.1755263158"/>
    <m/>
    <n v="-45979"/>
    <s v="مستحق"/>
    <n v="-46001"/>
    <m/>
    <n v="0"/>
  </r>
  <r>
    <x v="20"/>
    <x v="13"/>
    <d v="2025-11-23T00:00:00"/>
    <n v="256500"/>
    <n v="225000.00000000003"/>
    <m/>
    <m/>
    <m/>
    <n v="225000.00000000003"/>
    <n v="31499.999999999971"/>
    <n v="6750.0000000000009"/>
    <n v="249750"/>
    <n v="249750"/>
    <m/>
    <n v="0"/>
    <m/>
    <n v="-45984"/>
    <s v="مستحق"/>
    <n v="-46001"/>
    <m/>
    <n v="219078.94736842107"/>
  </r>
  <r>
    <x v="24"/>
    <x v="13"/>
    <d v="2025-11-23T00:00:00"/>
    <n v="102879.88"/>
    <n v="90245.508771929832"/>
    <m/>
    <m/>
    <m/>
    <n v="90245.508771929832"/>
    <n v="12634.371228070173"/>
    <n v="2707.3652631578948"/>
    <n v="100172.51473684212"/>
    <n v="100172.51473684212"/>
    <m/>
    <n v="0"/>
    <m/>
    <n v="-45984"/>
    <s v="مستحق"/>
    <n v="-46001"/>
    <m/>
    <n v="87870.626962142211"/>
  </r>
  <r>
    <x v="28"/>
    <x v="13"/>
    <d v="2025-11-23T00:00:00"/>
    <n v="28500"/>
    <n v="25000.000000000004"/>
    <m/>
    <m/>
    <m/>
    <n v="25000.000000000004"/>
    <n v="3499.9999999999964"/>
    <n v="750.00000000000011"/>
    <n v="27750"/>
    <m/>
    <m/>
    <n v="-27750"/>
    <m/>
    <n v="-45984"/>
    <s v="مستحق"/>
    <n v="-46001"/>
    <m/>
    <n v="0"/>
  </r>
  <r>
    <x v="0"/>
    <x v="13"/>
    <d v="2025-12-07T00:00:00"/>
    <n v="62838.66"/>
    <n v="55121.631578947374"/>
    <m/>
    <m/>
    <m/>
    <n v="55121.631578947374"/>
    <n v="7717.0284210526297"/>
    <n v="1653.6489473684212"/>
    <n v="61185.011052631584"/>
    <m/>
    <m/>
    <n v="-61185.011052631584"/>
    <m/>
    <n v="-45998"/>
    <s v="مستحق"/>
    <n v="-46001"/>
    <m/>
    <n v="0"/>
  </r>
  <r>
    <x v="12"/>
    <x v="13"/>
    <d v="2025-12-08T00:00:00"/>
    <n v="205216.46"/>
    <n v="180014.43859649124"/>
    <m/>
    <m/>
    <m/>
    <n v="180014.43859649124"/>
    <n v="25202.021403508756"/>
    <n v="5400.4331578947367"/>
    <n v="199816.02684210526"/>
    <m/>
    <m/>
    <n v="-199816.02684210526"/>
    <m/>
    <n v="-45999"/>
    <s v="مستحق"/>
    <n v="-46001"/>
    <m/>
    <n v="0"/>
  </r>
  <r>
    <x v="9"/>
    <x v="12"/>
    <d v="2025-12-08T00:00:00"/>
    <n v="95039.679999999993"/>
    <n v="83368.140350877191"/>
    <m/>
    <m/>
    <m/>
    <n v="83368.140350877191"/>
    <n v="11671.539649122802"/>
    <n v="2501.0442105263155"/>
    <n v="92538.635789473672"/>
    <m/>
    <n v="-1667.3628070175439"/>
    <n v="-90871.272982456125"/>
    <m/>
    <n v="-45999"/>
    <s v="مستحق"/>
    <n v="-46001"/>
    <m/>
    <n v="0"/>
  </r>
  <r>
    <x v="8"/>
    <x v="14"/>
    <d v="2025-12-10T00:00:00"/>
    <n v="114792.37"/>
    <n v="100695.06140350878"/>
    <m/>
    <m/>
    <m/>
    <n v="100695.06140350878"/>
    <n v="14097.308596491217"/>
    <n v="3020.8518421052631"/>
    <n v="111771.51815789474"/>
    <m/>
    <m/>
    <n v="-111771.51815789474"/>
    <m/>
    <n v="-46001"/>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r>
    <x v="29"/>
    <x v="15"/>
    <m/>
    <m/>
    <n v="0"/>
    <m/>
    <m/>
    <m/>
    <n v="0"/>
    <n v="0"/>
    <n v="0"/>
    <n v="0"/>
    <m/>
    <m/>
    <n v="0"/>
    <m/>
    <n v="0"/>
    <s v="مستحق"/>
    <n v="-46001"/>
    <m/>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2">
  <r>
    <x v="0"/>
    <s v="Dec"/>
    <s v="المتبقى بعد التسوية رصيد شهر ديسمبر"/>
    <x v="0"/>
    <x v="0"/>
    <m/>
    <x v="0"/>
    <m/>
    <m/>
    <s v="عهدة"/>
    <n v="51088.06492341109"/>
    <m/>
    <m/>
  </r>
  <r>
    <x v="1"/>
    <s v="Feb"/>
    <s v="أرباح مقدمة تخصم 5000 كل شهر"/>
    <x v="1"/>
    <x v="1"/>
    <m/>
    <x v="1"/>
    <m/>
    <m/>
    <s v="عهدة"/>
    <n v="25000"/>
    <m/>
    <m/>
  </r>
  <r>
    <x v="2"/>
    <s v="May"/>
    <s v="عهدة الإدارة الرقمية"/>
    <x v="2"/>
    <x v="2"/>
    <m/>
    <x v="1"/>
    <m/>
    <m/>
    <s v="عهدة"/>
    <n v="52888.985000000001"/>
    <s v="ح/ العهدة مدين ب "/>
    <m/>
  </r>
  <r>
    <x v="3"/>
    <s v="Jul"/>
    <s v="عهدة الإدارة الرقمية"/>
    <x v="0"/>
    <x v="0"/>
    <m/>
    <x v="1"/>
    <m/>
    <m/>
    <s v="عهدة"/>
    <n v="20000"/>
    <m/>
    <m/>
  </r>
  <r>
    <x v="4"/>
    <s v="Aug"/>
    <s v="زيارات سوهاج"/>
    <x v="3"/>
    <x v="3"/>
    <m/>
    <x v="2"/>
    <m/>
    <m/>
    <s v="عهدة"/>
    <n v="1500"/>
    <s v="معلق بامر ا/باسم"/>
    <m/>
  </r>
  <r>
    <x v="5"/>
    <s v="Aug"/>
    <s v="زيارات سوهاج"/>
    <x v="3"/>
    <x v="3"/>
    <m/>
    <x v="2"/>
    <m/>
    <m/>
    <s v="عهدة"/>
    <n v="500"/>
    <s v="معلق بامر ا/باسم"/>
    <m/>
  </r>
  <r>
    <x v="6"/>
    <s v="Sep"/>
    <s v="رفع 7 أوامر أداء شركة فاليو &amp;سهولة "/>
    <x v="4"/>
    <x v="4"/>
    <m/>
    <x v="3"/>
    <m/>
    <m/>
    <s v="عهدة"/>
    <n v="873.5"/>
    <s v="تم استلام الكشوفات "/>
    <m/>
  </r>
  <r>
    <x v="7"/>
    <s v="Sep"/>
    <s v="الدفعة الأولى تحت حساب عمل البرنامج"/>
    <x v="5"/>
    <x v="4"/>
    <m/>
    <x v="1"/>
    <m/>
    <m/>
    <s v="عهدة"/>
    <n v="5000"/>
    <s v="إيصال امانة"/>
    <m/>
  </r>
  <r>
    <x v="8"/>
    <s v="Oct"/>
    <s v="قيد دعوي 100 دعوي"/>
    <x v="6"/>
    <x v="5"/>
    <s v="فيزا المحكمة"/>
    <x v="3"/>
    <m/>
    <m/>
    <s v="عهدة"/>
    <n v="2942"/>
    <m/>
    <m/>
  </r>
  <r>
    <x v="9"/>
    <s v="Oct"/>
    <s v="عهدة زيارات مكنة"/>
    <x v="7"/>
    <x v="6"/>
    <m/>
    <x v="4"/>
    <m/>
    <m/>
    <s v="عهدة"/>
    <n v="200"/>
    <m/>
    <m/>
  </r>
  <r>
    <x v="9"/>
    <s v="Oct"/>
    <s v="عهدة زيارات"/>
    <x v="8"/>
    <x v="7"/>
    <m/>
    <x v="4"/>
    <m/>
    <m/>
    <s v="عهدة"/>
    <n v="200"/>
    <m/>
    <m/>
  </r>
  <r>
    <x v="10"/>
    <s v="Oct"/>
    <s v="استخراج أمر أداء و إعلانات"/>
    <x v="9"/>
    <x v="8"/>
    <m/>
    <x v="3"/>
    <m/>
    <m/>
    <s v="عهدة"/>
    <n v="386"/>
    <s v="إيصال واحد 23/10 بقيمة 2300"/>
    <m/>
  </r>
  <r>
    <x v="11"/>
    <s v="Oct"/>
    <s v="استخراج أوامر رفض من التجمع"/>
    <x v="9"/>
    <x v="8"/>
    <m/>
    <x v="3"/>
    <m/>
    <m/>
    <s v="عهدة"/>
    <n v="500"/>
    <m/>
    <m/>
  </r>
  <r>
    <x v="11"/>
    <s v="Oct"/>
    <s v="اسكندرية محاضر + جلسات"/>
    <x v="10"/>
    <x v="9"/>
    <m/>
    <x v="3"/>
    <m/>
    <m/>
    <s v="عهدة"/>
    <n v="0"/>
    <m/>
    <m/>
  </r>
  <r>
    <x v="11"/>
    <s v="Oct"/>
    <s v="الدفعة الثانية تحت حساب عمل البرنامج"/>
    <x v="5"/>
    <x v="4"/>
    <m/>
    <x v="1"/>
    <m/>
    <m/>
    <s v="عهدة"/>
    <n v="5000"/>
    <s v="إيصال امانة"/>
    <m/>
  </r>
  <r>
    <x v="12"/>
    <s v="Oct"/>
    <s v="استخراج أوامر رفض من التجمع"/>
    <x v="9"/>
    <x v="8"/>
    <m/>
    <x v="3"/>
    <m/>
    <m/>
    <s v="عهدة"/>
    <n v="1000"/>
    <m/>
    <m/>
  </r>
  <r>
    <x v="12"/>
    <s v="Oct"/>
    <m/>
    <x v="11"/>
    <x v="10"/>
    <m/>
    <x v="1"/>
    <m/>
    <m/>
    <s v="عهدة"/>
    <n v="566"/>
    <m/>
    <m/>
  </r>
  <r>
    <x v="13"/>
    <s v="Oct"/>
    <s v="تسليم محضرين القاهرة الجديدة"/>
    <x v="9"/>
    <x v="8"/>
    <m/>
    <x v="3"/>
    <m/>
    <m/>
    <s v="عهدة"/>
    <n v="1000"/>
    <s v="الهام 1300 تقسمت علي احمد "/>
    <m/>
  </r>
  <r>
    <x v="14"/>
    <s v="Oct"/>
    <s v="تسوية كشوفات"/>
    <x v="9"/>
    <x v="8"/>
    <m/>
    <x v="3"/>
    <m/>
    <m/>
    <s v="عهدة"/>
    <n v="200"/>
    <m/>
    <m/>
  </r>
  <r>
    <x v="15"/>
    <s v="Nov"/>
    <m/>
    <x v="10"/>
    <x v="9"/>
    <m/>
    <x v="3"/>
    <m/>
    <m/>
    <s v="عهدة"/>
    <n v="0"/>
    <s v="الوصل باسم أسامة"/>
    <m/>
  </r>
  <r>
    <x v="15"/>
    <s v="Nov"/>
    <s v="محاضر فاليو "/>
    <x v="9"/>
    <x v="8"/>
    <m/>
    <x v="3"/>
    <m/>
    <m/>
    <s v="عهدة"/>
    <n v="1000"/>
    <m/>
    <m/>
  </r>
  <r>
    <x v="16"/>
    <s v="Nov"/>
    <s v="تحرير محاضر"/>
    <x v="9"/>
    <x v="8"/>
    <m/>
    <x v="3"/>
    <m/>
    <m/>
    <s v="عهدة"/>
    <n v="800"/>
    <m/>
    <m/>
  </r>
  <r>
    <x v="16"/>
    <s v="Nov"/>
    <s v="تحرير محاضر"/>
    <x v="10"/>
    <x v="9"/>
    <m/>
    <x v="3"/>
    <m/>
    <m/>
    <s v="عهدة"/>
    <n v="0"/>
    <m/>
    <m/>
  </r>
  <r>
    <x v="16"/>
    <s v="Nov"/>
    <s v="إعلانات + تحرير محاضر"/>
    <x v="12"/>
    <x v="11"/>
    <m/>
    <x v="3"/>
    <m/>
    <m/>
    <s v="عهدة"/>
    <n v="0"/>
    <m/>
    <m/>
  </r>
  <r>
    <x v="16"/>
    <s v="Nov"/>
    <s v="استخراج امر أداء "/>
    <x v="13"/>
    <x v="12"/>
    <m/>
    <x v="3"/>
    <m/>
    <m/>
    <s v="عهدة"/>
    <n v="0"/>
    <m/>
    <m/>
  </r>
  <r>
    <x v="17"/>
    <s v="Nov"/>
    <s v="تحرير محاضر"/>
    <x v="10"/>
    <x v="9"/>
    <m/>
    <x v="3"/>
    <m/>
    <m/>
    <s v="عهدة"/>
    <n v="188.5"/>
    <s v="امضاء عبدالعزيز و تم التحويل انستا"/>
    <m/>
  </r>
  <r>
    <x v="18"/>
    <s v="Nov"/>
    <s v="تقييد دعاوي"/>
    <x v="6"/>
    <x v="5"/>
    <m/>
    <x v="3"/>
    <m/>
    <m/>
    <s v="عهدة"/>
    <n v="0"/>
    <m/>
    <m/>
  </r>
  <r>
    <x v="19"/>
    <s v="Nov"/>
    <s v="رفع دعاوي"/>
    <x v="6"/>
    <x v="5"/>
    <s v="فيزا المحكمة"/>
    <x v="3"/>
    <m/>
    <m/>
    <s v="عهدة"/>
    <n v="6000"/>
    <s v="فيزا / من 12000 باسم عبدالعزيز بتاريخ 8/11 رفع 110 دعوي"/>
    <m/>
  </r>
  <r>
    <x v="19"/>
    <s v="Nov"/>
    <s v="رفع دعاوي"/>
    <x v="6"/>
    <x v="5"/>
    <s v="فيزا المحكمة"/>
    <x v="3"/>
    <m/>
    <m/>
    <s v="عهدة"/>
    <n v="6000"/>
    <s v="فيزا / من 12000 باسم عبدالعزيز بتاريخ 8/11 رفع 110 دعوي"/>
    <m/>
  </r>
  <r>
    <x v="20"/>
    <s v="Nov"/>
    <s v="سجل تجاري و تجديد الغرفة"/>
    <x v="14"/>
    <x v="13"/>
    <m/>
    <x v="3"/>
    <m/>
    <m/>
    <s v="عهدة"/>
    <n v="1000"/>
    <m/>
    <m/>
  </r>
  <r>
    <x v="20"/>
    <s v="Nov"/>
    <s v="تسليم إعلانات"/>
    <x v="14"/>
    <x v="13"/>
    <m/>
    <x v="3"/>
    <m/>
    <m/>
    <s v="عهدة"/>
    <n v="1600"/>
    <m/>
    <m/>
  </r>
  <r>
    <x v="21"/>
    <s v="Nov"/>
    <s v="تحويل عهدة أ / علاء"/>
    <x v="15"/>
    <x v="14"/>
    <m/>
    <x v="0"/>
    <m/>
    <m/>
    <s v="عهدة"/>
    <n v="1000"/>
    <m/>
    <m/>
  </r>
  <r>
    <x v="21"/>
    <s v="Nov"/>
    <s v="سداد قرض ا/منعم"/>
    <x v="1"/>
    <x v="1"/>
    <m/>
    <x v="1"/>
    <m/>
    <m/>
    <s v="عهدة"/>
    <n v="7500"/>
    <s v="يخصم من راتب شهر 11"/>
    <m/>
  </r>
  <r>
    <x v="21"/>
    <s v="Nov"/>
    <s v="استخراج احكام و ضبط واحضار"/>
    <x v="9"/>
    <x v="8"/>
    <m/>
    <x v="3"/>
    <m/>
    <m/>
    <s v="عهدة"/>
    <n v="800"/>
    <m/>
    <m/>
  </r>
  <r>
    <x v="22"/>
    <s v="Nov"/>
    <s v="مامورية الي محكمة زينهم"/>
    <x v="10"/>
    <x v="9"/>
    <m/>
    <x v="3"/>
    <m/>
    <m/>
    <s v="عهدة"/>
    <n v="300"/>
    <m/>
    <m/>
  </r>
  <r>
    <x v="22"/>
    <s v="Nov"/>
    <s v="تسوية كشوفات"/>
    <x v="13"/>
    <x v="12"/>
    <m/>
    <x v="3"/>
    <m/>
    <m/>
    <s v="عهدة"/>
    <n v="0"/>
    <m/>
    <m/>
  </r>
  <r>
    <x v="22"/>
    <s v="Nov"/>
    <s v="استخراج احكام + انتقالات"/>
    <x v="12"/>
    <x v="11"/>
    <m/>
    <x v="3"/>
    <m/>
    <m/>
    <s v="عهدة"/>
    <n v="3470"/>
    <m/>
    <m/>
  </r>
  <r>
    <x v="23"/>
    <s v="Nov"/>
    <s v="سلفة"/>
    <x v="11"/>
    <x v="10"/>
    <m/>
    <x v="1"/>
    <m/>
    <m/>
    <s v="عهدة"/>
    <n v="2000"/>
    <m/>
    <m/>
  </r>
  <r>
    <x v="23"/>
    <s v="Nov"/>
    <s v="الدفعة الثالة تحت حساب عمل البرنامج"/>
    <x v="5"/>
    <x v="4"/>
    <m/>
    <x v="1"/>
    <m/>
    <m/>
    <s v="عهدة"/>
    <n v="5000"/>
    <s v="إيصال امانة"/>
    <m/>
  </r>
  <r>
    <x v="24"/>
    <s v="Nov"/>
    <s v="تسوية كشوفات"/>
    <x v="16"/>
    <x v="15"/>
    <m/>
    <x v="3"/>
    <m/>
    <m/>
    <s v="عهدة"/>
    <n v="417"/>
    <m/>
    <m/>
  </r>
  <r>
    <x v="25"/>
    <s v="Nov"/>
    <s v="تحرير محاضر تنمية"/>
    <x v="9"/>
    <x v="8"/>
    <m/>
    <x v="3"/>
    <m/>
    <m/>
    <s v="عهدة"/>
    <n v="200"/>
    <m/>
    <m/>
  </r>
  <r>
    <x v="25"/>
    <s v="Nov"/>
    <s v="تحرير محاضر "/>
    <x v="13"/>
    <x v="12"/>
    <m/>
    <x v="3"/>
    <m/>
    <m/>
    <s v="عهدة"/>
    <n v="0"/>
    <m/>
    <m/>
  </r>
  <r>
    <x v="26"/>
    <s v="Nov"/>
    <s v="تحرير محاضر اسكندرية"/>
    <x v="10"/>
    <x v="9"/>
    <m/>
    <x v="3"/>
    <m/>
    <m/>
    <s v="عهدة"/>
    <n v="2500"/>
    <m/>
    <m/>
  </r>
  <r>
    <x v="26"/>
    <s v="Nov"/>
    <s v="جلسات سهولة + محاضر تنمية"/>
    <x v="17"/>
    <x v="16"/>
    <m/>
    <x v="3"/>
    <m/>
    <m/>
    <s v="عهدة"/>
    <n v="500"/>
    <m/>
    <m/>
  </r>
  <r>
    <x v="26"/>
    <s v="Nov"/>
    <s v="تحرير محاضر"/>
    <x v="14"/>
    <x v="13"/>
    <m/>
    <x v="3"/>
    <m/>
    <m/>
    <s v="عهدة"/>
    <n v="500"/>
    <m/>
    <m/>
  </r>
  <r>
    <x v="26"/>
    <s v="Nov"/>
    <m/>
    <x v="9"/>
    <x v="8"/>
    <m/>
    <x v="3"/>
    <m/>
    <m/>
    <s v="عهدة"/>
    <n v="500"/>
    <m/>
    <m/>
  </r>
  <r>
    <x v="27"/>
    <s v="Nov"/>
    <s v="مصاريف علاج هالة"/>
    <x v="18"/>
    <x v="17"/>
    <m/>
    <x v="5"/>
    <m/>
    <m/>
    <s v="عهدة"/>
    <n v="300"/>
    <m/>
    <m/>
  </r>
  <r>
    <x v="27"/>
    <s v="Nov"/>
    <s v="شراء أدوات كهربائية "/>
    <x v="18"/>
    <x v="17"/>
    <m/>
    <x v="5"/>
    <m/>
    <m/>
    <s v="عهدة"/>
    <n v="500"/>
    <m/>
    <m/>
  </r>
  <r>
    <x v="28"/>
    <s v="Nov"/>
    <s v="عهدة زيارات"/>
    <x v="19"/>
    <x v="18"/>
    <m/>
    <x v="4"/>
    <m/>
    <m/>
    <s v="عهدة"/>
    <n v="150"/>
    <m/>
    <m/>
  </r>
  <r>
    <x v="28"/>
    <s v="Nov"/>
    <s v="عربيات و انتقالات كمبيوترات و عمال تطليع"/>
    <x v="18"/>
    <x v="17"/>
    <m/>
    <x v="5"/>
    <m/>
    <m/>
    <s v="عهدة"/>
    <n v="3400"/>
    <m/>
    <m/>
  </r>
  <r>
    <x v="29"/>
    <s v="Nov"/>
    <s v="تقديم علي خط ارضي و انترنت المقر الجديد"/>
    <x v="14"/>
    <x v="13"/>
    <m/>
    <x v="5"/>
    <m/>
    <m/>
    <s v="عهدة"/>
    <n v="12000"/>
    <m/>
    <m/>
  </r>
  <r>
    <x v="29"/>
    <s v="Nov"/>
    <s v="انتقالات"/>
    <x v="12"/>
    <x v="11"/>
    <m/>
    <x v="3"/>
    <m/>
    <m/>
    <s v="عهدة"/>
    <n v="0"/>
    <m/>
    <m/>
  </r>
  <r>
    <x v="29"/>
    <s v="Nov"/>
    <s v="زيارات بولاق الدكرور"/>
    <x v="20"/>
    <x v="19"/>
    <m/>
    <x v="6"/>
    <m/>
    <m/>
    <s v="عهدة"/>
    <n v="100"/>
    <m/>
    <m/>
  </r>
  <r>
    <x v="29"/>
    <s v="Nov"/>
    <s v="تحرير محاضر تنمية"/>
    <x v="21"/>
    <x v="20"/>
    <m/>
    <x v="3"/>
    <m/>
    <m/>
    <s v="عهدة"/>
    <n v="0"/>
    <m/>
    <m/>
  </r>
  <r>
    <x v="29"/>
    <s v="Nov"/>
    <s v="مصاريف المقر الجديد (تم تحويل من ا/باسم يتم تصفية العهدة عند المراجعة مع محمد عبدالمنعم)"/>
    <x v="18"/>
    <x v="17"/>
    <m/>
    <x v="5"/>
    <m/>
    <m/>
    <s v="عهدة"/>
    <n v="2060"/>
    <m/>
    <m/>
  </r>
  <r>
    <x v="29"/>
    <s v="Nov"/>
    <s v="تم تحويل مصروف التنظيف الي هالة - حتي امضاء طلب الصرف"/>
    <x v="22"/>
    <x v="21"/>
    <m/>
    <x v="5"/>
    <m/>
    <m/>
    <s v="عهدة"/>
    <n v="1200"/>
    <m/>
    <m/>
  </r>
  <r>
    <x v="30"/>
    <s v="Nov"/>
    <s v="استخراج احكام بنك البركة و استعلام عميل"/>
    <x v="17"/>
    <x v="16"/>
    <m/>
    <x v="3"/>
    <m/>
    <m/>
    <s v="عهدة"/>
    <n v="500"/>
    <m/>
    <m/>
  </r>
  <r>
    <x v="30"/>
    <s v="Nov"/>
    <s v="تسوية كشوفات"/>
    <x v="13"/>
    <x v="12"/>
    <m/>
    <x v="3"/>
    <m/>
    <m/>
    <s v="عهدة"/>
    <n v="0"/>
    <m/>
    <m/>
  </r>
  <r>
    <x v="31"/>
    <s v="Nov"/>
    <s v="زيارات التجمع"/>
    <x v="23"/>
    <x v="22"/>
    <m/>
    <x v="6"/>
    <m/>
    <m/>
    <s v="عهدة"/>
    <n v="200"/>
    <m/>
    <m/>
  </r>
  <r>
    <x v="31"/>
    <s v="Nov"/>
    <s v="استلام احكام"/>
    <x v="6"/>
    <x v="5"/>
    <m/>
    <x v="3"/>
    <m/>
    <m/>
    <s v="عهدة"/>
    <n v="0"/>
    <m/>
    <m/>
  </r>
  <r>
    <x v="31"/>
    <s v="Nov"/>
    <s v="رفع دعاوي - فيزا المحكمة"/>
    <x v="6"/>
    <x v="5"/>
    <s v="فيزا المحكمة"/>
    <x v="3"/>
    <m/>
    <m/>
    <s v="عهدة"/>
    <n v="10000"/>
    <m/>
    <m/>
  </r>
  <r>
    <x v="31"/>
    <s v="Nov"/>
    <s v="رفع دعاوي - فيزا المحكمة"/>
    <x v="13"/>
    <x v="12"/>
    <s v="فيزا المحكمة"/>
    <x v="3"/>
    <m/>
    <m/>
    <s v="عهدة"/>
    <n v="5000"/>
    <m/>
    <m/>
  </r>
  <r>
    <x v="31"/>
    <s v="Nov"/>
    <s v="استخراج احكام"/>
    <x v="13"/>
    <x v="12"/>
    <m/>
    <x v="3"/>
    <m/>
    <m/>
    <s v="عهدة"/>
    <n v="547"/>
    <m/>
    <m/>
  </r>
  <r>
    <x v="31"/>
    <s v="Nov"/>
    <s v="جلسات اسكندرية - محكمة المنشية"/>
    <x v="24"/>
    <x v="23"/>
    <m/>
    <x v="3"/>
    <m/>
    <m/>
    <s v="عهدة"/>
    <n v="500"/>
    <m/>
    <m/>
  </r>
  <r>
    <x v="31"/>
    <s v="Nov"/>
    <s v="تحويل انستا"/>
    <x v="25"/>
    <x v="24"/>
    <m/>
    <x v="3"/>
    <m/>
    <m/>
    <s v="عهدة"/>
    <n v="0"/>
    <m/>
    <m/>
  </r>
  <r>
    <x v="32"/>
    <s v="Nov"/>
    <s v="تحويل محفظة فودافون (سلفة تخصم من الراتب)"/>
    <x v="5"/>
    <x v="4"/>
    <m/>
    <x v="1"/>
    <m/>
    <m/>
    <s v="عهدة"/>
    <n v="500"/>
    <s v="إيصال واحد بتاريخ 06/12/2025"/>
    <m/>
  </r>
  <r>
    <x v="32"/>
    <s v="Nov"/>
    <s v="عهدة"/>
    <x v="16"/>
    <x v="15"/>
    <m/>
    <x v="3"/>
    <m/>
    <m/>
    <s v="عهدة"/>
    <n v="300"/>
    <m/>
    <m/>
  </r>
  <r>
    <x v="32"/>
    <s v="Nov"/>
    <s v="انتقالات"/>
    <x v="12"/>
    <x v="11"/>
    <m/>
    <x v="3"/>
    <m/>
    <m/>
    <s v="عهدة"/>
    <n v="0"/>
    <m/>
    <m/>
  </r>
  <r>
    <x v="32"/>
    <s v="Nov"/>
    <s v="تغيير فلوس مقطعة"/>
    <x v="1"/>
    <x v="1"/>
    <m/>
    <x v="1"/>
    <m/>
    <m/>
    <s v="عهدة"/>
    <n v="1283"/>
    <s v="فلوس مقطعة"/>
    <m/>
  </r>
  <r>
    <x v="33"/>
    <s v="Nov"/>
    <s v="تسوية كشوفات"/>
    <x v="25"/>
    <x v="24"/>
    <m/>
    <x v="3"/>
    <m/>
    <m/>
    <s v="عهدة"/>
    <n v="0"/>
    <m/>
    <m/>
  </r>
  <r>
    <x v="33"/>
    <s v="Nov"/>
    <s v="تسوية كشوفات"/>
    <x v="16"/>
    <x v="15"/>
    <m/>
    <x v="3"/>
    <m/>
    <m/>
    <s v="عهدة"/>
    <n v="500"/>
    <m/>
    <m/>
  </r>
  <r>
    <x v="33"/>
    <s v="Nov"/>
    <s v="تسليم عدد 30 اعلان"/>
    <x v="21"/>
    <x v="20"/>
    <m/>
    <x v="3"/>
    <m/>
    <m/>
    <s v="عهدة"/>
    <n v="0"/>
    <m/>
    <m/>
  </r>
  <r>
    <x v="34"/>
    <s v="Nov"/>
    <s v="تحويل عهدة محمد عبدالمنعم"/>
    <x v="18"/>
    <x v="17"/>
    <m/>
    <x v="5"/>
    <m/>
    <m/>
    <s v="عهدة"/>
    <n v="4000"/>
    <m/>
    <m/>
  </r>
  <r>
    <x v="34"/>
    <s v="Nov"/>
    <s v="محاسب قانوني المقر الجديد"/>
    <x v="21"/>
    <x v="20"/>
    <m/>
    <x v="5"/>
    <m/>
    <m/>
    <s v="عهدة"/>
    <n v="0"/>
    <m/>
    <m/>
  </r>
  <r>
    <x v="34"/>
    <s v="Nov"/>
    <m/>
    <x v="17"/>
    <x v="16"/>
    <m/>
    <x v="3"/>
    <m/>
    <m/>
    <s v="عهدة"/>
    <n v="200"/>
    <m/>
    <m/>
  </r>
  <r>
    <x v="34"/>
    <s v="Nov"/>
    <s v="تحت حساب 10 هوايات التكييف المركزي"/>
    <x v="14"/>
    <x v="13"/>
    <m/>
    <x v="5"/>
    <m/>
    <m/>
    <s v="عهدة"/>
    <n v="10000"/>
    <m/>
    <m/>
  </r>
  <r>
    <x v="35"/>
    <s v="Dec"/>
    <s v="تحويل عهدة الي محمد عبدالمنعم"/>
    <x v="18"/>
    <x v="17"/>
    <m/>
    <x v="5"/>
    <m/>
    <m/>
    <s v="عهدة"/>
    <n v="1000"/>
    <m/>
    <m/>
  </r>
  <r>
    <x v="36"/>
    <s v="Dec"/>
    <s v="تحت السقف المعلق"/>
    <x v="1"/>
    <x v="1"/>
    <m/>
    <x v="5"/>
    <m/>
    <m/>
    <s v="عهدة"/>
    <n v="5000"/>
    <m/>
    <m/>
  </r>
  <r>
    <x v="36"/>
    <s v="Dec"/>
    <s v="خدمات هيئة الاستثمار"/>
    <x v="21"/>
    <x v="20"/>
    <m/>
    <x v="5"/>
    <m/>
    <m/>
    <s v="عهدة"/>
    <n v="0"/>
    <m/>
    <m/>
  </r>
  <r>
    <x v="36"/>
    <s v="Dec"/>
    <s v="تسوية كشوفات"/>
    <x v="24"/>
    <x v="23"/>
    <m/>
    <x v="3"/>
    <m/>
    <m/>
    <s v="عهدة"/>
    <n v="300"/>
    <m/>
    <m/>
  </r>
  <r>
    <x v="36"/>
    <s v="Dec"/>
    <s v="استخراج احكام"/>
    <x v="6"/>
    <x v="5"/>
    <m/>
    <x v="3"/>
    <m/>
    <m/>
    <s v="عهدة"/>
    <n v="0"/>
    <m/>
    <m/>
  </r>
  <r>
    <x v="36"/>
    <s v="Dec"/>
    <s v="تحرير محاضر"/>
    <x v="9"/>
    <x v="8"/>
    <m/>
    <x v="3"/>
    <m/>
    <m/>
    <s v="عهدة"/>
    <n v="300"/>
    <m/>
    <m/>
  </r>
  <r>
    <x v="36"/>
    <s v="Dec"/>
    <s v="المقر الجديد"/>
    <x v="22"/>
    <x v="21"/>
    <m/>
    <x v="5"/>
    <m/>
    <m/>
    <s v="عهدة"/>
    <n v="12350"/>
    <s v="تسوية رد كاش 17650"/>
    <m/>
  </r>
  <r>
    <x v="37"/>
    <s v="Dec"/>
    <s v="استخراج احكام "/>
    <x v="17"/>
    <x v="16"/>
    <m/>
    <x v="3"/>
    <m/>
    <m/>
    <s v="عهدة"/>
    <n v="1000"/>
    <m/>
    <m/>
  </r>
  <r>
    <x v="37"/>
    <s v="Dec"/>
    <s v="متابعة تنفيذ"/>
    <x v="25"/>
    <x v="24"/>
    <m/>
    <x v="3"/>
    <m/>
    <m/>
    <s v="عهدة"/>
    <n v="591"/>
    <m/>
    <m/>
  </r>
  <r>
    <x v="37"/>
    <s v="Dec"/>
    <s v="متابعة تنفيذ"/>
    <x v="16"/>
    <x v="15"/>
    <m/>
    <x v="3"/>
    <m/>
    <m/>
    <s v="عهدة"/>
    <n v="500"/>
    <m/>
    <m/>
  </r>
  <r>
    <x v="37"/>
    <s v="Dec"/>
    <s v="تحويل محفظة فودافون (سلفة تخصم من الراتب)"/>
    <x v="5"/>
    <x v="4"/>
    <m/>
    <x v="1"/>
    <m/>
    <m/>
    <s v="عهدة"/>
    <n v="500"/>
    <s v="إيصال واحد بتاريخ 06/12/2025"/>
    <m/>
  </r>
  <r>
    <x v="37"/>
    <s v="Dec"/>
    <s v="رسوم الشهر العقاري "/>
    <x v="21"/>
    <x v="20"/>
    <m/>
    <x v="5"/>
    <m/>
    <m/>
    <s v="عهدة"/>
    <n v="0"/>
    <m/>
    <m/>
  </r>
  <r>
    <x v="37"/>
    <s v="Dec"/>
    <s v="تسوية "/>
    <x v="12"/>
    <x v="11"/>
    <m/>
    <x v="3"/>
    <m/>
    <m/>
    <s v="عهدة"/>
    <n v="0"/>
    <m/>
    <m/>
  </r>
  <r>
    <x v="38"/>
    <s v="Dec"/>
    <s v="تحت حساب مراوح هوايات"/>
    <x v="14"/>
    <x v="13"/>
    <m/>
    <x v="5"/>
    <m/>
    <m/>
    <s v="عهدة"/>
    <n v="17500"/>
    <m/>
    <m/>
  </r>
  <r>
    <x v="38"/>
    <s v="Dec"/>
    <s v="إعلانات و مصاريف عمل"/>
    <x v="24"/>
    <x v="23"/>
    <m/>
    <x v="3"/>
    <m/>
    <m/>
    <s v="عهدة"/>
    <n v="200"/>
    <m/>
    <m/>
  </r>
  <r>
    <x v="38"/>
    <s v="Dec"/>
    <s v="انتقالات و تحديث"/>
    <x v="9"/>
    <x v="8"/>
    <m/>
    <x v="3"/>
    <m/>
    <m/>
    <s v="عهدة"/>
    <n v="200"/>
    <m/>
    <m/>
  </r>
  <r>
    <x v="38"/>
    <s v="Dec"/>
    <s v="رفع دعاوي شمال الجيزة"/>
    <x v="10"/>
    <x v="9"/>
    <m/>
    <x v="3"/>
    <m/>
    <m/>
    <s v="عهدة"/>
    <n v="2300"/>
    <m/>
    <m/>
  </r>
  <r>
    <x v="38"/>
    <s v="Dec"/>
    <s v="تحويل محفظة فودافون (سلفة تخصم من الراتب)"/>
    <x v="5"/>
    <x v="4"/>
    <m/>
    <x v="1"/>
    <m/>
    <m/>
    <s v="عهدة"/>
    <n v="500"/>
    <s v="إيصال واحد بتاريخ 06/12/2025"/>
    <m/>
  </r>
  <r>
    <x v="38"/>
    <s v="Dec"/>
    <s v="تحويل هشام النجار"/>
    <x v="22"/>
    <x v="21"/>
    <m/>
    <x v="5"/>
    <m/>
    <m/>
    <s v="عهدة"/>
    <n v="500"/>
    <m/>
    <m/>
  </r>
  <r>
    <x v="38"/>
    <s v="Dec"/>
    <s v="سحب عهدة من ATM بنك كريدي"/>
    <x v="22"/>
    <x v="21"/>
    <m/>
    <x v="5"/>
    <m/>
    <m/>
    <s v="عهدة"/>
    <n v="50000"/>
    <m/>
    <m/>
  </r>
  <r>
    <x v="38"/>
    <s v="Dec"/>
    <s v="تحويل انستا باي الي محمد (تحت حساب Network)"/>
    <x v="1"/>
    <x v="1"/>
    <m/>
    <x v="5"/>
    <m/>
    <m/>
    <s v="عهدة"/>
    <n v="20000"/>
    <m/>
    <m/>
  </r>
  <r>
    <x v="0"/>
    <s v="Dec"/>
    <s v="رفع دعاوي"/>
    <x v="12"/>
    <x v="11"/>
    <s v="فيزا المحكمة"/>
    <x v="3"/>
    <m/>
    <m/>
    <s v="عهدة"/>
    <n v="5000"/>
    <m/>
    <m/>
  </r>
  <r>
    <x v="0"/>
    <s v="Dec"/>
    <s v="رفع دعاوي"/>
    <x v="13"/>
    <x v="12"/>
    <s v="فيزا المحكمة"/>
    <x v="3"/>
    <m/>
    <m/>
    <s v="عهدة"/>
    <n v="10000"/>
    <m/>
    <m/>
  </r>
  <r>
    <x v="0"/>
    <s v="Dec"/>
    <s v="تحويل انستا تحت حساب السقف المعلق"/>
    <x v="1"/>
    <x v="1"/>
    <m/>
    <x v="5"/>
    <m/>
    <m/>
    <s v="عهدة"/>
    <n v="70000"/>
    <m/>
    <m/>
  </r>
  <r>
    <x v="0"/>
    <s v="Dec"/>
    <s v="تحويل عهدة الي محمد عبدالمنعم"/>
    <x v="18"/>
    <x v="17"/>
    <m/>
    <x v="5"/>
    <m/>
    <m/>
    <s v="عهدة"/>
    <n v="1000"/>
    <m/>
    <m/>
  </r>
  <r>
    <x v="0"/>
    <s v="Dec"/>
    <s v="متابعة التنفيذ"/>
    <x v="16"/>
    <x v="15"/>
    <m/>
    <x v="3"/>
    <m/>
    <m/>
    <s v="عهدة"/>
    <n v="300"/>
    <m/>
    <m/>
  </r>
  <r>
    <x v="39"/>
    <s v="Dec"/>
    <s v="أوامر أداء + رفع دعاوي"/>
    <x v="10"/>
    <x v="9"/>
    <m/>
    <x v="3"/>
    <m/>
    <m/>
    <s v="عهدة"/>
    <n v="1300"/>
    <m/>
    <m/>
  </r>
  <r>
    <x v="39"/>
    <s v="Dec"/>
    <s v="زيارات المنيا"/>
    <x v="19"/>
    <x v="18"/>
    <m/>
    <x v="4"/>
    <m/>
    <m/>
    <s v="عهدة"/>
    <n v="700"/>
    <m/>
    <m/>
  </r>
  <r>
    <x v="39"/>
    <s v="Dec"/>
    <s v="انتقالات"/>
    <x v="12"/>
    <x v="11"/>
    <m/>
    <x v="3"/>
    <m/>
    <m/>
    <s v="عهدة"/>
    <n v="0"/>
    <m/>
    <m/>
  </r>
  <r>
    <x v="40"/>
    <s v="Dec"/>
    <s v="تحويل حساب الستائر "/>
    <x v="22"/>
    <x v="21"/>
    <m/>
    <x v="5"/>
    <m/>
    <m/>
    <s v="عهدة"/>
    <n v="15000"/>
    <m/>
    <m/>
  </r>
  <r>
    <x v="40"/>
    <s v="Dec"/>
    <s v="تحويل باقي حساب الكرانيش "/>
    <x v="22"/>
    <x v="21"/>
    <m/>
    <x v="5"/>
    <m/>
    <m/>
    <s v="عهدة"/>
    <n v="7400"/>
    <m/>
    <m/>
  </r>
  <r>
    <x v="40"/>
    <s v="Dec"/>
    <s v="إعلانات محضرين"/>
    <x v="13"/>
    <x v="12"/>
    <m/>
    <x v="3"/>
    <m/>
    <m/>
    <s v="عهدة"/>
    <n v="1000"/>
    <m/>
    <m/>
  </r>
  <r>
    <x v="40"/>
    <s v="Dec"/>
    <s v="سفر اسماعيلية"/>
    <x v="10"/>
    <x v="9"/>
    <m/>
    <x v="3"/>
    <m/>
    <m/>
    <s v="عهدة"/>
    <n v="300"/>
    <m/>
    <m/>
  </r>
  <r>
    <x v="40"/>
    <s v="Dec"/>
    <s v="تحديث + إعلانات"/>
    <x v="9"/>
    <x v="8"/>
    <m/>
    <x v="3"/>
    <m/>
    <m/>
    <s v="عهدة"/>
    <n v="300"/>
    <m/>
    <m/>
  </r>
  <r>
    <x v="40"/>
    <s v="Dec"/>
    <s v="مامورية محكمة مصر الجديدة"/>
    <x v="24"/>
    <x v="23"/>
    <m/>
    <x v="3"/>
    <m/>
    <m/>
    <s v="عهدة"/>
    <n v="4200"/>
    <m/>
    <m/>
  </r>
  <r>
    <x v="40"/>
    <s v="Dec"/>
    <s v="عهدة فيزا المحكمة"/>
    <x v="21"/>
    <x v="20"/>
    <s v="فيزا المحكمة"/>
    <x v="3"/>
    <m/>
    <m/>
    <s v="عهدة"/>
    <n v="37500"/>
    <m/>
    <m/>
  </r>
  <r>
    <x v="40"/>
    <s v="Dec"/>
    <s v="تحويل عهدة الي المنصورة"/>
    <x v="0"/>
    <x v="0"/>
    <m/>
    <x v="0"/>
    <m/>
    <m/>
    <s v="عهدة"/>
    <n v="30000"/>
    <m/>
    <m/>
  </r>
  <r>
    <x v="41"/>
    <s v="Dec"/>
    <s v="تحويل باقي حساب الهوايات"/>
    <x v="22"/>
    <x v="21"/>
    <m/>
    <x v="5"/>
    <m/>
    <m/>
    <s v="عهدة"/>
    <n v="7500"/>
    <m/>
    <m/>
  </r>
  <r>
    <x v="41"/>
    <s v="Dec"/>
    <s v="عهدة المقر الجديد"/>
    <x v="18"/>
    <x v="17"/>
    <m/>
    <x v="5"/>
    <m/>
    <m/>
    <s v="عهدة"/>
    <n v="1120"/>
    <s v="120 باقي فلوسة"/>
    <m/>
  </r>
  <r>
    <x v="41"/>
    <s v="Dec"/>
    <s v="تسوية كشوفات"/>
    <x v="16"/>
    <x v="15"/>
    <m/>
    <x v="3"/>
    <m/>
    <m/>
    <s v="عهدة"/>
    <n v="500"/>
    <m/>
    <m/>
  </r>
  <r>
    <x v="42"/>
    <s v="Dec"/>
    <s v="استخراج احكام محكمة مصر الجديدة"/>
    <x v="24"/>
    <x v="23"/>
    <m/>
    <x v="3"/>
    <m/>
    <m/>
    <s v="عهدة"/>
    <n v="300"/>
    <m/>
    <m/>
  </r>
  <r>
    <x v="42"/>
    <s v="Dec"/>
    <s v="سفر الي محكمة اشمون واستخراج احكام"/>
    <x v="9"/>
    <x v="8"/>
    <m/>
    <x v="3"/>
    <m/>
    <m/>
    <s v="عهدة"/>
    <n v="400"/>
    <m/>
    <m/>
  </r>
  <r>
    <x v="42"/>
    <s v="Dec"/>
    <s v="زيارات الإسكندرية"/>
    <x v="26"/>
    <x v="4"/>
    <m/>
    <x v="6"/>
    <m/>
    <m/>
    <s v="عهدة"/>
    <n v="200"/>
    <m/>
    <m/>
  </r>
  <r>
    <x v="42"/>
    <s v="Dec"/>
    <s v="تحت حساب مستلزمات كهرباء المقر الجديد"/>
    <x v="14"/>
    <x v="13"/>
    <m/>
    <x v="5"/>
    <m/>
    <m/>
    <s v="عهدة"/>
    <n v="21000"/>
    <m/>
    <m/>
  </r>
  <r>
    <x v="43"/>
    <s v="Dec"/>
    <s v="شراء لفتين سلك كهرباء اسود مسمط 3ملل"/>
    <x v="18"/>
    <x v="17"/>
    <m/>
    <x v="5"/>
    <m/>
    <m/>
    <s v="عهدة"/>
    <n v="3700"/>
    <m/>
    <m/>
  </r>
  <r>
    <x v="43"/>
    <s v="Dec"/>
    <s v="زيارات المنيا"/>
    <x v="19"/>
    <x v="18"/>
    <m/>
    <x v="4"/>
    <m/>
    <m/>
    <s v="عهدة"/>
    <n v="500"/>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r>
    <x v="44"/>
    <s v="Jan"/>
    <m/>
    <x v="27"/>
    <x v="4"/>
    <m/>
    <x v="7"/>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1044DC-D6D4-4A80-B831-247BAA608265}"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4:M105" firstHeaderRow="0" firstDataRow="1" firstDataCol="2"/>
  <pivotFields count="21">
    <pivotField axis="axisRow" compact="0" outline="0" showAll="0">
      <items count="42">
        <item m="1" x="40"/>
        <item m="1" x="39"/>
        <item x="11"/>
        <item x="29"/>
        <item x="9"/>
        <item x="1"/>
        <item x="13"/>
        <item x="10"/>
        <item m="1" x="31"/>
        <item x="4"/>
        <item x="8"/>
        <item m="1" x="32"/>
        <item m="1" x="38"/>
        <item x="2"/>
        <item m="1" x="33"/>
        <item x="7"/>
        <item m="1" x="34"/>
        <item x="5"/>
        <item m="1" x="35"/>
        <item x="15"/>
        <item x="12"/>
        <item m="1" x="37"/>
        <item m="1" x="36"/>
        <item x="3"/>
        <item x="6"/>
        <item x="0"/>
        <item h="1" x="14"/>
        <item x="16"/>
        <item x="17"/>
        <item x="18"/>
        <item m="1" x="30"/>
        <item x="19"/>
        <item x="20"/>
        <item x="21"/>
        <item x="22"/>
        <item x="23"/>
        <item x="24"/>
        <item x="25"/>
        <item x="26"/>
        <item x="27"/>
        <item x="28"/>
        <item t="default"/>
      </items>
    </pivotField>
    <pivotField axis="axisRow" compact="0" numFmtId="17" outline="0" showAll="0" sortType="ascending">
      <items count="28">
        <item h="1" m="1" x="16"/>
        <item h="1" m="1" x="17"/>
        <item h="1" m="1" x="18"/>
        <item h="1" m="1" x="19"/>
        <item h="1" m="1" x="20"/>
        <item h="1" m="1" x="21"/>
        <item h="1" m="1" x="22"/>
        <item h="1" m="1" x="23"/>
        <item h="1" m="1" x="24"/>
        <item h="1" m="1" x="25"/>
        <item h="1" m="1" x="26"/>
        <item h="1" x="3"/>
        <item h="1" x="0"/>
        <item h="1" x="1"/>
        <item h="1" x="2"/>
        <item h="1" x="4"/>
        <item h="1" x="5"/>
        <item h="1" x="6"/>
        <item h="1" x="7"/>
        <item x="8"/>
        <item x="9"/>
        <item x="10"/>
        <item x="11"/>
        <item x="12"/>
        <item x="13"/>
        <item h="1" x="14"/>
        <item h="1" x="15"/>
        <item t="default"/>
      </items>
    </pivotField>
    <pivotField compact="0" outline="0" showAll="0"/>
    <pivotField compact="0" numFmtId="43" outline="0" showAll="0"/>
    <pivotField compact="0" numFmtId="43" outline="0" showAll="0"/>
    <pivotField compact="0" outline="0" showAll="0"/>
    <pivotField compact="0" outline="0" showAll="0"/>
    <pivotField compact="0" outline="0" showAll="0"/>
    <pivotField compact="0" numFmtId="43" outline="0" showAll="0"/>
    <pivotField dataField="1" compact="0" numFmtId="43" outline="0" showAll="0"/>
    <pivotField compact="0" numFmtId="43" outline="0" showAll="0"/>
    <pivotField dataField="1" compact="0" numFmtId="43" outline="0" showAll="0"/>
    <pivotField dataField="1" compact="0" outline="0" showAll="0"/>
    <pivotField compact="0" outline="0" showAll="0"/>
    <pivotField dataField="1" compact="0" numFmtId="43" outline="0" showAll="0"/>
    <pivotField compact="0" outline="0" showAll="0"/>
    <pivotField compact="0" numFmtId="1" outline="0" showAll="0"/>
    <pivotField compact="0" outline="0" showAll="0"/>
    <pivotField compact="0" numFmtId="3" outline="0" showAll="0"/>
    <pivotField compact="0" outline="0" showAll="0"/>
    <pivotField compact="0" numFmtId="43" outline="0" showAll="0"/>
  </pivotFields>
  <rowFields count="2">
    <field x="1"/>
    <field x="0"/>
  </rowFields>
  <rowItems count="101">
    <i>
      <x v="19"/>
      <x v="2"/>
    </i>
    <i r="1">
      <x v="4"/>
    </i>
    <i r="1">
      <x v="6"/>
    </i>
    <i r="1">
      <x v="7"/>
    </i>
    <i r="1">
      <x v="9"/>
    </i>
    <i r="1">
      <x v="10"/>
    </i>
    <i r="1">
      <x v="20"/>
    </i>
    <i r="1">
      <x v="24"/>
    </i>
    <i r="1">
      <x v="25"/>
    </i>
    <i r="1">
      <x v="28"/>
    </i>
    <i r="1">
      <x v="29"/>
    </i>
    <i r="1">
      <x v="31"/>
    </i>
    <i r="1">
      <x v="32"/>
    </i>
    <i t="default">
      <x v="19"/>
    </i>
    <i>
      <x v="20"/>
      <x v="2"/>
    </i>
    <i r="1">
      <x v="4"/>
    </i>
    <i r="1">
      <x v="6"/>
    </i>
    <i r="1">
      <x v="7"/>
    </i>
    <i r="1">
      <x v="9"/>
    </i>
    <i r="1">
      <x v="10"/>
    </i>
    <i r="1">
      <x v="20"/>
    </i>
    <i r="1">
      <x v="24"/>
    </i>
    <i r="1">
      <x v="25"/>
    </i>
    <i r="1">
      <x v="27"/>
    </i>
    <i r="1">
      <x v="29"/>
    </i>
    <i r="1">
      <x v="31"/>
    </i>
    <i r="1">
      <x v="32"/>
    </i>
    <i r="1">
      <x v="33"/>
    </i>
    <i r="1">
      <x v="34"/>
    </i>
    <i r="1">
      <x v="35"/>
    </i>
    <i t="default">
      <x v="20"/>
    </i>
    <i>
      <x v="21"/>
      <x v="2"/>
    </i>
    <i r="1">
      <x v="4"/>
    </i>
    <i r="1">
      <x v="6"/>
    </i>
    <i r="1">
      <x v="7"/>
    </i>
    <i r="1">
      <x v="9"/>
    </i>
    <i r="1">
      <x v="10"/>
    </i>
    <i r="1">
      <x v="15"/>
    </i>
    <i r="1">
      <x v="20"/>
    </i>
    <i r="1">
      <x v="24"/>
    </i>
    <i r="1">
      <x v="25"/>
    </i>
    <i r="1">
      <x v="29"/>
    </i>
    <i r="1">
      <x v="31"/>
    </i>
    <i r="1">
      <x v="32"/>
    </i>
    <i r="1">
      <x v="33"/>
    </i>
    <i r="1">
      <x v="34"/>
    </i>
    <i r="1">
      <x v="35"/>
    </i>
    <i r="1">
      <x v="38"/>
    </i>
    <i t="default">
      <x v="21"/>
    </i>
    <i>
      <x v="22"/>
      <x v="2"/>
    </i>
    <i r="1">
      <x v="4"/>
    </i>
    <i r="1">
      <x v="6"/>
    </i>
    <i r="1">
      <x v="7"/>
    </i>
    <i r="1">
      <x v="9"/>
    </i>
    <i r="1">
      <x v="10"/>
    </i>
    <i r="1">
      <x v="13"/>
    </i>
    <i r="1">
      <x v="19"/>
    </i>
    <i r="1">
      <x v="20"/>
    </i>
    <i r="1">
      <x v="25"/>
    </i>
    <i r="1">
      <x v="28"/>
    </i>
    <i r="1">
      <x v="29"/>
    </i>
    <i r="1">
      <x v="31"/>
    </i>
    <i r="1">
      <x v="33"/>
    </i>
    <i r="1">
      <x v="34"/>
    </i>
    <i r="1">
      <x v="35"/>
    </i>
    <i r="1">
      <x v="36"/>
    </i>
    <i r="1">
      <x v="38"/>
    </i>
    <i t="default">
      <x v="22"/>
    </i>
    <i>
      <x v="23"/>
      <x v="2"/>
    </i>
    <i r="1">
      <x v="4"/>
    </i>
    <i r="1">
      <x v="7"/>
    </i>
    <i r="1">
      <x v="9"/>
    </i>
    <i r="1">
      <x v="10"/>
    </i>
    <i r="1">
      <x v="20"/>
    </i>
    <i r="1">
      <x v="24"/>
    </i>
    <i r="1">
      <x v="25"/>
    </i>
    <i r="1">
      <x v="32"/>
    </i>
    <i r="1">
      <x v="33"/>
    </i>
    <i r="1">
      <x v="34"/>
    </i>
    <i r="1">
      <x v="35"/>
    </i>
    <i r="1">
      <x v="36"/>
    </i>
    <i r="1">
      <x v="37"/>
    </i>
    <i r="1">
      <x v="39"/>
    </i>
    <i t="default">
      <x v="23"/>
    </i>
    <i>
      <x v="24"/>
      <x v="2"/>
    </i>
    <i r="1">
      <x v="7"/>
    </i>
    <i r="1">
      <x v="10"/>
    </i>
    <i r="1">
      <x v="20"/>
    </i>
    <i r="1">
      <x v="24"/>
    </i>
    <i r="1">
      <x v="25"/>
    </i>
    <i r="1">
      <x v="27"/>
    </i>
    <i r="1">
      <x v="28"/>
    </i>
    <i r="1">
      <x v="32"/>
    </i>
    <i r="1">
      <x v="33"/>
    </i>
    <i r="1">
      <x v="34"/>
    </i>
    <i r="1">
      <x v="35"/>
    </i>
    <i r="1">
      <x v="36"/>
    </i>
    <i r="1">
      <x v="37"/>
    </i>
    <i r="1">
      <x v="40"/>
    </i>
    <i t="default">
      <x v="24"/>
    </i>
    <i t="grand">
      <x/>
    </i>
  </rowItems>
  <colFields count="1">
    <field x="-2"/>
  </colFields>
  <colItems count="4">
    <i>
      <x/>
    </i>
    <i i="1">
      <x v="1"/>
    </i>
    <i i="2">
      <x v="2"/>
    </i>
    <i i="3">
      <x v="3"/>
    </i>
  </colItems>
  <dataFields count="4">
    <dataField name=" المطلوب تحويله " fld="11" baseField="0" baseItem="0" numFmtId="3"/>
    <dataField name=" المبلغ المسدد" fld="12" baseField="0" baseItem="5" numFmtId="3"/>
    <dataField name=" المستحق " fld="14" baseField="0" baseItem="2" numFmtId="3"/>
    <dataField name=" 14% " fld="9" baseField="0" baseItem="0"/>
  </dataFields>
  <formats count="35">
    <format dxfId="307">
      <pivotArea type="all" dataOnly="0" outline="0" fieldPosition="0"/>
    </format>
    <format dxfId="306">
      <pivotArea outline="0" collapsedLevelsAreSubtotals="1" fieldPosition="0"/>
    </format>
    <format dxfId="305">
      <pivotArea field="0" type="button" dataOnly="0" labelOnly="1" outline="0" axis="axisRow" fieldPosition="1"/>
    </format>
    <format dxfId="304">
      <pivotArea dataOnly="0" labelOnly="1" grandRow="1" outline="0" fieldPosition="0"/>
    </format>
    <format dxfId="303">
      <pivotArea dataOnly="0" labelOnly="1" outline="0" fieldPosition="0">
        <references count="1">
          <reference field="4294967294" count="2">
            <x v="0"/>
            <x v="1"/>
          </reference>
        </references>
      </pivotArea>
    </format>
    <format dxfId="302">
      <pivotArea type="all" dataOnly="0" outline="0" fieldPosition="0"/>
    </format>
    <format dxfId="301">
      <pivotArea outline="0" collapsedLevelsAreSubtotals="1" fieldPosition="0"/>
    </format>
    <format dxfId="300">
      <pivotArea field="0" type="button" dataOnly="0" labelOnly="1" outline="0" axis="axisRow" fieldPosition="1"/>
    </format>
    <format dxfId="299">
      <pivotArea dataOnly="0" labelOnly="1" grandRow="1" outline="0" fieldPosition="0"/>
    </format>
    <format dxfId="298">
      <pivotArea dataOnly="0" labelOnly="1" outline="0" fieldPosition="0">
        <references count="1">
          <reference field="4294967294" count="2">
            <x v="0"/>
            <x v="1"/>
          </reference>
        </references>
      </pivotArea>
    </format>
    <format dxfId="297">
      <pivotArea dataOnly="0" labelOnly="1" outline="0" fieldPosition="0">
        <references count="1">
          <reference field="4294967294" count="1">
            <x v="1"/>
          </reference>
        </references>
      </pivotArea>
    </format>
    <format dxfId="296">
      <pivotArea outline="0" fieldPosition="0">
        <references count="1">
          <reference field="4294967294" count="1" selected="0">
            <x v="2"/>
          </reference>
        </references>
      </pivotArea>
    </format>
    <format dxfId="295">
      <pivotArea dataOnly="0" labelOnly="1" outline="0" fieldPosition="0">
        <references count="1">
          <reference field="4294967294" count="1">
            <x v="2"/>
          </reference>
        </references>
      </pivotArea>
    </format>
    <format dxfId="294">
      <pivotArea outline="0" fieldPosition="0">
        <references count="1">
          <reference field="4294967294" count="1">
            <x v="2"/>
          </reference>
        </references>
      </pivotArea>
    </format>
    <format dxfId="293">
      <pivotArea dataOnly="0" labelOnly="1" outline="0" fieldPosition="0">
        <references count="1">
          <reference field="0" count="0"/>
        </references>
      </pivotArea>
    </format>
    <format dxfId="292">
      <pivotArea dataOnly="0" outline="0" fieldPosition="0">
        <references count="1">
          <reference field="4294967294" count="1">
            <x v="3"/>
          </reference>
        </references>
      </pivotArea>
    </format>
    <format dxfId="291">
      <pivotArea outline="0" fieldPosition="0">
        <references count="2">
          <reference field="0" count="2" selected="0">
            <x v="23"/>
            <x v="26"/>
          </reference>
          <reference field="1" count="1" selected="0">
            <x v="15"/>
          </reference>
        </references>
      </pivotArea>
    </format>
    <format dxfId="290">
      <pivotArea dataOnly="0" labelOnly="1" outline="0" fieldPosition="0">
        <references count="2">
          <reference field="0" count="2">
            <x v="23"/>
            <x v="26"/>
          </reference>
          <reference field="1" count="1" selected="0">
            <x v="15"/>
          </reference>
        </references>
      </pivotArea>
    </format>
    <format dxfId="289">
      <pivotArea outline="0" fieldPosition="0">
        <references count="2">
          <reference field="0" count="1" selected="0">
            <x v="23"/>
          </reference>
          <reference field="1" count="1" selected="0">
            <x v="14"/>
          </reference>
        </references>
      </pivotArea>
    </format>
    <format dxfId="288">
      <pivotArea dataOnly="0" labelOnly="1" outline="0" fieldPosition="0">
        <references count="2">
          <reference field="0" count="1">
            <x v="23"/>
          </reference>
          <reference field="1" count="1" selected="0">
            <x v="14"/>
          </reference>
        </references>
      </pivotArea>
    </format>
    <format dxfId="287">
      <pivotArea outline="0" fieldPosition="0">
        <references count="2">
          <reference field="0" count="1" selected="0">
            <x v="9"/>
          </reference>
          <reference field="1" count="1" selected="0">
            <x v="15"/>
          </reference>
        </references>
      </pivotArea>
    </format>
    <format dxfId="286">
      <pivotArea dataOnly="0" labelOnly="1" outline="0" fieldPosition="0">
        <references count="2">
          <reference field="0" count="1">
            <x v="9"/>
          </reference>
          <reference field="1" count="1" selected="0">
            <x v="15"/>
          </reference>
        </references>
      </pivotArea>
    </format>
    <format dxfId="285">
      <pivotArea outline="0" fieldPosition="0">
        <references count="2">
          <reference field="0" count="1" selected="0">
            <x v="9"/>
          </reference>
          <reference field="1" count="1" selected="0">
            <x v="16"/>
          </reference>
        </references>
      </pivotArea>
    </format>
    <format dxfId="284">
      <pivotArea dataOnly="0" labelOnly="1" outline="0" fieldPosition="0">
        <references count="2">
          <reference field="0" count="1">
            <x v="9"/>
          </reference>
          <reference field="1" count="1" selected="0">
            <x v="16"/>
          </reference>
        </references>
      </pivotArea>
    </format>
    <format dxfId="283">
      <pivotArea outline="0" fieldPosition="0">
        <references count="2">
          <reference field="0" count="1" selected="0">
            <x v="23"/>
          </reference>
          <reference field="1" count="1" selected="0">
            <x v="18"/>
          </reference>
        </references>
      </pivotArea>
    </format>
    <format dxfId="282">
      <pivotArea dataOnly="0" labelOnly="1" outline="0" fieldPosition="0">
        <references count="2">
          <reference field="0" count="1">
            <x v="23"/>
          </reference>
          <reference field="1" count="1" selected="0">
            <x v="18"/>
          </reference>
        </references>
      </pivotArea>
    </format>
    <format dxfId="281">
      <pivotArea outline="0" fieldPosition="0">
        <references count="3">
          <reference field="4294967294" count="1" selected="0">
            <x v="0"/>
          </reference>
          <reference field="0" count="1" selected="0">
            <x v="23"/>
          </reference>
          <reference field="1" count="1" selected="0">
            <x v="18"/>
          </reference>
        </references>
      </pivotArea>
    </format>
    <format dxfId="280">
      <pivotArea outline="0" fieldPosition="0">
        <references count="3">
          <reference field="4294967294" count="1" selected="0">
            <x v="0"/>
          </reference>
          <reference field="0" count="1" selected="0">
            <x v="23"/>
          </reference>
          <reference field="1" count="1" selected="0">
            <x v="18"/>
          </reference>
        </references>
      </pivotArea>
    </format>
    <format dxfId="279">
      <pivotArea outline="0" fieldPosition="0">
        <references count="3">
          <reference field="4294967294" count="1" selected="0">
            <x v="0"/>
          </reference>
          <reference field="0" count="1" selected="0">
            <x v="13"/>
          </reference>
          <reference field="1" count="1" selected="0">
            <x v="17"/>
          </reference>
        </references>
      </pivotArea>
    </format>
    <format dxfId="278">
      <pivotArea outline="0" fieldPosition="0">
        <references count="2">
          <reference field="0" count="1" selected="0">
            <x v="25"/>
          </reference>
          <reference field="1" count="1" selected="0">
            <x v="20"/>
          </reference>
        </references>
      </pivotArea>
    </format>
    <format dxfId="277">
      <pivotArea dataOnly="0" labelOnly="1" outline="0" fieldPosition="0">
        <references count="2">
          <reference field="0" count="1">
            <x v="25"/>
          </reference>
          <reference field="1" count="1" selected="0">
            <x v="20"/>
          </reference>
        </references>
      </pivotArea>
    </format>
    <format dxfId="276">
      <pivotArea outline="0" fieldPosition="0">
        <references count="2">
          <reference field="0" count="1" selected="0">
            <x v="25"/>
          </reference>
          <reference field="1" count="1" selected="0">
            <x v="19"/>
          </reference>
        </references>
      </pivotArea>
    </format>
    <format dxfId="275">
      <pivotArea dataOnly="0" labelOnly="1" outline="0" fieldPosition="0">
        <references count="2">
          <reference field="0" count="1">
            <x v="25"/>
          </reference>
          <reference field="1" count="1" selected="0">
            <x v="19"/>
          </reference>
        </references>
      </pivotArea>
    </format>
    <format dxfId="274">
      <pivotArea outline="0" fieldPosition="0">
        <references count="2">
          <reference field="0" count="1" selected="0">
            <x v="25"/>
          </reference>
          <reference field="1" count="1" selected="0">
            <x v="21"/>
          </reference>
        </references>
      </pivotArea>
    </format>
    <format dxfId="273">
      <pivotArea dataOnly="0" labelOnly="1" outline="0" fieldPosition="0">
        <references count="2">
          <reference field="0" count="1">
            <x v="25"/>
          </reference>
          <reference field="1" count="1" selected="0">
            <x v="21"/>
          </reference>
        </references>
      </pivotArea>
    </format>
  </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396240-DB88-4B53-A2F8-FB0ED45BAA56}"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9:C107" firstHeaderRow="1" firstDataRow="1" firstDataCol="2"/>
  <pivotFields count="11">
    <pivotField compact="0" outline="0" showAll="0" defaultSubtotal="0"/>
    <pivotField compact="0" outline="0" showAll="0" defaultSubtotal="0"/>
    <pivotField axis="axisRow" compact="0" outline="0" showAll="0" defaultSubtotal="0">
      <items count="185">
        <item m="1" x="141"/>
        <item m="1" x="85"/>
        <item x="20"/>
        <item x="21"/>
        <item m="1" x="184"/>
        <item m="1" x="126"/>
        <item m="1" x="176"/>
        <item m="1" x="145"/>
        <item m="1" x="173"/>
        <item m="1" x="172"/>
        <item m="1" x="174"/>
        <item m="1" x="156"/>
        <item m="1" x="133"/>
        <item m="1" x="180"/>
        <item m="1" x="181"/>
        <item m="1" x="49"/>
        <item x="26"/>
        <item m="1" x="86"/>
        <item m="1" x="164"/>
        <item x="27"/>
        <item m="1" x="170"/>
        <item m="1" x="162"/>
        <item m="1" x="182"/>
        <item m="1" x="183"/>
        <item m="1" x="171"/>
        <item m="1" x="175"/>
        <item m="1" x="167"/>
        <item m="1" x="105"/>
        <item m="1" x="177"/>
        <item m="1" x="178"/>
        <item m="1" x="179"/>
        <item m="1" x="158"/>
        <item m="1" x="139"/>
        <item m="1" x="99"/>
        <item m="1" x="169"/>
        <item x="1"/>
        <item m="1" x="165"/>
        <item x="0"/>
        <item m="1" x="119"/>
        <item x="7"/>
        <item x="10"/>
        <item x="33"/>
        <item m="1" x="146"/>
        <item m="1" x="142"/>
        <item m="1" x="92"/>
        <item m="1" x="159"/>
        <item m="1" x="69"/>
        <item m="1" x="70"/>
        <item m="1" x="136"/>
        <item m="1" x="134"/>
        <item m="1" x="163"/>
        <item m="1" x="166"/>
        <item m="1" x="168"/>
        <item x="12"/>
        <item m="1" x="46"/>
        <item m="1" x="150"/>
        <item m="1" x="113"/>
        <item x="32"/>
        <item m="1" x="157"/>
        <item m="1" x="160"/>
        <item m="1" x="161"/>
        <item m="1" x="72"/>
        <item m="1" x="151"/>
        <item m="1" x="58"/>
        <item m="1" x="50"/>
        <item m="1" x="152"/>
        <item m="1" x="149"/>
        <item m="1" x="115"/>
        <item x="15"/>
        <item m="1" x="153"/>
        <item m="1" x="155"/>
        <item m="1" x="143"/>
        <item m="1" x="154"/>
        <item x="2"/>
        <item m="1" x="130"/>
        <item m="1" x="38"/>
        <item m="1" x="94"/>
        <item m="1" x="117"/>
        <item m="1" x="147"/>
        <item m="1" x="148"/>
        <item m="1" x="108"/>
        <item m="1" x="71"/>
        <item m="1" x="87"/>
        <item m="1" x="129"/>
        <item m="1" x="135"/>
        <item m="1" x="131"/>
        <item m="1" x="124"/>
        <item m="1" x="95"/>
        <item m="1" x="137"/>
        <item m="1" x="138"/>
        <item x="4"/>
        <item m="1" x="140"/>
        <item m="1" x="110"/>
        <item m="1" x="144"/>
        <item m="1" x="47"/>
        <item m="1" x="125"/>
        <item m="1" x="56"/>
        <item m="1" x="100"/>
        <item m="1" x="132"/>
        <item m="1" x="109"/>
        <item m="1" x="121"/>
        <item m="1" x="122"/>
        <item m="1" x="123"/>
        <item m="1" x="96"/>
        <item m="1" x="52"/>
        <item m="1" x="51"/>
        <item m="1" x="116"/>
        <item m="1" x="106"/>
        <item m="1" x="128"/>
        <item m="1" x="111"/>
        <item m="1" x="127"/>
        <item x="36"/>
        <item m="1" x="114"/>
        <item m="1" x="88"/>
        <item m="1" x="79"/>
        <item m="1" x="67"/>
        <item x="25"/>
        <item m="1" x="98"/>
        <item m="1" x="82"/>
        <item x="5"/>
        <item m="1" x="118"/>
        <item m="1" x="68"/>
        <item m="1" x="120"/>
        <item m="1" x="101"/>
        <item x="13"/>
        <item m="1" x="97"/>
        <item m="1" x="102"/>
        <item m="1" x="103"/>
        <item m="1" x="112"/>
        <item m="1" x="104"/>
        <item m="1" x="54"/>
        <item m="1" x="107"/>
        <item m="1" x="73"/>
        <item m="1" x="90"/>
        <item m="1" x="91"/>
        <item m="1" x="84"/>
        <item m="1" x="77"/>
        <item m="1" x="89"/>
        <item m="1" x="93"/>
        <item m="1" x="55"/>
        <item m="1" x="83"/>
        <item x="3"/>
        <item m="1" x="81"/>
        <item x="8"/>
        <item m="1" x="57"/>
        <item m="1" x="78"/>
        <item m="1" x="39"/>
        <item m="1" x="66"/>
        <item m="1" x="60"/>
        <item m="1" x="76"/>
        <item m="1" x="80"/>
        <item m="1" x="64"/>
        <item m="1" x="63"/>
        <item m="1" x="62"/>
        <item m="1" x="65"/>
        <item x="35"/>
        <item m="1" x="53"/>
        <item m="1" x="74"/>
        <item m="1" x="75"/>
        <item x="14"/>
        <item m="1" x="40"/>
        <item x="11"/>
        <item m="1" x="48"/>
        <item x="6"/>
        <item m="1" x="59"/>
        <item x="24"/>
        <item m="1" x="61"/>
        <item m="1" x="42"/>
        <item x="30"/>
        <item m="1" x="37"/>
        <item x="16"/>
        <item m="1" x="41"/>
        <item m="1" x="43"/>
        <item m="1" x="44"/>
        <item m="1" x="45"/>
        <item x="9"/>
        <item x="17"/>
        <item x="18"/>
        <item x="19"/>
        <item x="22"/>
        <item x="23"/>
        <item x="28"/>
        <item x="29"/>
        <item x="31"/>
        <item x="34"/>
      </items>
    </pivotField>
    <pivotField axis="axisRow" compact="0" outline="0" showAll="0" defaultSubtotal="0">
      <items count="207">
        <item m="1" x="66"/>
        <item m="1" x="206"/>
        <item x="36"/>
        <item m="1" x="90"/>
        <item x="20"/>
        <item m="1" x="196"/>
        <item x="21"/>
        <item m="1" x="198"/>
        <item m="1" x="167"/>
        <item m="1" x="195"/>
        <item m="1" x="194"/>
        <item m="1" x="145"/>
        <item m="1" x="178"/>
        <item m="1" x="152"/>
        <item m="1" x="202"/>
        <item m="1" x="203"/>
        <item m="1" x="50"/>
        <item x="26"/>
        <item m="1" x="91"/>
        <item m="1" x="186"/>
        <item m="1" x="129"/>
        <item m="1" x="192"/>
        <item m="1" x="184"/>
        <item m="1" x="204"/>
        <item m="1" x="205"/>
        <item m="1" x="193"/>
        <item m="1" x="197"/>
        <item m="1" x="189"/>
        <item m="1" x="112"/>
        <item m="1" x="199"/>
        <item m="1" x="200"/>
        <item m="1" x="201"/>
        <item m="1" x="180"/>
        <item m="1" x="159"/>
        <item m="1" x="106"/>
        <item m="1" x="191"/>
        <item x="1"/>
        <item m="1" x="187"/>
        <item x="0"/>
        <item m="1" x="137"/>
        <item x="7"/>
        <item x="10"/>
        <item x="33"/>
        <item m="1" x="168"/>
        <item m="1" x="162"/>
        <item m="1" x="99"/>
        <item m="1" x="181"/>
        <item m="1" x="73"/>
        <item m="1" x="74"/>
        <item m="1" x="156"/>
        <item m="1" x="153"/>
        <item m="1" x="185"/>
        <item m="1" x="188"/>
        <item m="1" x="190"/>
        <item m="1" x="131"/>
        <item m="1" x="46"/>
        <item m="1" x="173"/>
        <item m="1" x="123"/>
        <item x="32"/>
        <item m="1" x="179"/>
        <item m="1" x="182"/>
        <item m="1" x="183"/>
        <item m="1" x="76"/>
        <item m="1" x="174"/>
        <item m="1" x="169"/>
        <item m="1" x="128"/>
        <item m="1" x="175"/>
        <item m="1" x="172"/>
        <item m="1" x="130"/>
        <item x="15"/>
        <item m="1" x="176"/>
        <item x="2"/>
        <item m="1" x="163"/>
        <item m="1" x="177"/>
        <item m="1" x="122"/>
        <item m="1" x="149"/>
        <item m="1" x="101"/>
        <item m="1" x="133"/>
        <item m="1" x="170"/>
        <item m="1" x="171"/>
        <item m="1" x="115"/>
        <item m="1" x="75"/>
        <item m="1" x="92"/>
        <item m="1" x="148"/>
        <item m="1" x="154"/>
        <item m="1" x="150"/>
        <item m="1" x="155"/>
        <item m="1" x="121"/>
        <item m="1" x="157"/>
        <item m="1" x="158"/>
        <item m="1" x="166"/>
        <item m="1" x="135"/>
        <item m="1" x="165"/>
        <item m="1" x="161"/>
        <item m="1" x="160"/>
        <item m="1" x="117"/>
        <item m="1" x="164"/>
        <item m="1" x="48"/>
        <item m="1" x="143"/>
        <item m="1" x="144"/>
        <item m="1" x="58"/>
        <item m="1" x="107"/>
        <item m="1" x="151"/>
        <item m="1" x="116"/>
        <item m="1" x="93"/>
        <item m="1" x="140"/>
        <item m="1" x="141"/>
        <item m="1" x="142"/>
        <item m="1" x="103"/>
        <item m="1" x="54"/>
        <item m="1" x="139"/>
        <item m="1" x="132"/>
        <item m="1" x="118"/>
        <item m="1" x="147"/>
        <item m="1" x="146"/>
        <item m="1" x="124"/>
        <item m="1" x="125"/>
        <item m="1" x="126"/>
        <item m="1" x="127"/>
        <item x="25"/>
        <item m="1" x="105"/>
        <item m="1" x="87"/>
        <item m="1" x="134"/>
        <item m="1" x="136"/>
        <item m="1" x="71"/>
        <item m="1" x="138"/>
        <item m="1" x="108"/>
        <item m="1" x="102"/>
        <item m="1" x="51"/>
        <item x="13"/>
        <item x="12"/>
        <item m="1" x="104"/>
        <item x="4"/>
        <item m="1" x="38"/>
        <item m="1" x="70"/>
        <item x="27"/>
        <item m="1" x="53"/>
        <item m="1" x="95"/>
        <item m="1" x="109"/>
        <item m="1" x="110"/>
        <item m="1" x="120"/>
        <item m="1" x="111"/>
        <item m="1" x="56"/>
        <item m="1" x="113"/>
        <item m="1" x="114"/>
        <item m="1" x="77"/>
        <item m="1" x="97"/>
        <item m="1" x="98"/>
        <item m="1" x="119"/>
        <item x="5"/>
        <item m="1" x="94"/>
        <item m="1" x="81"/>
        <item m="1" x="83"/>
        <item m="1" x="96"/>
        <item m="1" x="100"/>
        <item m="1" x="57"/>
        <item m="1" x="60"/>
        <item m="1" x="88"/>
        <item m="1" x="89"/>
        <item x="3"/>
        <item m="1" x="86"/>
        <item x="8"/>
        <item m="1" x="59"/>
        <item m="1" x="82"/>
        <item m="1" x="39"/>
        <item m="1" x="69"/>
        <item m="1" x="62"/>
        <item m="1" x="84"/>
        <item m="1" x="85"/>
        <item m="1" x="67"/>
        <item m="1" x="72"/>
        <item m="1" x="79"/>
        <item m="1" x="68"/>
        <item x="35"/>
        <item m="1" x="55"/>
        <item m="1" x="78"/>
        <item m="1" x="80"/>
        <item x="14"/>
        <item m="1" x="40"/>
        <item x="11"/>
        <item m="1" x="49"/>
        <item x="6"/>
        <item m="1" x="61"/>
        <item m="1" x="52"/>
        <item m="1" x="63"/>
        <item m="1" x="64"/>
        <item m="1" x="65"/>
        <item m="1" x="42"/>
        <item x="30"/>
        <item m="1" x="37"/>
        <item x="16"/>
        <item m="1" x="41"/>
        <item m="1" x="43"/>
        <item m="1" x="44"/>
        <item m="1" x="45"/>
        <item x="24"/>
        <item m="1" x="47"/>
        <item x="9"/>
        <item x="17"/>
        <item x="18"/>
        <item x="19"/>
        <item x="22"/>
        <item x="23"/>
        <item x="28"/>
        <item x="29"/>
        <item x="31"/>
        <item x="34"/>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s>
  <rowFields count="2">
    <field x="2"/>
    <field x="3"/>
  </rowFields>
  <rowItems count="38">
    <i>
      <x v="2"/>
      <x v="4"/>
    </i>
    <i>
      <x v="3"/>
      <x v="6"/>
    </i>
    <i>
      <x v="16"/>
      <x v="17"/>
    </i>
    <i>
      <x v="19"/>
      <x v="135"/>
    </i>
    <i>
      <x v="35"/>
      <x v="36"/>
    </i>
    <i>
      <x v="37"/>
      <x v="38"/>
    </i>
    <i>
      <x v="39"/>
      <x v="40"/>
    </i>
    <i>
      <x v="40"/>
      <x v="41"/>
    </i>
    <i>
      <x v="41"/>
      <x v="42"/>
    </i>
    <i>
      <x v="53"/>
      <x v="130"/>
    </i>
    <i>
      <x v="57"/>
      <x v="58"/>
    </i>
    <i>
      <x v="68"/>
      <x v="69"/>
    </i>
    <i>
      <x v="73"/>
      <x v="71"/>
    </i>
    <i>
      <x v="90"/>
      <x v="132"/>
    </i>
    <i>
      <x v="111"/>
      <x v="2"/>
    </i>
    <i>
      <x v="116"/>
      <x v="119"/>
    </i>
    <i>
      <x v="119"/>
      <x v="149"/>
    </i>
    <i>
      <x v="124"/>
      <x v="129"/>
    </i>
    <i>
      <x v="141"/>
      <x v="159"/>
    </i>
    <i>
      <x v="143"/>
      <x v="161"/>
    </i>
    <i>
      <x v="155"/>
      <x v="173"/>
    </i>
    <i>
      <x v="159"/>
      <x v="177"/>
    </i>
    <i>
      <x v="161"/>
      <x v="179"/>
    </i>
    <i>
      <x v="163"/>
      <x v="181"/>
    </i>
    <i>
      <x v="165"/>
      <x v="195"/>
    </i>
    <i>
      <x v="168"/>
      <x v="188"/>
    </i>
    <i>
      <x v="170"/>
      <x v="190"/>
    </i>
    <i>
      <x v="175"/>
      <x v="197"/>
    </i>
    <i>
      <x v="176"/>
      <x v="198"/>
    </i>
    <i>
      <x v="177"/>
      <x v="199"/>
    </i>
    <i>
      <x v="178"/>
      <x v="200"/>
    </i>
    <i>
      <x v="179"/>
      <x v="201"/>
    </i>
    <i>
      <x v="180"/>
      <x v="202"/>
    </i>
    <i>
      <x v="181"/>
      <x v="203"/>
    </i>
    <i>
      <x v="182"/>
      <x v="204"/>
    </i>
    <i>
      <x v="183"/>
      <x v="205"/>
    </i>
    <i>
      <x v="184"/>
      <x v="206"/>
    </i>
    <i t="grand">
      <x/>
    </i>
  </rowItems>
  <colItems count="1">
    <i/>
  </colItems>
  <dataFields count="1">
    <dataField name=" السلفه " fld="7" baseField="3" baseItem="2" numFmtId="3"/>
  </dataFields>
  <formats count="28">
    <format dxfId="166">
      <pivotArea dataOnly="0" labelOnly="1" outline="0" fieldPosition="0">
        <references count="2">
          <reference field="2" count="1" selected="0">
            <x v="5"/>
          </reference>
          <reference field="3" count="1">
            <x v="2"/>
          </reference>
        </references>
      </pivotArea>
    </format>
    <format dxfId="165">
      <pivotArea type="all" dataOnly="0" outline="0" fieldPosition="0"/>
    </format>
    <format dxfId="164">
      <pivotArea outline="0" collapsedLevelsAreSubtotals="1" fieldPosition="0"/>
    </format>
    <format dxfId="163">
      <pivotArea field="2" type="button" dataOnly="0" labelOnly="1" outline="0" axis="axisRow" fieldPosition="0"/>
    </format>
    <format dxfId="162">
      <pivotArea field="3" type="button" dataOnly="0" labelOnly="1" outline="0" axis="axisRow" fieldPosition="1"/>
    </format>
    <format dxfId="161">
      <pivotArea dataOnly="0" labelOnly="1" outline="0" fieldPosition="0">
        <references count="1">
          <reference field="2" count="0"/>
        </references>
      </pivotArea>
    </format>
    <format dxfId="160">
      <pivotArea dataOnly="0" labelOnly="1" grandRow="1" outline="0" fieldPosition="0"/>
    </format>
    <format dxfId="159">
      <pivotArea dataOnly="0" labelOnly="1" outline="0" fieldPosition="0">
        <references count="2">
          <reference field="2" count="1" selected="0">
            <x v="1"/>
          </reference>
          <reference field="3" count="1">
            <x v="3"/>
          </reference>
        </references>
      </pivotArea>
    </format>
    <format dxfId="158">
      <pivotArea dataOnly="0" labelOnly="1" outline="0" fieldPosition="0">
        <references count="2">
          <reference field="2" count="1" selected="0">
            <x v="2"/>
          </reference>
          <reference field="3" count="1">
            <x v="4"/>
          </reference>
        </references>
      </pivotArea>
    </format>
    <format dxfId="157">
      <pivotArea dataOnly="0" labelOnly="1" outline="0" fieldPosition="0">
        <references count="2">
          <reference field="2" count="1" selected="0">
            <x v="3"/>
          </reference>
          <reference field="3" count="1">
            <x v="6"/>
          </reference>
        </references>
      </pivotArea>
    </format>
    <format dxfId="156">
      <pivotArea dataOnly="0" labelOnly="1" outline="0" fieldPosition="0">
        <references count="2">
          <reference field="2" count="1" selected="0">
            <x v="5"/>
          </reference>
          <reference field="3" count="1">
            <x v="11"/>
          </reference>
        </references>
      </pivotArea>
    </format>
    <format dxfId="155">
      <pivotArea dataOnly="0" labelOnly="1" outline="0" fieldPosition="0">
        <references count="2">
          <reference field="2" count="1" selected="0">
            <x v="6"/>
          </reference>
          <reference field="3" count="1">
            <x v="7"/>
          </reference>
        </references>
      </pivotArea>
    </format>
    <format dxfId="154">
      <pivotArea dataOnly="0" labelOnly="1" outline="0" fieldPosition="0">
        <references count="2">
          <reference field="2" count="1" selected="0">
            <x v="7"/>
          </reference>
          <reference field="3" count="1">
            <x v="8"/>
          </reference>
        </references>
      </pivotArea>
    </format>
    <format dxfId="153">
      <pivotArea dataOnly="0" labelOnly="1" outline="0" fieldPosition="0">
        <references count="2">
          <reference field="2" count="1" selected="0">
            <x v="8"/>
          </reference>
          <reference field="3" count="1">
            <x v="9"/>
          </reference>
        </references>
      </pivotArea>
    </format>
    <format dxfId="152">
      <pivotArea dataOnly="0" labelOnly="1" outline="0" fieldPosition="0">
        <references count="2">
          <reference field="2" count="1" selected="0">
            <x v="9"/>
          </reference>
          <reference field="3" count="1">
            <x v="10"/>
          </reference>
        </references>
      </pivotArea>
    </format>
    <format dxfId="151">
      <pivotArea dataOnly="0" labelOnly="1" outline="0" fieldPosition="0">
        <references count="2">
          <reference field="2" count="1" selected="0">
            <x v="10"/>
          </reference>
          <reference field="3" count="1">
            <x v="5"/>
          </reference>
        </references>
      </pivotArea>
    </format>
    <format dxfId="150">
      <pivotArea dataOnly="0" labelOnly="1" outline="0" fieldPosition="0">
        <references count="2">
          <reference field="2" count="1" selected="0">
            <x v="11"/>
          </reference>
          <reference field="3" count="1">
            <x v="12"/>
          </reference>
        </references>
      </pivotArea>
    </format>
    <format dxfId="149">
      <pivotArea dataOnly="0" labelOnly="1" outline="0" fieldPosition="0">
        <references count="2">
          <reference field="2" count="1" selected="0">
            <x v="12"/>
          </reference>
          <reference field="3" count="1">
            <x v="13"/>
          </reference>
        </references>
      </pivotArea>
    </format>
    <format dxfId="148">
      <pivotArea dataOnly="0" labelOnly="1" outline="0" fieldPosition="0">
        <references count="2">
          <reference field="2" count="1" selected="0">
            <x v="13"/>
          </reference>
          <reference field="3" count="1">
            <x v="14"/>
          </reference>
        </references>
      </pivotArea>
    </format>
    <format dxfId="147">
      <pivotArea dataOnly="0" labelOnly="1" outline="0" fieldPosition="0">
        <references count="2">
          <reference field="2" count="1" selected="0">
            <x v="14"/>
          </reference>
          <reference field="3" count="1">
            <x v="15"/>
          </reference>
        </references>
      </pivotArea>
    </format>
    <format dxfId="146">
      <pivotArea dataOnly="0" labelOnly="1" outline="0" fieldPosition="0">
        <references count="2">
          <reference field="2" count="1" selected="0">
            <x v="15"/>
          </reference>
          <reference field="3" count="1">
            <x v="16"/>
          </reference>
        </references>
      </pivotArea>
    </format>
    <format dxfId="145">
      <pivotArea dataOnly="0" labelOnly="1" outline="0" fieldPosition="0">
        <references count="2">
          <reference field="2" count="1" selected="0">
            <x v="16"/>
          </reference>
          <reference field="3" count="1">
            <x v="17"/>
          </reference>
        </references>
      </pivotArea>
    </format>
    <format dxfId="144">
      <pivotArea dataOnly="0" labelOnly="1" outline="0" fieldPosition="0">
        <references count="2">
          <reference field="2" count="1" selected="0">
            <x v="17"/>
          </reference>
          <reference field="3" count="1">
            <x v="18"/>
          </reference>
        </references>
      </pivotArea>
    </format>
    <format dxfId="143">
      <pivotArea dataOnly="0" labelOnly="1" outline="0" fieldPosition="0">
        <references count="2">
          <reference field="2" count="1" selected="0">
            <x v="18"/>
          </reference>
          <reference field="3" count="1">
            <x v="19"/>
          </reference>
        </references>
      </pivotArea>
    </format>
    <format dxfId="142">
      <pivotArea dataOnly="0" labelOnly="1" outline="0" fieldPosition="0">
        <references count="2">
          <reference field="2" count="1" selected="0">
            <x v="19"/>
          </reference>
          <reference field="3" count="1">
            <x v="20"/>
          </reference>
        </references>
      </pivotArea>
    </format>
    <format dxfId="141">
      <pivotArea dataOnly="0" labelOnly="1" outline="0" fieldPosition="0">
        <references count="2">
          <reference field="2" count="1" selected="0">
            <x v="20"/>
          </reference>
          <reference field="3" count="1">
            <x v="21"/>
          </reference>
        </references>
      </pivotArea>
    </format>
    <format dxfId="140">
      <pivotArea dataOnly="0" labelOnly="1" outline="0" axis="axisValues" fieldPosition="0"/>
    </format>
    <format dxfId="139">
      <pivotArea outline="0" fieldPosition="0">
        <references count="2">
          <reference field="2" count="1" selected="0">
            <x v="2"/>
          </reference>
          <reference field="3" count="1" selected="0">
            <x v="4"/>
          </reference>
        </references>
      </pivotArea>
    </format>
  </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92EFA4-881B-40AB-B040-45F2B9FA510F}"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09:F150" firstHeaderRow="1" firstDataRow="1" firstDataCol="2" rowPageCount="1" colPageCount="1"/>
  <pivotFields count="15">
    <pivotField compact="0" outline="0" showAll="0">
      <items count="75">
        <item x="1"/>
        <item x="2"/>
        <item x="3"/>
        <item x="4"/>
        <item x="5"/>
        <item x="6"/>
        <item m="1" x="70"/>
        <item x="7"/>
        <item m="1" x="71"/>
        <item m="1" x="72"/>
        <item m="1" x="45"/>
        <item m="1" x="73"/>
        <item m="1" x="46"/>
        <item m="1" x="47"/>
        <item m="1" x="51"/>
        <item m="1" x="48"/>
        <item m="1" x="49"/>
        <item m="1" x="50"/>
        <item m="1" x="52"/>
        <item x="8"/>
        <item m="1" x="53"/>
        <item m="1" x="54"/>
        <item m="1" x="55"/>
        <item m="1" x="56"/>
        <item m="1" x="57"/>
        <item m="1" x="58"/>
        <item m="1" x="59"/>
        <item m="1" x="60"/>
        <item m="1" x="61"/>
        <item m="1" x="62"/>
        <item x="9"/>
        <item x="10"/>
        <item x="11"/>
        <item m="1" x="63"/>
        <item x="12"/>
        <item m="1" x="64"/>
        <item x="14"/>
        <item x="13"/>
        <item x="15"/>
        <item x="16"/>
        <item x="44"/>
        <item m="1" x="65"/>
        <item m="1" x="66"/>
        <item x="17"/>
        <item x="18"/>
        <item x="19"/>
        <item x="20"/>
        <item x="21"/>
        <item m="1" x="67"/>
        <item x="22"/>
        <item x="23"/>
        <item m="1" x="68"/>
        <item x="24"/>
        <item m="1" x="69"/>
        <item x="25"/>
        <item x="26"/>
        <item x="27"/>
        <item x="28"/>
        <item x="29"/>
        <item x="30"/>
        <item x="31"/>
        <item x="32"/>
        <item x="33"/>
        <item x="34"/>
        <item x="35"/>
        <item x="36"/>
        <item x="0"/>
        <item x="37"/>
        <item x="38"/>
        <item x="39"/>
        <item x="40"/>
        <item x="41"/>
        <item x="42"/>
        <item x="43"/>
        <item t="default"/>
      </items>
    </pivotField>
    <pivotField compact="0" outline="0" showAll="0"/>
    <pivotField compact="0" outline="0" showAll="0"/>
    <pivotField axis="axisRow" compact="0" outline="0" showAll="0">
      <items count="44">
        <item x="27"/>
        <item x="2"/>
        <item x="8"/>
        <item x="9"/>
        <item x="16"/>
        <item x="17"/>
        <item x="14"/>
        <item x="12"/>
        <item x="22"/>
        <item x="0"/>
        <item x="4"/>
        <item m="1" x="30"/>
        <item m="1" x="34"/>
        <item x="13"/>
        <item x="1"/>
        <item x="6"/>
        <item x="3"/>
        <item x="10"/>
        <item x="25"/>
        <item x="5"/>
        <item x="21"/>
        <item m="1" x="32"/>
        <item m="1" x="33"/>
        <item m="1" x="28"/>
        <item m="1" x="29"/>
        <item m="1" x="31"/>
        <item x="7"/>
        <item x="11"/>
        <item m="1" x="40"/>
        <item m="1" x="41"/>
        <item m="1" x="42"/>
        <item m="1" x="35"/>
        <item m="1" x="36"/>
        <item x="19"/>
        <item m="1" x="37"/>
        <item x="18"/>
        <item x="20"/>
        <item x="23"/>
        <item x="24"/>
        <item m="1" x="39"/>
        <item m="1" x="38"/>
        <item x="15"/>
        <item x="26"/>
        <item t="default"/>
      </items>
    </pivotField>
    <pivotField axis="axisPage" compact="0" outline="0" showAll="0">
      <items count="41">
        <item x="21"/>
        <item x="1"/>
        <item x="12"/>
        <item m="1" x="29"/>
        <item x="20"/>
        <item m="1" x="26"/>
        <item x="0"/>
        <item m="1" x="31"/>
        <item x="13"/>
        <item m="1" x="25"/>
        <item x="16"/>
        <item x="5"/>
        <item x="15"/>
        <item x="8"/>
        <item m="1" x="30"/>
        <item x="9"/>
        <item x="3"/>
        <item x="6"/>
        <item x="24"/>
        <item x="11"/>
        <item m="1" x="28"/>
        <item m="1" x="27"/>
        <item x="2"/>
        <item x="7"/>
        <item x="4"/>
        <item x="10"/>
        <item m="1" x="37"/>
        <item m="1" x="38"/>
        <item m="1" x="39"/>
        <item m="1" x="32"/>
        <item m="1" x="33"/>
        <item x="18"/>
        <item m="1" x="34"/>
        <item x="17"/>
        <item x="19"/>
        <item x="22"/>
        <item x="23"/>
        <item m="1" x="36"/>
        <item m="1" x="35"/>
        <item x="14"/>
        <item t="default"/>
      </items>
    </pivotField>
    <pivotField compact="0" outline="0" showAll="0"/>
    <pivotField axis="axisRow" compact="0" outline="0" showAll="0">
      <items count="9">
        <item x="6"/>
        <item x="4"/>
        <item x="2"/>
        <item x="3"/>
        <item x="0"/>
        <item x="1"/>
        <item x="7"/>
        <item x="5"/>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2">
    <field x="6"/>
    <field x="3"/>
  </rowFields>
  <rowItems count="41">
    <i>
      <x/>
      <x v="36"/>
    </i>
    <i r="1">
      <x v="37"/>
    </i>
    <i r="1">
      <x v="42"/>
    </i>
    <i t="default">
      <x/>
    </i>
    <i>
      <x v="1"/>
      <x v="2"/>
    </i>
    <i r="1">
      <x v="26"/>
    </i>
    <i r="1">
      <x v="33"/>
    </i>
    <i t="default">
      <x v="1"/>
    </i>
    <i>
      <x v="2"/>
      <x v="16"/>
    </i>
    <i t="default">
      <x v="2"/>
    </i>
    <i>
      <x v="3"/>
      <x v="3"/>
    </i>
    <i r="1">
      <x v="4"/>
    </i>
    <i r="1">
      <x v="5"/>
    </i>
    <i r="1">
      <x v="6"/>
    </i>
    <i r="1">
      <x v="7"/>
    </i>
    <i r="1">
      <x v="10"/>
    </i>
    <i r="1">
      <x v="13"/>
    </i>
    <i r="1">
      <x v="15"/>
    </i>
    <i r="1">
      <x v="17"/>
    </i>
    <i r="1">
      <x v="18"/>
    </i>
    <i r="1">
      <x v="20"/>
    </i>
    <i r="1">
      <x v="38"/>
    </i>
    <i t="default">
      <x v="3"/>
    </i>
    <i>
      <x v="4"/>
      <x v="9"/>
    </i>
    <i r="1">
      <x v="41"/>
    </i>
    <i t="default">
      <x v="4"/>
    </i>
    <i>
      <x v="5"/>
      <x v="1"/>
    </i>
    <i r="1">
      <x v="9"/>
    </i>
    <i r="1">
      <x v="14"/>
    </i>
    <i r="1">
      <x v="19"/>
    </i>
    <i r="1">
      <x v="27"/>
    </i>
    <i t="default">
      <x v="5"/>
    </i>
    <i>
      <x v="6"/>
      <x/>
    </i>
    <i t="default">
      <x v="6"/>
    </i>
    <i>
      <x v="7"/>
      <x v="6"/>
    </i>
    <i r="1">
      <x v="8"/>
    </i>
    <i r="1">
      <x v="14"/>
    </i>
    <i r="1">
      <x v="20"/>
    </i>
    <i r="1">
      <x v="35"/>
    </i>
    <i t="default">
      <x v="7"/>
    </i>
    <i t="grand">
      <x/>
    </i>
  </rowItems>
  <colItems count="1">
    <i/>
  </colItems>
  <pageFields count="1">
    <pageField fld="4" hier="-1"/>
  </pageFields>
  <dataFields count="1">
    <dataField name="Sum of العهدة " fld="10" baseField="0" baseItem="0"/>
  </dataField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D9164D-A8AC-4E0E-ADBD-0DC466DB162E}"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2:P3" firstHeaderRow="1" firstDataRow="1" firstDataCol="2"/>
  <pivotFields count="11">
    <pivotField compact="0" outline="0" showAll="0" defaultSubtotal="0"/>
    <pivotField compact="0" outline="0" showAll="0" defaultSubtotal="0"/>
    <pivotField axis="axisRow" compact="0" outline="0" showAll="0" defaultSubtotal="0">
      <items count="185">
        <item m="1" x="141"/>
        <item h="1" m="1" x="85"/>
        <item h="1" x="20"/>
        <item h="1" x="21"/>
        <item h="1" m="1" x="184"/>
        <item h="1" m="1" x="126"/>
        <item h="1" m="1" x="176"/>
        <item h="1" m="1" x="145"/>
        <item h="1" m="1" x="173"/>
        <item h="1" m="1" x="172"/>
        <item h="1" m="1" x="174"/>
        <item h="1" m="1" x="156"/>
        <item h="1" m="1" x="133"/>
        <item h="1" m="1" x="180"/>
        <item h="1" m="1" x="181"/>
        <item h="1" m="1" x="49"/>
        <item h="1" x="26"/>
        <item h="1" m="1" x="86"/>
        <item h="1" m="1" x="164"/>
        <item h="1" x="27"/>
        <item h="1" m="1" x="170"/>
        <item h="1" m="1" x="162"/>
        <item h="1" m="1" x="182"/>
        <item h="1" m="1" x="183"/>
        <item h="1" m="1" x="171"/>
        <item h="1" m="1" x="175"/>
        <item h="1" m="1" x="167"/>
        <item h="1" m="1" x="105"/>
        <item h="1" m="1" x="177"/>
        <item h="1" m="1" x="178"/>
        <item h="1" m="1" x="179"/>
        <item h="1" m="1" x="158"/>
        <item h="1" m="1" x="139"/>
        <item h="1" m="1" x="99"/>
        <item h="1" m="1" x="169"/>
        <item h="1" x="1"/>
        <item h="1" m="1" x="165"/>
        <item h="1" x="0"/>
        <item h="1" m="1" x="119"/>
        <item h="1" x="7"/>
        <item h="1" x="10"/>
        <item h="1" x="33"/>
        <item h="1" m="1" x="146"/>
        <item h="1" m="1" x="142"/>
        <item h="1" m="1" x="92"/>
        <item h="1" m="1" x="159"/>
        <item h="1" m="1" x="69"/>
        <item h="1" m="1" x="70"/>
        <item h="1" m="1" x="136"/>
        <item h="1" m="1" x="134"/>
        <item h="1" m="1" x="163"/>
        <item h="1" m="1" x="166"/>
        <item h="1" m="1" x="168"/>
        <item h="1" x="12"/>
        <item h="1" m="1" x="46"/>
        <item h="1" m="1" x="150"/>
        <item h="1" m="1" x="113"/>
        <item h="1" x="32"/>
        <item h="1" m="1" x="157"/>
        <item h="1" m="1" x="160"/>
        <item h="1" m="1" x="161"/>
        <item h="1" m="1" x="72"/>
        <item h="1" m="1" x="151"/>
        <item h="1" m="1" x="58"/>
        <item h="1" m="1" x="50"/>
        <item h="1" m="1" x="152"/>
        <item h="1" m="1" x="149"/>
        <item h="1" m="1" x="115"/>
        <item h="1" x="15"/>
        <item h="1" m="1" x="153"/>
        <item h="1" m="1" x="155"/>
        <item h="1" m="1" x="143"/>
        <item h="1" m="1" x="154"/>
        <item h="1" x="2"/>
        <item h="1" m="1" x="130"/>
        <item h="1" m="1" x="38"/>
        <item h="1" m="1" x="94"/>
        <item h="1" m="1" x="117"/>
        <item h="1" m="1" x="147"/>
        <item h="1" m="1" x="148"/>
        <item h="1" m="1" x="108"/>
        <item h="1" m="1" x="71"/>
        <item h="1" m="1" x="87"/>
        <item h="1" m="1" x="129"/>
        <item h="1" m="1" x="135"/>
        <item h="1" m="1" x="131"/>
        <item h="1" m="1" x="124"/>
        <item h="1" m="1" x="95"/>
        <item h="1" m="1" x="137"/>
        <item h="1" m="1" x="138"/>
        <item h="1" x="4"/>
        <item h="1" m="1" x="140"/>
        <item h="1" m="1" x="110"/>
        <item h="1" m="1" x="144"/>
        <item h="1" m="1" x="47"/>
        <item h="1" m="1" x="125"/>
        <item h="1" m="1" x="56"/>
        <item h="1" m="1" x="100"/>
        <item h="1" m="1" x="132"/>
        <item h="1" m="1" x="109"/>
        <item h="1" m="1" x="121"/>
        <item h="1" m="1" x="122"/>
        <item h="1" m="1" x="123"/>
        <item h="1" m="1" x="96"/>
        <item h="1" m="1" x="52"/>
        <item h="1" m="1" x="51"/>
        <item h="1" m="1" x="116"/>
        <item h="1" m="1" x="106"/>
        <item h="1" m="1" x="128"/>
        <item h="1" m="1" x="111"/>
        <item h="1" m="1" x="127"/>
        <item h="1" x="36"/>
        <item h="1" m="1" x="114"/>
        <item h="1" m="1" x="88"/>
        <item h="1" m="1" x="79"/>
        <item h="1" m="1" x="67"/>
        <item h="1" x="25"/>
        <item h="1" m="1" x="98"/>
        <item h="1" m="1" x="82"/>
        <item h="1" x="5"/>
        <item h="1" m="1" x="118"/>
        <item h="1" m="1" x="68"/>
        <item h="1" m="1" x="120"/>
        <item h="1" m="1" x="101"/>
        <item h="1" x="13"/>
        <item h="1" m="1" x="97"/>
        <item h="1" m="1" x="102"/>
        <item h="1" m="1" x="103"/>
        <item h="1" m="1" x="112"/>
        <item h="1" m="1" x="104"/>
        <item h="1" m="1" x="54"/>
        <item h="1" m="1" x="107"/>
        <item h="1" m="1" x="73"/>
        <item h="1" m="1" x="90"/>
        <item h="1" m="1" x="91"/>
        <item h="1" m="1" x="84"/>
        <item h="1" m="1" x="77"/>
        <item h="1" m="1" x="89"/>
        <item h="1" m="1" x="93"/>
        <item h="1" m="1" x="55"/>
        <item h="1" m="1" x="83"/>
        <item h="1" x="3"/>
        <item h="1" m="1" x="81"/>
        <item h="1" x="8"/>
        <item h="1" m="1" x="57"/>
        <item h="1" m="1" x="78"/>
        <item h="1" m="1" x="39"/>
        <item h="1" m="1" x="66"/>
        <item h="1" m="1" x="60"/>
        <item h="1" m="1" x="76"/>
        <item h="1" m="1" x="80"/>
        <item h="1" m="1" x="64"/>
        <item h="1" m="1" x="63"/>
        <item h="1" m="1" x="62"/>
        <item h="1" m="1" x="65"/>
        <item h="1" x="35"/>
        <item h="1" m="1" x="53"/>
        <item h="1" m="1" x="74"/>
        <item h="1" m="1" x="75"/>
        <item h="1" x="14"/>
        <item h="1" m="1" x="40"/>
        <item h="1" x="11"/>
        <item h="1" m="1" x="48"/>
        <item h="1" x="6"/>
        <item h="1" m="1" x="59"/>
        <item h="1" x="24"/>
        <item h="1" m="1" x="61"/>
        <item h="1" m="1" x="42"/>
        <item h="1" x="30"/>
        <item h="1" m="1" x="37"/>
        <item h="1" x="16"/>
        <item h="1" m="1" x="41"/>
        <item h="1" m="1" x="43"/>
        <item h="1" m="1" x="44"/>
        <item h="1" m="1" x="45"/>
        <item h="1" x="9"/>
        <item h="1" x="17"/>
        <item h="1" x="18"/>
        <item h="1" x="19"/>
        <item h="1" x="22"/>
        <item h="1" x="23"/>
        <item h="1" x="28"/>
        <item h="1" x="29"/>
        <item h="1" x="31"/>
        <item h="1" x="34"/>
      </items>
    </pivotField>
    <pivotField axis="axisRow" compact="0" outline="0" showAll="0" defaultSubtotal="0">
      <items count="207">
        <item m="1" x="66"/>
        <item m="1" x="206"/>
        <item x="36"/>
        <item m="1" x="90"/>
        <item x="20"/>
        <item m="1" x="196"/>
        <item x="21"/>
        <item m="1" x="198"/>
        <item m="1" x="167"/>
        <item m="1" x="195"/>
        <item m="1" x="194"/>
        <item m="1" x="145"/>
        <item m="1" x="178"/>
        <item m="1" x="152"/>
        <item m="1" x="202"/>
        <item m="1" x="203"/>
        <item m="1" x="50"/>
        <item x="26"/>
        <item m="1" x="91"/>
        <item m="1" x="186"/>
        <item m="1" x="129"/>
        <item m="1" x="192"/>
        <item m="1" x="184"/>
        <item m="1" x="204"/>
        <item m="1" x="205"/>
        <item m="1" x="193"/>
        <item m="1" x="197"/>
        <item m="1" x="189"/>
        <item m="1" x="112"/>
        <item m="1" x="199"/>
        <item m="1" x="200"/>
        <item m="1" x="201"/>
        <item m="1" x="180"/>
        <item m="1" x="159"/>
        <item m="1" x="106"/>
        <item m="1" x="191"/>
        <item x="1"/>
        <item m="1" x="187"/>
        <item x="0"/>
        <item m="1" x="137"/>
        <item x="7"/>
        <item x="10"/>
        <item x="33"/>
        <item m="1" x="168"/>
        <item m="1" x="162"/>
        <item m="1" x="99"/>
        <item m="1" x="181"/>
        <item m="1" x="73"/>
        <item m="1" x="74"/>
        <item m="1" x="156"/>
        <item m="1" x="153"/>
        <item m="1" x="185"/>
        <item m="1" x="188"/>
        <item m="1" x="190"/>
        <item m="1" x="131"/>
        <item m="1" x="46"/>
        <item m="1" x="173"/>
        <item m="1" x="123"/>
        <item x="32"/>
        <item m="1" x="179"/>
        <item m="1" x="182"/>
        <item m="1" x="183"/>
        <item m="1" x="76"/>
        <item m="1" x="174"/>
        <item m="1" x="169"/>
        <item m="1" x="128"/>
        <item m="1" x="175"/>
        <item m="1" x="172"/>
        <item m="1" x="130"/>
        <item x="15"/>
        <item m="1" x="176"/>
        <item x="2"/>
        <item m="1" x="163"/>
        <item m="1" x="177"/>
        <item m="1" x="122"/>
        <item m="1" x="149"/>
        <item m="1" x="101"/>
        <item m="1" x="133"/>
        <item m="1" x="170"/>
        <item m="1" x="171"/>
        <item m="1" x="115"/>
        <item m="1" x="75"/>
        <item m="1" x="92"/>
        <item m="1" x="148"/>
        <item m="1" x="154"/>
        <item m="1" x="150"/>
        <item m="1" x="155"/>
        <item m="1" x="121"/>
        <item m="1" x="157"/>
        <item m="1" x="158"/>
        <item m="1" x="166"/>
        <item m="1" x="135"/>
        <item m="1" x="165"/>
        <item m="1" x="161"/>
        <item m="1" x="160"/>
        <item m="1" x="117"/>
        <item m="1" x="164"/>
        <item m="1" x="48"/>
        <item m="1" x="143"/>
        <item m="1" x="144"/>
        <item m="1" x="58"/>
        <item m="1" x="107"/>
        <item m="1" x="151"/>
        <item m="1" x="116"/>
        <item m="1" x="93"/>
        <item m="1" x="140"/>
        <item m="1" x="141"/>
        <item m="1" x="142"/>
        <item m="1" x="103"/>
        <item m="1" x="54"/>
        <item m="1" x="139"/>
        <item m="1" x="132"/>
        <item m="1" x="118"/>
        <item m="1" x="147"/>
        <item m="1" x="146"/>
        <item m="1" x="124"/>
        <item m="1" x="125"/>
        <item m="1" x="126"/>
        <item m="1" x="127"/>
        <item x="25"/>
        <item m="1" x="105"/>
        <item m="1" x="87"/>
        <item m="1" x="134"/>
        <item m="1" x="136"/>
        <item m="1" x="71"/>
        <item m="1" x="138"/>
        <item m="1" x="108"/>
        <item m="1" x="102"/>
        <item m="1" x="51"/>
        <item x="13"/>
        <item x="12"/>
        <item m="1" x="104"/>
        <item x="4"/>
        <item m="1" x="38"/>
        <item m="1" x="70"/>
        <item x="27"/>
        <item m="1" x="53"/>
        <item m="1" x="95"/>
        <item m="1" x="109"/>
        <item m="1" x="110"/>
        <item m="1" x="120"/>
        <item m="1" x="111"/>
        <item m="1" x="56"/>
        <item m="1" x="113"/>
        <item m="1" x="114"/>
        <item m="1" x="77"/>
        <item m="1" x="97"/>
        <item m="1" x="98"/>
        <item m="1" x="119"/>
        <item x="5"/>
        <item m="1" x="94"/>
        <item m="1" x="81"/>
        <item m="1" x="83"/>
        <item m="1" x="96"/>
        <item m="1" x="100"/>
        <item m="1" x="57"/>
        <item m="1" x="60"/>
        <item m="1" x="88"/>
        <item m="1" x="89"/>
        <item x="3"/>
        <item m="1" x="86"/>
        <item x="8"/>
        <item m="1" x="59"/>
        <item m="1" x="82"/>
        <item m="1" x="39"/>
        <item m="1" x="69"/>
        <item m="1" x="62"/>
        <item m="1" x="84"/>
        <item m="1" x="85"/>
        <item m="1" x="67"/>
        <item m="1" x="72"/>
        <item m="1" x="79"/>
        <item m="1" x="68"/>
        <item x="35"/>
        <item m="1" x="55"/>
        <item m="1" x="78"/>
        <item m="1" x="80"/>
        <item x="14"/>
        <item m="1" x="40"/>
        <item x="11"/>
        <item m="1" x="49"/>
        <item x="6"/>
        <item m="1" x="61"/>
        <item m="1" x="52"/>
        <item m="1" x="63"/>
        <item m="1" x="64"/>
        <item m="1" x="65"/>
        <item m="1" x="42"/>
        <item x="30"/>
        <item m="1" x="37"/>
        <item x="16"/>
        <item m="1" x="41"/>
        <item m="1" x="43"/>
        <item m="1" x="44"/>
        <item m="1" x="45"/>
        <item x="24"/>
        <item m="1" x="47"/>
        <item x="9"/>
        <item x="17"/>
        <item x="18"/>
        <item x="19"/>
        <item x="22"/>
        <item x="23"/>
        <item x="28"/>
        <item x="29"/>
        <item x="31"/>
        <item x="34"/>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s>
  <rowFields count="2">
    <field x="2"/>
    <field x="3"/>
  </rowFields>
  <rowItems count="1">
    <i t="grand">
      <x/>
    </i>
  </rowItems>
  <colItems count="1">
    <i/>
  </colItems>
  <dataFields count="1">
    <dataField name=" السلفه " fld="7" baseField="0" baseItem="0"/>
  </dataFields>
  <formats count="3">
    <format dxfId="38">
      <pivotArea field="2" type="button" dataOnly="0" labelOnly="1" outline="0" axis="axisRow" fieldPosition="0"/>
    </format>
    <format dxfId="37">
      <pivotArea field="3" type="button" dataOnly="0" labelOnly="1" outline="0" axis="axisRow" fieldPosition="1"/>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شهر" xr10:uid="{04E0E6EA-CBDE-4A7B-B109-296589D8FC3D}" sourceName="الشهر ">
  <extLst>
    <x:ext xmlns:x15="http://schemas.microsoft.com/office/spreadsheetml/2010/11/main" uri="{2F2917AC-EB37-4324-AD4E-5DD8C200BD13}">
      <x15:tableSlicerCache tableId="2" column="1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شهر1" xr10:uid="{45B514A6-E2DA-4FAC-B651-523B8F49928C}" sourceName="الشهر ">
  <extLst>
    <x:ext xmlns:x15="http://schemas.microsoft.com/office/spreadsheetml/2010/11/main" uri="{2F2917AC-EB37-4324-AD4E-5DD8C200BD13}">
      <x15:tableSlicerCache tableId="3" column="1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شهر2" xr10:uid="{FF0C3CDC-AECE-408A-BE88-C1DE578FCA3A}" sourceName="الشهر ">
  <extLst>
    <x:ext xmlns:x15="http://schemas.microsoft.com/office/spreadsheetml/2010/11/main" uri="{2F2917AC-EB37-4324-AD4E-5DD8C200BD13}">
      <x15:tableSlicerCache tableId="12" column="10"/>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شهر3" xr10:uid="{4770D7CD-C1FE-4CF2-A19F-A00050545687}" sourceName="الشهر ">
  <extLst>
    <x:ext xmlns:x15="http://schemas.microsoft.com/office/spreadsheetml/2010/11/main" uri="{2F2917AC-EB37-4324-AD4E-5DD8C200BD13}">
      <x15:tableSlicerCache tableId="15" column="10"/>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شهر321" xr10:uid="{A2768DCB-AE48-4F2B-A512-6F1B8AAA318A}" sourceName="الشهر ">
  <extLst>
    <x:ext xmlns:x15="http://schemas.microsoft.com/office/spreadsheetml/2010/11/main" uri="{2F2917AC-EB37-4324-AD4E-5DD8C200BD13}">
      <x15:tableSlicerCache tableId="1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ر " xr10:uid="{01187FD5-8E48-4E68-99D8-72DD89CC2E39}" cache="Slicer_الشهر" caption="الشهر " columnCount="11"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ر  1" xr10:uid="{399B073A-D06C-46AC-AE63-D67CF95DEB4B}" cache="Slicer_الشهر1" caption="الشهر " columnCount="11" rowHeight="36576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ر  3" xr10:uid="{572F84E9-54F6-49B9-9534-D1D1C43931E0}" cache="Slicer_الشهر3" caption="الشهر " columnCount="11" rowHeight="36576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ر  6" xr10:uid="{3FAEC6C6-7AAB-427F-9325-4B39407A87E2}" cache="Slicer_الشهر321" caption="الشهر " columnCount="11" rowHeight="36576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ر  2" xr10:uid="{E598C4F4-F2EE-4FD0-A296-DFA6E1F40C0E}" cache="Slicer_الشهر2" caption="الشهر " columnCount="1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225C9AC-53B2-4C9A-9FDD-09CE26381807}" name="Table9" displayName="Table9" ref="A13:E69" totalsRowCount="1" headerRowDxfId="272" dataDxfId="271">
  <autoFilter ref="A13:E68" xr:uid="{B225C9AC-53B2-4C9A-9FDD-09CE26381807}"/>
  <tableColumns count="5">
    <tableColumn id="1" xr3:uid="{F14053FD-BEB0-4464-BD37-9BB2E15DCACB}" name="المصروفات الشهريه" totalsRowLabel="Total" dataDxfId="270" totalsRowDxfId="269"/>
    <tableColumn id="2" xr3:uid="{F53D4C57-FF98-4067-A917-81B232F63F35}" name="المبلغ" totalsRowFunction="sum" dataDxfId="268" totalsRowDxfId="267" dataCellStyle="Comma"/>
    <tableColumn id="3" xr3:uid="{8EC56602-496E-49AE-92F6-C13C2A66D5F2}" name="المدفوع" totalsRowFunction="sum" dataDxfId="266" totalsRowDxfId="265" dataCellStyle="Comma"/>
    <tableColumn id="4" xr3:uid="{400FA90C-567E-4422-A92E-35648D2B660A}" name="الباقي " totalsRowFunction="sum" dataDxfId="264" totalsRowDxfId="263" dataCellStyle="Comma">
      <calculatedColumnFormula>Table9[[#This Row],[المبلغ]]-Table9[[#This Row],[المدفوع]]</calculatedColumnFormula>
    </tableColumn>
    <tableColumn id="5" xr3:uid="{1C08661A-E8E5-4073-8251-A5DAB528180D}" name="ملاحظات " dataDxfId="262" totalsRowDxfId="261" dataCellStyle="Comma"/>
  </tableColumns>
  <tableStyleInfo name="TableStyleLight8" showFirstColumn="0"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A962-8718-4C80-BA1F-E70C3C7B53A2}" name="Table8" displayName="Table8" ref="A3:U151" totalsRowCount="1" headerRowDxfId="260" dataDxfId="259" totalsRowDxfId="257" tableBorderDxfId="258" dataCellStyle="Comma 2 2">
  <autoFilter ref="A3:U150" xr:uid="{FCD2A962-8718-4C80-BA1F-E70C3C7B53A2}"/>
  <tableColumns count="21">
    <tableColumn id="1" xr3:uid="{03A3B761-E620-43B9-9337-906D031135AB}" name="العميل " totalsRowLabel="Total" dataDxfId="256" totalsRowDxfId="255" dataCellStyle="Comma 2 2"/>
    <tableColumn id="2" xr3:uid="{C91E7B86-63E6-4F19-9B60-B977495FB6EC}" name="الشهر " dataDxfId="254" totalsRowDxfId="253" dataCellStyle="Comma 2 2"/>
    <tableColumn id="3" xr3:uid="{A6195F44-6B69-45B7-B365-413C6DA36BBC}" name="تاريخ اصدار الفاتورة " dataDxfId="252" totalsRowDxfId="251" dataCellStyle="Comma 2 2"/>
    <tableColumn id="4" xr3:uid="{63276CA5-FE29-421E-AA1A-D98555805AEC}" name="الاجمالي بالضريبه 14%" totalsRowFunction="sum" dataDxfId="250" totalsRowDxfId="249" dataCellStyle="Comma 2 2"/>
    <tableColumn id="5" xr3:uid="{EF8DC55C-733E-43F7-A195-6304986AA1CC}" name="الاجمالي بدون الضريبه14%" totalsRowFunction="sum" dataDxfId="248" totalsRowDxfId="247" dataCellStyle="Comma 2 2">
      <calculatedColumnFormula>D4/1.14</calculatedColumnFormula>
    </tableColumn>
    <tableColumn id="21" xr3:uid="{DF3A1A45-050E-4715-89C7-CB7A6D30F499}" name="القاهرة " dataDxfId="246" totalsRowDxfId="245" dataCellStyle="Comma 2 2"/>
    <tableColumn id="22" xr3:uid="{516A683F-C193-4B13-B64D-A4D091FD1DA2}" name="المنصورة " dataDxfId="244" totalsRowDxfId="243" dataCellStyle="Comma 2 2"/>
    <tableColumn id="23" xr3:uid="{E2865ADA-0C35-464F-B830-C9BD0EC8E3DF}" name="القانونيه " dataDxfId="242" totalsRowDxfId="241" dataCellStyle="Comma 2 2"/>
    <tableColumn id="20" xr3:uid="{3684FA7C-58ED-45B5-BC8D-47F977466AE3}" name="اخري " dataDxfId="240" totalsRowDxfId="239" dataCellStyle="Comma 2 2">
      <calculatedColumnFormula>Table8[[#This Row],[الاجمالي بدون الضريبه14%]]-Table8[[#This Row],[القاهرة ]]-Table8[[#This Row],[المنصورة ]]-Table8[[#This Row],[القانونيه ]]</calculatedColumnFormula>
    </tableColumn>
    <tableColumn id="6" xr3:uid="{1B96416D-92DC-417D-947F-E635930B06DC}" name="14%" totalsRowFunction="sum" dataDxfId="238" totalsRowDxfId="237" dataCellStyle="Comma 2 2">
      <calculatedColumnFormula>D4-E4</calculatedColumnFormula>
    </tableColumn>
    <tableColumn id="7" xr3:uid="{77314527-08F5-47BA-A4B0-22526A21BFCD}" name="3%" totalsRowFunction="sum" dataDxfId="236" totalsRowDxfId="235" dataCellStyle="Comma 2 2">
      <calculatedColumnFormula>E4*$K$3</calculatedColumnFormula>
    </tableColumn>
    <tableColumn id="8" xr3:uid="{D8B18E5A-B04B-47BD-ACE6-85B95AB0C07A}" name="المطلوب تحويله " totalsRowFunction="sum" dataDxfId="234" totalsRowDxfId="233" dataCellStyle="Comma 2 2">
      <calculatedColumnFormula>D4-K4</calculatedColumnFormula>
    </tableColumn>
    <tableColumn id="9" xr3:uid="{6F1CCF43-6029-46B8-AA79-8D6F9975983D}" name="المبلغ المسدد" totalsRowFunction="sum" dataDxfId="232" totalsRowDxfId="231" dataCellStyle="Comma 2 2"/>
    <tableColumn id="10" xr3:uid="{918AD6C2-C9A3-4A5B-8F98-E7F124FD4A5F}" name="مصروفات " totalsRowFunction="sum" dataDxfId="230" totalsRowDxfId="229" dataCellStyle="Comma 2 2"/>
    <tableColumn id="11" xr3:uid="{8490E98D-650D-4467-90BC-4B4C48105146}" name="المستحق " totalsRowFunction="sum" dataDxfId="228" totalsRowDxfId="227" dataCellStyle="Comma 2 2">
      <calculatedColumnFormula>M4-L4-N4</calculatedColumnFormula>
    </tableColumn>
    <tableColumn id="12" xr3:uid="{44C2D1EB-8E9D-4A63-AC49-2AAF8D1C25E5}" name="تاريخ الاستحقاق" dataDxfId="226" totalsRowDxfId="225" dataCellStyle="Comma 2 2"/>
    <tableColumn id="16" xr3:uid="{5C26591B-BB7F-4B8B-AD3D-201D2F602843}" name="payment term" dataDxfId="224" totalsRowDxfId="223" dataCellStyle="Comma 2 2">
      <calculatedColumnFormula>IFERROR((Table8[[#This Row],[تاريخ الاستحقاق]]-Table8[[#This Row],[تاريخ اصدار الفاتورة ]]),0)</calculatedColumnFormula>
    </tableColumn>
    <tableColumn id="17" xr3:uid="{67AB386A-4C5D-406D-BABD-9AEDC916340D}" name="الاستحقاق" dataDxfId="222" totalsRowDxfId="221" dataCellStyle="Comma 2 2">
      <calculatedColumnFormula>IF(Table8[[#This Row],[تاريخ الاستحقاق]]&lt;$S$1,"مستحق","غير مستحق")</calculatedColumnFormula>
    </tableColumn>
    <tableColumn id="14" xr3:uid="{2EA997DF-3439-4D62-B3A5-FC1EC5653F41}" name="التاخير " dataDxfId="220" totalsRowDxfId="219" dataCellStyle="Comma 2 2">
      <calculatedColumnFormula>Table8[[#This Row],[تاريخ الاستحقاق]]-$S$1</calculatedColumnFormula>
    </tableColumn>
    <tableColumn id="13" xr3:uid="{30F27BD5-BF38-4AB5-A89C-3CF1009532CE}" name="تاريخ السداد" dataDxfId="218" totalsRowDxfId="217" dataCellStyle="Comma 2 2"/>
    <tableColumn id="15" xr3:uid="{D9A84AD0-B86E-4680-BD10-730CFA794958}" name="الايراد الفعلي -14%" dataDxfId="216" totalsRowDxfId="215" dataCellStyle="Comma 2 2">
      <calculatedColumnFormula>Table8[[#This Row],[المبلغ المسدد]]/1.14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0EB7F0-3435-478C-8E13-1DEA05BCB1DE}" name="Table1" displayName="Table1" ref="A2:S534" totalsRowShown="0" headerRowDxfId="214" dataDxfId="213" totalsRowDxfId="212">
  <autoFilter ref="A2:S534" xr:uid="{100EB7F0-3435-478C-8E13-1DEA05BCB1DE}"/>
  <tableColumns count="19">
    <tableColumn id="1" xr3:uid="{D851A9FD-A9D3-46E3-811C-4BF056D4D858}" name="التاريخ " dataDxfId="211"/>
    <tableColumn id="17" xr3:uid="{1E99DC71-2A5B-4213-B10E-CEED974B3114}" name="اليوم" dataDxfId="210">
      <calculatedColumnFormula>TEXT(Table1[[#This Row],[التاريخ ]],"DDD")</calculatedColumnFormula>
    </tableColumn>
    <tableColumn id="2" xr3:uid="{1F6ED010-78EC-4BCD-9589-A6968D4555A6}" name="الشهر " dataDxfId="209">
      <calculatedColumnFormula>TEXT(Table1[[#This Row],[التاريخ ]],"mmmm")</calculatedColumnFormula>
    </tableColumn>
    <tableColumn id="3" xr3:uid="{6F572030-E804-4B44-BE13-D5AD466D7A5E}" name="البيان " dataDxfId="208"/>
    <tableColumn id="4" xr3:uid="{3EFED6E0-0A74-4B08-9621-0E9738A22748}" name="اسم الشركه المنصرف لها" dataDxfId="207"/>
    <tableColumn id="16" xr3:uid="{B05EE188-372C-45FE-877A-4857FBFAEE6B}" name="رقم الفاتورة " dataDxfId="206"/>
    <tableColumn id="5" xr3:uid="{AB0ED51D-2A45-4DE3-B3A8-9C100AB803C1}" name="كود موظف" dataDxfId="205"/>
    <tableColumn id="14" xr3:uid="{5007B175-4806-40BE-A236-C52B7E155261}" name="اسم الموظف المنصرف له " dataDxfId="204">
      <calculatedColumnFormula>VLOOKUP(G:G,'قاعدة بيانات  '!K:L,2,0)</calculatedColumnFormula>
    </tableColumn>
    <tableColumn id="6" xr3:uid="{FAEFB6C3-543C-44E3-B2D5-EE30CA061D87}" name="القسم " dataDxfId="203"/>
    <tableColumn id="7" xr3:uid="{1FAE18FC-D862-4421-BDD3-76D70832672F}" name="الفرع" dataDxfId="202"/>
    <tableColumn id="8" xr3:uid="{421413D7-487C-45E8-B065-98B2786C206B}" name="نوع المصروف " dataDxfId="201"/>
    <tableColumn id="9" xr3:uid="{D5EC22FB-A408-4445-B63C-392605FD379E}" name="رقم إيصال الصرف" dataDxfId="200"/>
    <tableColumn id="15" xr3:uid="{33ECD8D4-B6A5-4C9A-92B6-B4801027570C}" name="رقم إيصال استلام " dataDxfId="199"/>
    <tableColumn id="18" xr3:uid="{72E16C5B-5960-4E16-9D06-FEB853A91BA8}" name="اعتماد" dataDxfId="198"/>
    <tableColumn id="10" xr3:uid="{67451E86-5F47-412A-A835-A3B49FAA36AE}" name="ملاحظات " dataDxfId="197"/>
    <tableColumn id="11" xr3:uid="{B795AF7F-B825-45EC-B570-D6CED628946D}" name="الوارد " dataDxfId="196" dataCellStyle="Comma"/>
    <tableColumn id="12" xr3:uid="{71A579F6-656C-46C4-A605-665345DDDA10}" name="المنصرف " dataDxfId="195" dataCellStyle="Comma"/>
    <tableColumn id="13" xr3:uid="{D7FF673D-59FF-4A56-BD09-DD087B855874}" name="الرصيد " dataDxfId="194" dataCellStyle="Comma">
      <calculatedColumnFormula>Table1[[#This Row],[الوارد ]]-Table1[[#This Row],[المنصرف ]]+R2</calculatedColumnFormula>
    </tableColumn>
    <tableColumn id="19" xr3:uid="{26CF2182-C228-477E-8E67-7926145FD003}" name="Column1" dataDxfId="193" totalsRowDxfId="192"/>
  </tableColumns>
  <tableStyleInfo name="TableStyleLight9"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AF5742-F0FA-4E74-90A6-B3BFD1961B40}" name="Table3" displayName="Table3" ref="A3:K666" totalsRowCount="1" headerRowDxfId="191" dataDxfId="189" headerRowBorderDxfId="190">
  <autoFilter ref="A3:K665" xr:uid="{36FB12E7-00CE-4954-BD76-28544C8C5B72}"/>
  <tableColumns count="11">
    <tableColumn id="1" xr3:uid="{E41E3FDC-0C6C-462E-8165-194BF4FB554F}" name="Balance" dataDxfId="188" totalsRowDxfId="187" dataCellStyle="Comma">
      <calculatedColumnFormula>A3+B4-C4</calculatedColumnFormula>
    </tableColumn>
    <tableColumn id="2" xr3:uid="{03DB6CAA-019A-4A22-88C1-B86D398CBA6C}" name="Credit" dataDxfId="186" totalsRowDxfId="185" dataCellStyle="Comma"/>
    <tableColumn id="3" xr3:uid="{49423582-FEBF-4581-88C8-B5CFE7409C7F}" name="Debit" dataDxfId="184" totalsRowDxfId="183" dataCellStyle="Comma"/>
    <tableColumn id="4" xr3:uid="{F8195ADD-0427-4AA6-83DF-5A421361C430}" name="Date" dataDxfId="182" totalsRowDxfId="181"/>
    <tableColumn id="5" xr3:uid="{2F44BAEA-ED1F-4F8F-BC88-ED01C24E9F8C}" name="Posted Date" dataDxfId="180" totalsRowDxfId="179"/>
    <tableColumn id="6" xr3:uid="{26150DAB-A611-4083-A773-2F185B48D15C}" name="Value Date" dataDxfId="178" totalsRowDxfId="177"/>
    <tableColumn id="7" xr3:uid="{5C45516A-1F8D-4637-91E5-5EE878BBFAB2}" name="Description" dataDxfId="176" totalsRowDxfId="175"/>
    <tableColumn id="10" xr3:uid="{0FE9C127-E722-4749-BBD7-0002F6D7F8DB}" name="الشهر " dataDxfId="174" totalsRowDxfId="173">
      <calculatedColumnFormula>TEXT(Table3[[#This Row],[Value Date]],"mmmm")</calculatedColumnFormula>
    </tableColumn>
    <tableColumn id="9" xr3:uid="{2A571494-174E-458C-A947-7B48918DD73E}" name="النوع " dataDxfId="172" totalsRowDxfId="171"/>
    <tableColumn id="8" xr3:uid="{0BADD4B4-BED9-4817-B4A1-862F89EF7906}" name="الفرع" dataDxfId="170" totalsRowDxfId="169"/>
    <tableColumn id="11" xr3:uid="{0B478944-1081-4C0C-AAEE-D6375A33158B}" name="Column1" dataDxfId="168" totalsRowDxfId="167"/>
  </tableColumns>
  <tableStyleInfo name="TableStyleMedium9"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3A9B59-A85B-4A04-AD84-28EBFFE7E921}" name="Table4" displayName="Table4" ref="A2:K66" totalsRowShown="0" headerRowDxfId="138" dataDxfId="137" tableBorderDxfId="136">
  <autoFilter ref="A2:K66" xr:uid="{3D3A9B59-A85B-4A04-AD84-28EBFFE7E921}"/>
  <tableColumns count="11">
    <tableColumn id="1" xr3:uid="{27399C83-3105-4DA9-8F61-91221A7071D2}" name="التاريخ " dataDxfId="135"/>
    <tableColumn id="2" xr3:uid="{97AFCA6E-6CCC-4A20-AE76-9D734A8A1FD3}" name="الشهر " dataDxfId="134">
      <calculatedColumnFormula>TEXT(Table4[[#This Row],[التاريخ ]],"mmm")</calculatedColumnFormula>
    </tableColumn>
    <tableColumn id="3" xr3:uid="{18C07B32-D929-4C78-BA15-41590AE46762}" name="الكود" dataDxfId="133"/>
    <tableColumn id="4" xr3:uid="{9B3D60B8-0F6F-4DAA-BE82-4DFAA0353655}" name="اسم الموظف" dataDxfId="132">
      <calculatedColumnFormula>VLOOKUP(C:C,'[11]قاعدة بيانات  '!K:L,2,0)</calculatedColumnFormula>
    </tableColumn>
    <tableColumn id="5" xr3:uid="{6885361E-9D30-4F2F-8448-30F712B8518C}" name="القسم " dataDxfId="131">
      <calculatedColumnFormula>VLOOKUP(C:C,'[11]قاعدة بيانات  '!K:P,4,0)</calculatedColumnFormula>
    </tableColumn>
    <tableColumn id="10" xr3:uid="{2A310151-B2A1-4C60-B8BD-61855F4F465C}" name="الفرع " dataDxfId="130">
      <calculatedColumnFormula>VLOOKUP(C:C,'[11]قاعدة بيانات  '!K:Q,5,0)</calculatedColumnFormula>
    </tableColumn>
    <tableColumn id="6" xr3:uid="{2C14A6E2-C212-48C1-83BF-4A7216F482DB}" name="سلفه / سداد" dataDxfId="129"/>
    <tableColumn id="7" xr3:uid="{B59CFFA0-12CB-451D-A0C4-1AA137681DC2}" name="السلفه " dataDxfId="128" dataCellStyle="Comma"/>
    <tableColumn id="8" xr3:uid="{0A90030F-0683-42AC-B380-85194A5FD183}" name="طريق السداد" dataDxfId="127"/>
    <tableColumn id="9" xr3:uid="{58902688-7CE6-4493-ADAB-F11B46216FDC}" name="ملاحظات " dataDxfId="126"/>
    <tableColumn id="11" xr3:uid="{B9C5CADE-AB46-4BBF-BE65-9E0390C68EA6}" name="Column1" dataDxfId="125"/>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B9C74D-5C8B-461E-B9CD-9D910674AF63}" name="Table47" displayName="Table47" ref="A2:M106" headerRowDxfId="124" dataDxfId="123" tableBorderDxfId="122">
  <autoFilter ref="A2:M106" xr:uid="{32B9C74D-5C8B-461E-B9CD-9D910674AF63}"/>
  <tableColumns count="13">
    <tableColumn id="1" xr3:uid="{CE7B29D1-1FD0-4147-9A33-C47D5A4017A0}" name="التاريخ " dataDxfId="121" totalsRowDxfId="120"/>
    <tableColumn id="2" xr3:uid="{B4DE3E8A-B846-467F-91F8-9882A1450BEA}" name="الشهر " dataDxfId="119" totalsRowDxfId="118">
      <calculatedColumnFormula>TEXT(Table47[[#This Row],[التاريخ ]],"mmm")</calculatedColumnFormula>
    </tableColumn>
    <tableColumn id="3" xr3:uid="{14551C59-EDDE-4704-87AA-8B990FC85D0F}" name="البيان " dataDxfId="117" totalsRowDxfId="116"/>
    <tableColumn id="4" xr3:uid="{51A2BC45-6B59-42AE-9473-5176E388528E}" name="المنصرف اليه " dataDxfId="115" totalsRowDxfId="114">
      <calculatedColumnFormula>IFERROR(VLOOKUP(E:E,'قاعدة بيانات  '!K:L,2,0),"")</calculatedColumnFormula>
    </tableColumn>
    <tableColumn id="5" xr3:uid="{BA4702EA-423A-4AAD-AC67-8967A4296F97}" name="رقم الفاتورة / كود موظف " dataDxfId="113" totalsRowDxfId="112"/>
    <tableColumn id="10" xr3:uid="{50892597-097A-47F4-9B69-C4251AF6A3F5}" name="القسم " dataDxfId="111" totalsRowDxfId="110"/>
    <tableColumn id="11" xr3:uid="{706306AE-5F53-440E-AC9D-BF41900FA02B}" name="التصنيف " dataDxfId="109" totalsRowDxfId="108"/>
    <tableColumn id="23" xr3:uid="{A37AB3C7-D98D-4D95-A3F1-99F8B5C23ED6}" name="نوع المصروف " dataDxfId="107" totalsRowDxfId="106"/>
    <tableColumn id="22" xr3:uid="{2305C771-E267-4A87-A065-650092AB53A4}" name="رقم إيصال الصرف/ استلام " dataDxfId="105" totalsRowDxfId="104"/>
    <tableColumn id="6" xr3:uid="{3476534B-FDF1-483B-A3D9-5492439EB5B4}" name="العهدة  / سداد" dataDxfId="103" totalsRowDxfId="102"/>
    <tableColumn id="7" xr3:uid="{BD7F0822-FD8A-435B-B3A3-82897AAD19C8}" name="العهدة " dataDxfId="101" totalsRowDxfId="100" dataCellStyle="Comma"/>
    <tableColumn id="9" xr3:uid="{8FE12FCB-C54A-4E2D-9B61-B55A51AF7768}" name="ملاحظات " dataDxfId="99" totalsRowDxfId="98"/>
    <tableColumn id="8" xr3:uid="{F3438997-306D-40C8-B6B9-8598774998E4}" name="Column1" dataDxfId="97" totalsRowDxfId="9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45B8AA-2144-4ACF-807C-568FF712A9C3}" name="Table34" displayName="Table34" ref="A3:L854" totalsRowShown="0" headerRowDxfId="95" dataDxfId="93" headerRowBorderDxfId="94">
  <autoFilter ref="A3:L854" xr:uid="{36FB12E7-00CE-4954-BD76-28544C8C5B72}"/>
  <tableColumns count="12">
    <tableColumn id="1" xr3:uid="{E5F4E84E-A7F2-46D6-BCD3-8E556FE7E8C8}" name="Balance" dataDxfId="92" dataCellStyle="Comma">
      <calculatedColumnFormula>A3+B4-C4</calculatedColumnFormula>
    </tableColumn>
    <tableColumn id="2" xr3:uid="{3ED2B49F-DC98-4659-B8AB-D9C926652885}" name="Credit" dataDxfId="91" dataCellStyle="Comma"/>
    <tableColumn id="3" xr3:uid="{4E258E1D-FA28-4CC8-8FE1-F2C8DBFCD9B9}" name="Debit" dataDxfId="90" dataCellStyle="Comma"/>
    <tableColumn id="4" xr3:uid="{01CF4A95-B433-4053-A4AD-C195BF96858B}" name="Date" dataDxfId="89"/>
    <tableColumn id="5" xr3:uid="{AAADA19F-27D8-4013-A572-FA4BFDF9E8FB}" name="Posted Date" dataDxfId="88"/>
    <tableColumn id="6" xr3:uid="{39FCC0E9-3622-4680-85E5-E5FF46FA3EE9}" name="Value Date" dataDxfId="87"/>
    <tableColumn id="7" xr3:uid="{6A7EB019-7381-41D9-BD88-48C5061C3D88}" name="Description" dataDxfId="86"/>
    <tableColumn id="10" xr3:uid="{1A8FC989-7629-4FBA-B340-6C679C5956FA}" name="الشهر " dataDxfId="85">
      <calculatedColumnFormula>TEXT(Table34[[#This Row],[Value Date]],"mmmm")</calculatedColumnFormula>
    </tableColumn>
    <tableColumn id="9" xr3:uid="{22F70461-1E28-4F70-B852-AFBC1436B11C}" name="النوع " dataDxfId="84"/>
    <tableColumn id="8" xr3:uid="{75678343-122C-46BE-B9CA-6C4BE18974CB}" name="الفرع" dataDxfId="83"/>
    <tableColumn id="11" xr3:uid="{2828FAE7-A80B-487B-A907-5445D3EAA372}" name="Column1" dataDxfId="82"/>
    <tableColumn id="12" xr3:uid="{58EB27C7-F322-4D26-A45C-FFF2071EA918}" name="Column2" dataDxfId="81"/>
  </tableColumns>
  <tableStyleInfo name="TableStyleMedium9"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8F51964-0587-43AB-AFC0-1DE8485B24A5}" name="Table316" displayName="Table316" ref="A3:K439" totalsRowShown="0" headerRowDxfId="80" dataDxfId="78" headerRowBorderDxfId="79">
  <autoFilter ref="A3:K439" xr:uid="{36FB12E7-00CE-4954-BD76-28544C8C5B72}"/>
  <tableColumns count="11">
    <tableColumn id="1" xr3:uid="{1C71BE28-1F30-4C11-BC26-7677E6E625F4}" name="Balance" dataDxfId="77" dataCellStyle="Comma">
      <calculatedColumnFormula>A3+B4-C4</calculatedColumnFormula>
    </tableColumn>
    <tableColumn id="2" xr3:uid="{4830ACA1-7B58-4058-8B4D-C4587392DC2B}" name="Credit" dataDxfId="76" dataCellStyle="Comma"/>
    <tableColumn id="3" xr3:uid="{91E1ABC4-C5C3-4AF2-A352-993383F8E4DB}" name="Debit" dataDxfId="75" dataCellStyle="Comma"/>
    <tableColumn id="4" xr3:uid="{6B072852-BAD5-4EC4-870A-AA55763CD8C5}" name="Date" dataDxfId="74"/>
    <tableColumn id="5" xr3:uid="{AF01AB9D-9B4C-4C6F-8B70-230B5D5F58E1}" name="Posted Date" dataDxfId="73"/>
    <tableColumn id="6" xr3:uid="{6F202787-7EB6-4A81-9E84-96DDD9BD9C6A}" name="Value Date" dataDxfId="72"/>
    <tableColumn id="7" xr3:uid="{FADDA9AF-3A6C-4B97-977B-FDA3F85A0104}" name="Description" dataDxfId="71"/>
    <tableColumn id="10" xr3:uid="{936687A1-8649-4172-8E70-21D2B4418C16}" name="الشهر " dataDxfId="70">
      <calculatedColumnFormula>TEXT(Table316[[#This Row],[Value Date]],"mmmm")</calculatedColumnFormula>
    </tableColumn>
    <tableColumn id="9" xr3:uid="{F4097EEC-4E25-4733-8630-4EA833AF05D5}" name="النوع " dataDxfId="69"/>
    <tableColumn id="8" xr3:uid="{E8DD62E9-1861-4D0E-AA0C-B16EBE3ECF01}" name="الفرع" dataDxfId="68"/>
    <tableColumn id="11" xr3:uid="{3C7C9755-0BB3-41C4-9B80-6000736727D6}" name="Column1" dataDxfId="67"/>
  </tableColumns>
  <tableStyleInfo name="TableStyleMedium9"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A8C43C8-168B-4D40-8CF1-4DE47E1699BA}" name="Table3161412" displayName="Table3161412" ref="A3:K439" totalsRowShown="0" headerRowDxfId="66" dataDxfId="64" headerRowBorderDxfId="65">
  <autoFilter ref="A3:K439" xr:uid="{2A8C43C8-168B-4D40-8CF1-4DE47E1699BA}"/>
  <tableColumns count="11">
    <tableColumn id="1" xr3:uid="{982422B1-130E-4C75-969E-62C4B1C79EA4}" name="Balance" dataDxfId="63" dataCellStyle="Comma">
      <calculatedColumnFormula>A3+B4-C4</calculatedColumnFormula>
    </tableColumn>
    <tableColumn id="2" xr3:uid="{04854087-71B4-4517-AC56-F3FEF897AF2D}" name="Credit" dataDxfId="62" dataCellStyle="Comma"/>
    <tableColumn id="3" xr3:uid="{F6AC409A-CC41-4E40-B951-44ACD20C4E5E}" name="Debit" dataDxfId="61" dataCellStyle="Comma"/>
    <tableColumn id="4" xr3:uid="{31EC7E7D-1D6C-471C-AB83-D0495B6905DA}" name="Date" dataDxfId="60"/>
    <tableColumn id="5" xr3:uid="{40E7521D-366F-4B3F-87E0-8E48329EDF81}" name="Posted Date" dataDxfId="59"/>
    <tableColumn id="6" xr3:uid="{85103DA5-2D29-48B2-8EF2-021C65155AAA}" name="Value Date" dataDxfId="58"/>
    <tableColumn id="7" xr3:uid="{DC24AD13-A0E8-42EC-B26A-6E54B4936AB9}" name="Description" dataDxfId="57"/>
    <tableColumn id="10" xr3:uid="{575BC307-986F-48B8-A6E5-125CDC76E564}" name="الشهر " dataDxfId="56">
      <calculatedColumnFormula>TEXT(Table3161412[[#This Row],[Value Date]],"mmmm")</calculatedColumnFormula>
    </tableColumn>
    <tableColumn id="9" xr3:uid="{B1695567-EB4F-41B5-8078-7FF1CDC6133E}" name="النوع " dataDxfId="55"/>
    <tableColumn id="8" xr3:uid="{50AAC379-D8B0-4ED8-B2F2-27AFCBA4E563}" name="الفرع" dataDxfId="54"/>
    <tableColumn id="11" xr3:uid="{2E09C483-8108-43AB-9D68-9D97101AE68F}" name="Column1" dataDxfId="53"/>
  </tableColumns>
  <tableStyleInfo name="TableStyleMedium9"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7F5C311-8B96-40AF-9335-8F29B05F881F}" name="Table313" displayName="Table313" ref="A3:K856" totalsRowShown="0" headerRowDxfId="52" dataDxfId="50" headerRowBorderDxfId="51">
  <autoFilter ref="A3:K856" xr:uid="{36FB12E7-00CE-4954-BD76-28544C8C5B72}"/>
  <tableColumns count="11">
    <tableColumn id="1" xr3:uid="{5F1524B2-56EF-46BA-B173-4CF1936262DE}" name="Balance" dataDxfId="49" dataCellStyle="Comma">
      <calculatedColumnFormula>A3+B4-C4</calculatedColumnFormula>
    </tableColumn>
    <tableColumn id="2" xr3:uid="{1592DC36-FB6B-4E9A-B7A3-87A882940676}" name="Credit" dataDxfId="48" dataCellStyle="Comma"/>
    <tableColumn id="3" xr3:uid="{04AF2EF0-4937-4255-9396-2BAD1586F20A}" name="Debit" dataDxfId="47" dataCellStyle="Comma"/>
    <tableColumn id="4" xr3:uid="{2DF43FDC-1872-402D-A3B3-62E283EC5EEE}" name="Date" dataDxfId="46"/>
    <tableColumn id="5" xr3:uid="{673CAAB1-510F-4852-85AA-A6CB8A51809C}" name="Posted Date" dataDxfId="45"/>
    <tableColumn id="6" xr3:uid="{B0E658D9-8267-4F8A-9AD4-2DD4B7162745}" name="Value Date" dataDxfId="44"/>
    <tableColumn id="7" xr3:uid="{CF92AA3F-1EE1-4794-B84C-59F96806DD3F}" name="Description" dataDxfId="43"/>
    <tableColumn id="10" xr3:uid="{28BB22B8-0630-4B60-861E-1DA8686867F4}" name="الشهر " dataDxfId="42">
      <calculatedColumnFormula>TEXT(Table313[[#This Row],[Value Date]],"mmmm")</calculatedColumnFormula>
    </tableColumn>
    <tableColumn id="9" xr3:uid="{C042928D-BFC2-48EC-A2A8-2FE2EC1C69D6}" name="النوع " dataDxfId="41"/>
    <tableColumn id="8" xr3:uid="{26A3FEA6-7A63-4724-B71E-E737CB1CD9A7}" name="الفرع" dataDxfId="40"/>
    <tableColumn id="11" xr3:uid="{B8356081-958C-41E0-906F-8FBD7CA90885}" name="Column1" dataDxfId="39"/>
  </tableColumns>
  <tableStyleInfo name="TableStyleMedium9"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CEE9F8B-8EF2-4170-B981-DCBBBF56CE8C}" name="Table478" displayName="Table478" ref="A2:L18" totalsRowShown="0" headerRowDxfId="35" dataDxfId="34" tableBorderDxfId="33">
  <autoFilter ref="A2:L18" xr:uid="{3D3A9B59-A85B-4A04-AD84-28EBFFE7E921}"/>
  <tableColumns count="12">
    <tableColumn id="1" xr3:uid="{6C7A3F62-FBBA-4F15-94AC-8DA2E7DB5F2C}" name="التاريخ " dataDxfId="32"/>
    <tableColumn id="2" xr3:uid="{552BC12B-039F-4E0E-9E8E-DA9F6BA4D738}" name="الشهر " dataDxfId="31">
      <calculatedColumnFormula>TEXT(Table478[[#This Row],[التاريخ ]],"mmmm")</calculatedColumnFormula>
    </tableColumn>
    <tableColumn id="3" xr3:uid="{EBE1634B-DBBC-4C17-9331-9C7198FB299C}" name="البيان " dataDxfId="30"/>
    <tableColumn id="4" xr3:uid="{BE4CCFBC-A5BB-48B1-B73F-BA963F76F073}" name="المنصرف اليه " dataDxfId="29">
      <calculatedColumnFormula>VLOOKUP(E:E,'قاعدة بيانات  '!K:L,2,0)</calculatedColumnFormula>
    </tableColumn>
    <tableColumn id="5" xr3:uid="{C1CA6AB4-397D-4BA8-9E6A-242899224AF9}" name="رقم الفاتورة / كود موظف " dataDxfId="28"/>
    <tableColumn id="10" xr3:uid="{3BFC7D73-C5E9-4A8E-9CAA-BC8BB824BD5F}" name="القسم " dataDxfId="27"/>
    <tableColumn id="11" xr3:uid="{21F3F4F8-5D21-4B26-AEEC-A1320BDE567E}" name="التصنيف " dataDxfId="26"/>
    <tableColumn id="23" xr3:uid="{C2A77F43-F509-40D4-8C6A-345A057DA0C1}" name="نوع المصروف " dataDxfId="25"/>
    <tableColumn id="22" xr3:uid="{29B6F74C-092E-4201-B3FA-D0A1F01489FC}" name="رقم إيصال الصرف/ استلام " dataDxfId="24"/>
    <tableColumn id="6" xr3:uid="{757D91C6-3279-488E-8105-1DF09521F36A}" name="العهدة  / سداد" dataDxfId="23"/>
    <tableColumn id="7" xr3:uid="{C5B54FD6-9653-4F55-8C4D-89B70CF82D2A}" name="العهدة " dataDxfId="22" dataCellStyle="Comma"/>
    <tableColumn id="9" xr3:uid="{D3B08DC7-7147-4609-B966-6FDC378DE22E}" name="ملاحظات "/>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25A9FF-06A9-4EC2-AAFC-EC324EC56C0F}" name="Table215" displayName="Table215" ref="A7:F64" totalsRowShown="0" headerRowDxfId="21" dataDxfId="19" headerRowBorderDxfId="20" tableBorderDxfId="18" totalsRowBorderDxfId="17" dataCellStyle="Comma 2">
  <autoFilter ref="A7:F64" xr:uid="{00000000-0009-0000-0100-000002000000}"/>
  <tableColumns count="6">
    <tableColumn id="1" xr3:uid="{11FD5ADB-5C0D-4A49-9CAA-73477134C4D6}" name="التاريخ " dataDxfId="16"/>
    <tableColumn id="2" xr3:uid="{01E227AE-52E5-447E-8288-67C57AF608F7}" name="باسم صلاح " dataDxfId="15" dataCellStyle="Comma 2"/>
    <tableColumn id="3" xr3:uid="{FF6947EE-81A0-4A44-9872-3AE882B0E04D}" name="وليد عبد الكريم" dataDxfId="14" dataCellStyle="Comma 2"/>
    <tableColumn id="4" xr3:uid="{F6D9F000-164F-4676-8ED9-5F3C4983BF49}" name="عبد المنعم مجدى " dataDxfId="13" dataCellStyle="Comma 2"/>
    <tableColumn id="5" xr3:uid="{E61D6D33-D678-484E-B0F2-194B2FA2EE28}" name="علاء عوض " dataDxfId="12" dataCellStyle="Comma 2"/>
    <tableColumn id="6" xr3:uid="{E8BB2C0B-4021-459B-A2E5-A867213EB4C5}" name="البيان " dataDxfId="1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5" dT="2025-01-21T13:30:11.52" personId="{051BF861-8466-491E-8AB8-9474ADAA708F}" id="{B3F7EB26-828F-43CC-B4A5-410289FA40B4}">
    <text>فلوس معلقة
تم تقديم شكوى بتاريخ 21/1
رقم الشكوى 1-5657147265</text>
  </threadedComment>
  <threadedComment ref="C236" dT="2025-06-03T14:14:37.63" personId="{051BF861-8466-491E-8AB8-9474ADAA708F}" id="{C9C1409D-37DA-4F45-84D3-F655847F6974}">
    <text xml:space="preserve">تم عمل شكوى وتم الرد يوم 1/6
</text>
  </threadedComment>
</ThreadedComments>
</file>

<file path=xl/threadedComments/threadedComment2.xml><?xml version="1.0" encoding="utf-8"?>
<ThreadedComments xmlns="http://schemas.microsoft.com/office/spreadsheetml/2018/threadedcomments" xmlns:x="http://schemas.openxmlformats.org/spreadsheetml/2006/main">
  <threadedComment ref="C237" dT="2025-06-03T14:14:37.63" personId="{051BF861-8466-491E-8AB8-9474ADAA708F}" id="{76759B7C-17E6-4B26-B870-73E3F0325D52}">
    <text xml:space="preserve">تم عمل شكوى وتم الرد يوم 1/6
</text>
  </threadedComment>
</ThreadedComments>
</file>

<file path=xl/threadedComments/threadedComment3.xml><?xml version="1.0" encoding="utf-8"?>
<ThreadedComments xmlns="http://schemas.microsoft.com/office/spreadsheetml/2018/threadedcomments" xmlns:x="http://schemas.openxmlformats.org/spreadsheetml/2006/main">
  <threadedComment ref="C237" dT="2025-06-03T14:14:37.63" personId="{051BF861-8466-491E-8AB8-9474ADAA708F}" id="{CD1E45EB-BDA7-44C4-8663-392F8138507F}">
    <text xml:space="preserve">تم عمل شكوى وتم الرد يوم 1/6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3-06-03T09:00:59.35" personId="{00000000-0000-0000-0000-000000000000}" id="{9718F3C5-F474-4E91-A0A7-E191A31B3BB0}">
    <text>5000 راتب شهر مايو 2023</text>
  </threadedComment>
  <threadedComment ref="C31" dT="2023-06-03T09:01:05.16" personId="{00000000-0000-0000-0000-000000000000}" id="{80123448-1EF9-4E76-9198-9BC683BEF156}">
    <text xml:space="preserve">5000 راتب شهر مايو 2023
</text>
  </threadedComment>
  <threadedComment ref="E31" dT="2023-06-03T09:01:11.41" personId="{00000000-0000-0000-0000-000000000000}" id="{9D0A35A7-9409-471A-BB85-B7CD7D118C8F}">
    <text xml:space="preserve">5000 راتب شهر مايو 2023
</text>
  </threadedComment>
  <threadedComment ref="B33" dT="2023-07-15T08:14:11.74" personId="{00000000-0000-0000-0000-000000000000}" id="{E01B4C69-096E-48DF-B38B-6B6935EF86BA}">
    <text>تسويه</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microsoft.com/office/2007/relationships/slicer" Target="../slicers/slicer1.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7.bin"/><Relationship Id="rId1" Type="http://schemas.openxmlformats.org/officeDocument/2006/relationships/pivotTable" Target="../pivotTables/pivotTable3.xm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7" Type="http://schemas.microsoft.com/office/2017/10/relationships/threadedComment" Target="../threadedComments/threadedComment2.xml"/><Relationship Id="rId2" Type="http://schemas.openxmlformats.org/officeDocument/2006/relationships/drawing" Target="../drawings/drawing4.xml"/><Relationship Id="rId1" Type="http://schemas.openxmlformats.org/officeDocument/2006/relationships/printerSettings" Target="../printerSettings/printerSettings9.bin"/><Relationship Id="rId6" Type="http://schemas.openxmlformats.org/officeDocument/2006/relationships/comments" Target="../comments3.xml"/><Relationship Id="rId5" Type="http://schemas.microsoft.com/office/2007/relationships/slicer" Target="../slicers/slicer3.xm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4.vml"/><Relationship Id="rId1" Type="http://schemas.openxmlformats.org/officeDocument/2006/relationships/drawing" Target="../drawings/drawing5.xml"/><Relationship Id="rId6" Type="http://schemas.microsoft.com/office/2017/10/relationships/threadedComment" Target="../threadedComments/threadedComment3.xml"/><Relationship Id="rId5" Type="http://schemas.openxmlformats.org/officeDocument/2006/relationships/comments" Target="../comments4.xml"/><Relationship Id="rId4" Type="http://schemas.microsoft.com/office/2007/relationships/slicer" Target="../slicers/slicer4.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microsoft.com/office/2007/relationships/slicer" Target="../slicers/slicer5.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printerSettings" Target="../printerSettings/printerSettings11.bin"/><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5.vml"/><Relationship Id="rId1" Type="http://schemas.openxmlformats.org/officeDocument/2006/relationships/printerSettings" Target="../printerSettings/printerSettings12.bin"/><Relationship Id="rId5" Type="http://schemas.microsoft.com/office/2017/10/relationships/threadedComment" Target="../threadedComments/threadedComment4.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96369-F903-4224-A5CA-066551319123}">
  <sheetPr codeName="Sheet7"/>
  <dimension ref="A2:T322"/>
  <sheetViews>
    <sheetView rightToLeft="1" view="pageBreakPreview" topLeftCell="G297" zoomScale="115" zoomScaleNormal="100" zoomScaleSheetLayoutView="115" workbookViewId="0">
      <selection activeCell="M314" sqref="M314"/>
    </sheetView>
  </sheetViews>
  <sheetFormatPr defaultRowHeight="14.25"/>
  <cols>
    <col min="1" max="1" width="14.7109375" style="74" bestFit="1" customWidth="1"/>
    <col min="2" max="2" width="48.140625" style="74" bestFit="1" customWidth="1"/>
    <col min="3" max="3" width="45" style="74" bestFit="1" customWidth="1"/>
    <col min="4" max="4" width="10" style="74" bestFit="1" customWidth="1"/>
    <col min="5" max="5" width="2.28515625" style="77" customWidth="1"/>
    <col min="6" max="6" width="20.85546875" style="74" bestFit="1" customWidth="1"/>
    <col min="7" max="7" width="13.5703125" style="74" bestFit="1" customWidth="1"/>
    <col min="8" max="8" width="13.5703125" style="74" customWidth="1"/>
    <col min="9" max="9" width="22.5703125" style="74" bestFit="1" customWidth="1"/>
    <col min="10" max="10" width="2.7109375" style="77" customWidth="1"/>
    <col min="11" max="11" width="23.85546875" style="74" bestFit="1" customWidth="1"/>
    <col min="12" max="12" width="28.85546875" style="74" bestFit="1" customWidth="1"/>
    <col min="13" max="13" width="20.140625" style="74" bestFit="1" customWidth="1"/>
    <col min="14" max="14" width="20.28515625" style="74" bestFit="1" customWidth="1"/>
    <col min="15" max="15" width="13.28515625" style="74" bestFit="1" customWidth="1"/>
    <col min="16" max="16" width="20.140625" style="74" bestFit="1" customWidth="1"/>
    <col min="17" max="17" width="11.5703125" style="74" customWidth="1"/>
    <col min="18" max="18" width="11.5703125" style="88" customWidth="1"/>
    <col min="19" max="20" width="11.5703125" style="74" customWidth="1"/>
    <col min="21" max="16384" width="9.140625" style="74"/>
  </cols>
  <sheetData>
    <row r="2" spans="1:20" s="73" customFormat="1" ht="38.25" customHeight="1">
      <c r="A2" s="36" t="s">
        <v>61</v>
      </c>
      <c r="B2" s="36" t="s">
        <v>62</v>
      </c>
      <c r="C2" s="36" t="s">
        <v>63</v>
      </c>
      <c r="D2" s="36" t="s">
        <v>29</v>
      </c>
      <c r="E2" s="76"/>
      <c r="F2" s="36" t="s">
        <v>8</v>
      </c>
      <c r="G2" s="36" t="s">
        <v>7</v>
      </c>
      <c r="H2" s="36"/>
      <c r="I2" s="36" t="s">
        <v>4</v>
      </c>
      <c r="J2" s="76"/>
      <c r="K2" s="36" t="s">
        <v>35</v>
      </c>
      <c r="L2" s="36" t="s">
        <v>36</v>
      </c>
      <c r="M2" s="36" t="s">
        <v>142</v>
      </c>
      <c r="N2" s="36" t="s">
        <v>179</v>
      </c>
      <c r="O2" s="36" t="s">
        <v>178</v>
      </c>
      <c r="P2" s="36" t="s">
        <v>8</v>
      </c>
      <c r="Q2" s="36" t="s">
        <v>6</v>
      </c>
      <c r="R2" s="87" t="s">
        <v>143</v>
      </c>
      <c r="S2" s="37" t="s">
        <v>144</v>
      </c>
      <c r="T2" s="37" t="s">
        <v>250</v>
      </c>
    </row>
    <row r="3" spans="1:20">
      <c r="A3" s="74">
        <v>535694423</v>
      </c>
      <c r="B3" s="74" t="s">
        <v>75</v>
      </c>
      <c r="C3" s="74" t="s">
        <v>76</v>
      </c>
      <c r="D3" s="74" t="s">
        <v>77</v>
      </c>
      <c r="E3" s="77">
        <f>A3</f>
        <v>535694423</v>
      </c>
      <c r="F3" s="202" t="s">
        <v>95</v>
      </c>
      <c r="G3" s="202" t="s">
        <v>301</v>
      </c>
      <c r="H3" s="202"/>
      <c r="I3" s="202" t="s">
        <v>113</v>
      </c>
      <c r="K3" s="74">
        <v>88888888</v>
      </c>
      <c r="L3" s="74" t="s">
        <v>493</v>
      </c>
      <c r="M3" s="89">
        <v>2908180100628</v>
      </c>
      <c r="N3" s="74" t="s">
        <v>228</v>
      </c>
      <c r="O3" s="74" t="s">
        <v>560</v>
      </c>
      <c r="P3" s="74" t="s">
        <v>204</v>
      </c>
      <c r="Q3" s="74" t="s">
        <v>205</v>
      </c>
      <c r="R3" s="88">
        <v>45545</v>
      </c>
    </row>
    <row r="4" spans="1:20">
      <c r="A4" s="74">
        <v>643247289</v>
      </c>
      <c r="B4" s="74" t="s">
        <v>78</v>
      </c>
      <c r="C4" s="74" t="s">
        <v>79</v>
      </c>
      <c r="D4" s="74" t="s">
        <v>77</v>
      </c>
      <c r="E4" s="77">
        <f t="shared" ref="E4:E12" si="0">A4</f>
        <v>643247289</v>
      </c>
      <c r="F4" s="202" t="s">
        <v>96</v>
      </c>
      <c r="G4" s="202" t="s">
        <v>110</v>
      </c>
      <c r="H4" s="202"/>
      <c r="I4" s="202" t="s">
        <v>114</v>
      </c>
      <c r="K4" s="74">
        <v>8</v>
      </c>
      <c r="L4" s="74" t="s">
        <v>252</v>
      </c>
      <c r="M4" s="89">
        <v>2908180100628</v>
      </c>
      <c r="N4" s="74" t="s">
        <v>228</v>
      </c>
      <c r="O4" s="74" t="s">
        <v>561</v>
      </c>
      <c r="P4" s="74" t="s">
        <v>204</v>
      </c>
      <c r="Q4" s="74" t="s">
        <v>263</v>
      </c>
    </row>
    <row r="5" spans="1:20">
      <c r="A5" s="74">
        <v>200196375</v>
      </c>
      <c r="B5" s="74" t="s">
        <v>80</v>
      </c>
      <c r="C5" s="74" t="s">
        <v>81</v>
      </c>
      <c r="D5" s="74" t="s">
        <v>77</v>
      </c>
      <c r="E5" s="77">
        <f t="shared" si="0"/>
        <v>200196375</v>
      </c>
      <c r="F5" s="202" t="s">
        <v>97</v>
      </c>
      <c r="G5" s="202" t="s">
        <v>111</v>
      </c>
      <c r="H5" s="202"/>
      <c r="I5" s="202" t="s">
        <v>115</v>
      </c>
      <c r="K5" s="74">
        <v>1</v>
      </c>
      <c r="L5" s="74" t="s">
        <v>202</v>
      </c>
      <c r="M5" s="89">
        <v>29903040101135</v>
      </c>
      <c r="N5" s="74" t="s">
        <v>212</v>
      </c>
      <c r="O5" s="74" t="s">
        <v>562</v>
      </c>
      <c r="P5" s="74" t="s">
        <v>204</v>
      </c>
      <c r="Q5" s="74" t="s">
        <v>205</v>
      </c>
      <c r="R5" s="88">
        <v>44896</v>
      </c>
    </row>
    <row r="6" spans="1:20">
      <c r="A6" s="74">
        <v>200029665</v>
      </c>
      <c r="B6" s="74" t="s">
        <v>32</v>
      </c>
      <c r="C6" s="74" t="s">
        <v>82</v>
      </c>
      <c r="D6" s="74" t="s">
        <v>77</v>
      </c>
      <c r="E6" s="77">
        <f t="shared" si="0"/>
        <v>200029665</v>
      </c>
      <c r="F6" s="202" t="s">
        <v>251</v>
      </c>
      <c r="G6" s="202" t="s">
        <v>112</v>
      </c>
      <c r="H6" s="202"/>
      <c r="I6" s="202" t="s">
        <v>116</v>
      </c>
      <c r="K6" s="74">
        <v>2</v>
      </c>
      <c r="L6" s="74" t="s">
        <v>253</v>
      </c>
      <c r="M6" s="89">
        <v>28602012105474</v>
      </c>
      <c r="N6" s="74" t="s">
        <v>207</v>
      </c>
      <c r="O6" s="74" t="s">
        <v>204</v>
      </c>
      <c r="P6" s="74" t="s">
        <v>204</v>
      </c>
      <c r="Q6" s="74" t="s">
        <v>263</v>
      </c>
    </row>
    <row r="7" spans="1:20">
      <c r="A7" s="74">
        <v>204896843</v>
      </c>
      <c r="B7" s="74" t="s">
        <v>83</v>
      </c>
      <c r="C7" s="74" t="s">
        <v>84</v>
      </c>
      <c r="D7" s="74" t="s">
        <v>77</v>
      </c>
      <c r="E7" s="77">
        <f t="shared" si="0"/>
        <v>204896843</v>
      </c>
      <c r="F7" s="202" t="s">
        <v>98</v>
      </c>
      <c r="G7" s="202" t="s">
        <v>304</v>
      </c>
      <c r="H7" s="202"/>
      <c r="I7" s="202" t="s">
        <v>117</v>
      </c>
      <c r="K7" s="74">
        <v>4</v>
      </c>
      <c r="L7" s="74" t="s">
        <v>206</v>
      </c>
      <c r="M7" s="89">
        <v>28808250100593</v>
      </c>
      <c r="N7" s="74" t="s">
        <v>207</v>
      </c>
      <c r="O7" s="74" t="s">
        <v>204</v>
      </c>
      <c r="P7" s="74" t="s">
        <v>204</v>
      </c>
      <c r="Q7" s="74" t="s">
        <v>205</v>
      </c>
    </row>
    <row r="8" spans="1:20">
      <c r="A8" s="74">
        <v>547823509</v>
      </c>
      <c r="B8" s="74" t="s">
        <v>85</v>
      </c>
      <c r="C8" s="74" t="s">
        <v>86</v>
      </c>
      <c r="D8" s="74" t="s">
        <v>77</v>
      </c>
      <c r="E8" s="77">
        <f t="shared" si="0"/>
        <v>547823509</v>
      </c>
      <c r="F8" s="202" t="s">
        <v>311</v>
      </c>
      <c r="G8" s="202" t="s">
        <v>1113</v>
      </c>
      <c r="H8" s="202"/>
      <c r="I8" s="202" t="s">
        <v>118</v>
      </c>
      <c r="K8" s="74">
        <v>5</v>
      </c>
      <c r="L8" s="74" t="s">
        <v>209</v>
      </c>
      <c r="M8" s="89">
        <v>28303120101712</v>
      </c>
      <c r="N8" s="74" t="s">
        <v>210</v>
      </c>
      <c r="O8" s="74" t="s">
        <v>211</v>
      </c>
      <c r="P8" s="74" t="s">
        <v>208</v>
      </c>
      <c r="Q8" s="74" t="s">
        <v>205</v>
      </c>
    </row>
    <row r="9" spans="1:20">
      <c r="A9" s="74">
        <v>204901448</v>
      </c>
      <c r="B9" s="74" t="s">
        <v>1078</v>
      </c>
      <c r="E9" s="77">
        <f t="shared" si="0"/>
        <v>204901448</v>
      </c>
      <c r="F9" s="202" t="s">
        <v>99</v>
      </c>
      <c r="G9" s="202" t="s">
        <v>1114</v>
      </c>
      <c r="H9" s="202"/>
      <c r="I9" s="202" t="s">
        <v>119</v>
      </c>
      <c r="K9" s="74">
        <v>9</v>
      </c>
      <c r="L9" s="74" t="s">
        <v>494</v>
      </c>
      <c r="M9" s="89">
        <v>29808080106196</v>
      </c>
      <c r="N9" s="74" t="s">
        <v>581</v>
      </c>
      <c r="O9" s="74" t="s">
        <v>211</v>
      </c>
      <c r="P9" s="74" t="s">
        <v>208</v>
      </c>
      <c r="Q9" s="74" t="s">
        <v>205</v>
      </c>
      <c r="R9" s="88">
        <v>44927</v>
      </c>
    </row>
    <row r="10" spans="1:20">
      <c r="A10" s="74">
        <v>547768524</v>
      </c>
      <c r="B10" s="74" t="s">
        <v>1033</v>
      </c>
      <c r="D10" s="74" t="s">
        <v>77</v>
      </c>
      <c r="E10" s="77">
        <f t="shared" si="0"/>
        <v>547768524</v>
      </c>
      <c r="F10" s="202" t="s">
        <v>102</v>
      </c>
      <c r="G10" s="202" t="s">
        <v>1117</v>
      </c>
      <c r="H10" s="202"/>
      <c r="I10" s="202" t="s">
        <v>120</v>
      </c>
      <c r="K10" s="74">
        <v>10</v>
      </c>
      <c r="L10" s="74" t="s">
        <v>495</v>
      </c>
      <c r="M10" s="89">
        <v>28609291403433</v>
      </c>
      <c r="N10" s="74" t="s">
        <v>563</v>
      </c>
      <c r="O10" s="74" t="s">
        <v>204</v>
      </c>
      <c r="P10" s="74" t="s">
        <v>204</v>
      </c>
      <c r="Q10" s="74" t="s">
        <v>205</v>
      </c>
    </row>
    <row r="11" spans="1:20">
      <c r="A11" s="74">
        <v>669384283</v>
      </c>
      <c r="B11" s="74" t="s">
        <v>93</v>
      </c>
      <c r="C11" s="74" t="s">
        <v>94</v>
      </c>
      <c r="D11" s="74" t="s">
        <v>77</v>
      </c>
      <c r="E11" s="77">
        <f t="shared" si="0"/>
        <v>669384283</v>
      </c>
      <c r="F11" s="202" t="s">
        <v>100</v>
      </c>
      <c r="G11" s="202" t="s">
        <v>768</v>
      </c>
      <c r="H11" s="202"/>
      <c r="I11" s="202" t="s">
        <v>302</v>
      </c>
      <c r="K11" s="74">
        <v>19</v>
      </c>
      <c r="L11" s="74" t="s">
        <v>214</v>
      </c>
      <c r="M11" s="89">
        <v>29611110104501</v>
      </c>
      <c r="N11" s="74" t="s">
        <v>203</v>
      </c>
      <c r="O11" s="74" t="s">
        <v>564</v>
      </c>
      <c r="P11" s="74" t="s">
        <v>204</v>
      </c>
      <c r="Q11" s="74" t="s">
        <v>205</v>
      </c>
      <c r="R11" s="88">
        <v>45209</v>
      </c>
    </row>
    <row r="12" spans="1:20">
      <c r="A12" s="74">
        <v>200196375</v>
      </c>
      <c r="B12" s="74" t="s">
        <v>187</v>
      </c>
      <c r="C12" s="74" t="s">
        <v>81</v>
      </c>
      <c r="D12" s="74" t="s">
        <v>77</v>
      </c>
      <c r="E12" s="77">
        <f t="shared" si="0"/>
        <v>200196375</v>
      </c>
      <c r="F12" s="202" t="s">
        <v>103</v>
      </c>
      <c r="G12" s="202" t="s">
        <v>1598</v>
      </c>
      <c r="H12" s="202"/>
      <c r="I12" s="202" t="s">
        <v>121</v>
      </c>
      <c r="K12" s="74">
        <v>20</v>
      </c>
      <c r="L12" s="74" t="s">
        <v>217</v>
      </c>
      <c r="M12" s="89">
        <v>29703150100399</v>
      </c>
      <c r="N12" s="74" t="s">
        <v>582</v>
      </c>
      <c r="O12" s="74" t="s">
        <v>211</v>
      </c>
      <c r="P12" s="74" t="s">
        <v>208</v>
      </c>
      <c r="Q12" s="74" t="s">
        <v>205</v>
      </c>
      <c r="R12" s="88">
        <v>45003</v>
      </c>
    </row>
    <row r="13" spans="1:20">
      <c r="A13" s="74">
        <v>200196375</v>
      </c>
      <c r="B13" s="74" t="s">
        <v>310</v>
      </c>
      <c r="F13" s="202" t="s">
        <v>101</v>
      </c>
      <c r="G13" s="202"/>
      <c r="H13" s="202"/>
      <c r="I13" s="202" t="s">
        <v>122</v>
      </c>
      <c r="K13" s="74">
        <v>25</v>
      </c>
      <c r="L13" s="74" t="s">
        <v>218</v>
      </c>
      <c r="M13" s="89">
        <v>27312250101345</v>
      </c>
      <c r="N13" s="74" t="s">
        <v>219</v>
      </c>
      <c r="O13" s="74" t="s">
        <v>220</v>
      </c>
      <c r="P13" s="74" t="s">
        <v>208</v>
      </c>
      <c r="Q13" s="74" t="s">
        <v>205</v>
      </c>
      <c r="R13" s="88">
        <v>44959</v>
      </c>
    </row>
    <row r="14" spans="1:20">
      <c r="A14" s="74">
        <v>757680283</v>
      </c>
      <c r="B14" s="74" t="s">
        <v>1038</v>
      </c>
      <c r="C14" s="74" t="s">
        <v>1037</v>
      </c>
      <c r="F14" s="202" t="s">
        <v>104</v>
      </c>
      <c r="G14" s="202"/>
      <c r="H14" s="202"/>
      <c r="I14" s="202" t="s">
        <v>123</v>
      </c>
      <c r="K14" s="74">
        <v>31</v>
      </c>
      <c r="L14" s="74" t="s">
        <v>221</v>
      </c>
      <c r="M14" s="89">
        <v>28504108800236</v>
      </c>
      <c r="N14" s="74" t="s">
        <v>222</v>
      </c>
      <c r="O14" s="74" t="s">
        <v>567</v>
      </c>
      <c r="P14" s="74" t="s">
        <v>204</v>
      </c>
      <c r="Q14" s="74" t="s">
        <v>205</v>
      </c>
      <c r="R14" s="88">
        <v>45020</v>
      </c>
    </row>
    <row r="15" spans="1:20">
      <c r="A15" s="74">
        <v>547823509</v>
      </c>
      <c r="B15" s="74" t="s">
        <v>337</v>
      </c>
      <c r="F15" s="202" t="s">
        <v>105</v>
      </c>
      <c r="G15" s="202"/>
      <c r="H15" s="202"/>
      <c r="I15" s="202" t="s">
        <v>124</v>
      </c>
      <c r="K15" s="74">
        <v>35</v>
      </c>
      <c r="L15" s="74" t="s">
        <v>496</v>
      </c>
      <c r="M15" s="89">
        <v>30111210101161</v>
      </c>
      <c r="N15" s="74" t="s">
        <v>215</v>
      </c>
      <c r="O15" s="74" t="s">
        <v>216</v>
      </c>
      <c r="P15" s="74" t="s">
        <v>208</v>
      </c>
      <c r="Q15" s="74" t="s">
        <v>205</v>
      </c>
      <c r="R15" s="88">
        <v>45285</v>
      </c>
    </row>
    <row r="16" spans="1:20">
      <c r="A16" s="74">
        <v>623670232</v>
      </c>
      <c r="B16" s="74" t="s">
        <v>351</v>
      </c>
      <c r="C16" s="74" t="s">
        <v>81</v>
      </c>
      <c r="D16" s="74" t="s">
        <v>77</v>
      </c>
      <c r="F16" s="202" t="s">
        <v>106</v>
      </c>
      <c r="G16" s="202"/>
      <c r="H16" s="202"/>
      <c r="I16" s="202" t="s">
        <v>125</v>
      </c>
      <c r="K16" s="74">
        <v>45</v>
      </c>
      <c r="L16" s="74" t="s">
        <v>223</v>
      </c>
      <c r="M16" s="89">
        <v>28409261402239</v>
      </c>
      <c r="N16" s="74" t="s">
        <v>203</v>
      </c>
      <c r="O16" s="74" t="s">
        <v>564</v>
      </c>
      <c r="P16" s="74" t="s">
        <v>204</v>
      </c>
      <c r="Q16" s="74" t="s">
        <v>205</v>
      </c>
      <c r="R16" s="88">
        <v>45042</v>
      </c>
    </row>
    <row r="17" spans="1:18">
      <c r="A17" s="74">
        <v>669384283</v>
      </c>
      <c r="B17" s="74" t="s">
        <v>354</v>
      </c>
      <c r="F17" s="202" t="s">
        <v>107</v>
      </c>
      <c r="G17" s="202"/>
      <c r="H17" s="202"/>
      <c r="I17" s="202" t="s">
        <v>126</v>
      </c>
      <c r="K17" s="74">
        <v>54</v>
      </c>
      <c r="L17" s="74" t="s">
        <v>226</v>
      </c>
      <c r="M17" s="89">
        <v>28706021401264</v>
      </c>
      <c r="N17" s="74" t="s">
        <v>203</v>
      </c>
      <c r="O17" s="74" t="s">
        <v>565</v>
      </c>
      <c r="P17" s="74" t="s">
        <v>204</v>
      </c>
      <c r="Q17" s="74" t="s">
        <v>205</v>
      </c>
      <c r="R17" s="88">
        <v>45053</v>
      </c>
    </row>
    <row r="18" spans="1:18">
      <c r="A18" s="74">
        <v>720831954</v>
      </c>
      <c r="B18" s="74" t="s">
        <v>372</v>
      </c>
      <c r="C18" s="74" t="s">
        <v>373</v>
      </c>
      <c r="D18" s="74" t="s">
        <v>77</v>
      </c>
      <c r="F18" s="202" t="s">
        <v>108</v>
      </c>
      <c r="G18" s="202"/>
      <c r="H18" s="202"/>
      <c r="I18" s="202" t="s">
        <v>127</v>
      </c>
      <c r="K18" s="74">
        <v>60</v>
      </c>
      <c r="L18" s="74" t="s">
        <v>227</v>
      </c>
      <c r="M18" s="89">
        <v>29912120104665</v>
      </c>
      <c r="N18" s="74" t="s">
        <v>203</v>
      </c>
      <c r="O18" s="74" t="s">
        <v>566</v>
      </c>
      <c r="P18" s="74" t="s">
        <v>204</v>
      </c>
      <c r="Q18" s="74" t="s">
        <v>205</v>
      </c>
      <c r="R18" s="88">
        <v>45062</v>
      </c>
    </row>
    <row r="19" spans="1:18">
      <c r="A19" s="74">
        <v>332885968</v>
      </c>
      <c r="B19" s="74" t="s">
        <v>1195</v>
      </c>
      <c r="F19" s="202" t="s">
        <v>1620</v>
      </c>
      <c r="G19" s="202"/>
      <c r="H19" s="202"/>
      <c r="I19" s="202"/>
      <c r="K19" s="74">
        <v>277</v>
      </c>
      <c r="L19" s="74" t="s">
        <v>1567</v>
      </c>
      <c r="M19" s="89"/>
      <c r="N19" s="74" t="s">
        <v>1568</v>
      </c>
      <c r="O19" s="74" t="s">
        <v>211</v>
      </c>
      <c r="P19" s="74" t="s">
        <v>1569</v>
      </c>
    </row>
    <row r="20" spans="1:18">
      <c r="A20" s="74">
        <v>628786476</v>
      </c>
      <c r="B20" s="74" t="s">
        <v>1196</v>
      </c>
      <c r="F20" s="202"/>
      <c r="G20" s="202"/>
      <c r="H20" s="202"/>
      <c r="I20" s="202"/>
      <c r="M20" s="89"/>
    </row>
    <row r="21" spans="1:18">
      <c r="A21" s="74">
        <v>499041712</v>
      </c>
      <c r="B21" s="74" t="s">
        <v>1197</v>
      </c>
      <c r="F21" s="202"/>
      <c r="G21" s="202"/>
      <c r="H21" s="202"/>
      <c r="I21" s="202"/>
      <c r="M21" s="89"/>
    </row>
    <row r="22" spans="1:18">
      <c r="B22" s="74" t="s">
        <v>1017</v>
      </c>
      <c r="F22" s="202" t="s">
        <v>109</v>
      </c>
      <c r="G22" s="202"/>
      <c r="H22" s="202"/>
      <c r="I22" s="202" t="s">
        <v>128</v>
      </c>
      <c r="K22" s="74">
        <v>62</v>
      </c>
      <c r="L22" s="74" t="s">
        <v>229</v>
      </c>
      <c r="M22" s="89">
        <v>29710280100451</v>
      </c>
      <c r="N22" s="74" t="s">
        <v>582</v>
      </c>
      <c r="O22" s="74" t="s">
        <v>211</v>
      </c>
      <c r="P22" s="74" t="s">
        <v>208</v>
      </c>
      <c r="Q22" s="74" t="s">
        <v>205</v>
      </c>
      <c r="R22" s="88">
        <v>45066</v>
      </c>
    </row>
    <row r="23" spans="1:18">
      <c r="A23" s="74">
        <v>578890496</v>
      </c>
      <c r="B23" s="74" t="s">
        <v>388</v>
      </c>
      <c r="C23" s="74" t="s">
        <v>389</v>
      </c>
      <c r="F23" s="202" t="s">
        <v>198</v>
      </c>
      <c r="G23" s="202"/>
      <c r="H23" s="202"/>
      <c r="I23" s="202" t="s">
        <v>129</v>
      </c>
      <c r="K23" s="74">
        <v>64</v>
      </c>
      <c r="L23" s="74" t="s">
        <v>230</v>
      </c>
      <c r="M23" s="89">
        <v>28712200101702</v>
      </c>
      <c r="N23" s="74" t="s">
        <v>231</v>
      </c>
      <c r="O23" s="74" t="s">
        <v>232</v>
      </c>
      <c r="P23" s="74" t="s">
        <v>208</v>
      </c>
      <c r="Q23" s="74" t="s">
        <v>205</v>
      </c>
      <c r="R23" s="88">
        <v>45081</v>
      </c>
    </row>
    <row r="24" spans="1:18">
      <c r="A24" s="74">
        <v>313018103</v>
      </c>
      <c r="B24" s="74" t="s">
        <v>396</v>
      </c>
      <c r="C24" s="74" t="s">
        <v>397</v>
      </c>
      <c r="F24" s="202" t="s">
        <v>199</v>
      </c>
      <c r="G24" s="202"/>
      <c r="H24" s="202"/>
      <c r="I24" s="202" t="s">
        <v>130</v>
      </c>
      <c r="K24" s="74">
        <v>71</v>
      </c>
      <c r="L24" s="74" t="s">
        <v>497</v>
      </c>
      <c r="M24" s="89">
        <v>30110042101308</v>
      </c>
      <c r="N24" s="74" t="s">
        <v>228</v>
      </c>
      <c r="O24" s="74" t="s">
        <v>567</v>
      </c>
      <c r="P24" s="74" t="s">
        <v>204</v>
      </c>
      <c r="Q24" s="74" t="s">
        <v>205</v>
      </c>
      <c r="R24" s="88">
        <v>45081</v>
      </c>
    </row>
    <row r="25" spans="1:18">
      <c r="A25" s="74">
        <v>204892465</v>
      </c>
      <c r="B25" s="74" t="s">
        <v>1147</v>
      </c>
      <c r="F25" s="202" t="s">
        <v>167</v>
      </c>
      <c r="G25" s="202"/>
      <c r="H25" s="202"/>
      <c r="I25" s="202" t="s">
        <v>131</v>
      </c>
      <c r="K25" s="74">
        <v>83</v>
      </c>
      <c r="L25" s="74" t="s">
        <v>233</v>
      </c>
      <c r="M25" s="89">
        <v>30312060105762</v>
      </c>
      <c r="N25" s="74" t="s">
        <v>203</v>
      </c>
      <c r="O25" s="74" t="s">
        <v>568</v>
      </c>
      <c r="P25" s="74" t="s">
        <v>204</v>
      </c>
      <c r="Q25" s="74" t="s">
        <v>205</v>
      </c>
      <c r="R25" s="88">
        <v>45111</v>
      </c>
    </row>
    <row r="26" spans="1:18">
      <c r="A26" s="74">
        <v>724133259</v>
      </c>
      <c r="B26" s="74" t="s">
        <v>426</v>
      </c>
      <c r="C26" s="74" t="s">
        <v>965</v>
      </c>
      <c r="F26" s="202" t="s">
        <v>312</v>
      </c>
      <c r="G26" s="202"/>
      <c r="H26" s="202"/>
      <c r="I26" s="202" t="s">
        <v>132</v>
      </c>
      <c r="K26" s="74">
        <v>97</v>
      </c>
      <c r="L26" s="74" t="s">
        <v>234</v>
      </c>
      <c r="M26" s="89">
        <v>30106051400523</v>
      </c>
      <c r="N26" s="74" t="s">
        <v>228</v>
      </c>
      <c r="O26" s="74" t="s">
        <v>569</v>
      </c>
      <c r="P26" s="74" t="s">
        <v>204</v>
      </c>
      <c r="Q26" s="74" t="s">
        <v>205</v>
      </c>
      <c r="R26" s="88">
        <v>45395</v>
      </c>
    </row>
    <row r="27" spans="1:18">
      <c r="A27" s="74">
        <v>547823509</v>
      </c>
      <c r="B27" s="74" t="s">
        <v>213</v>
      </c>
      <c r="F27" s="202" t="s">
        <v>328</v>
      </c>
      <c r="G27" s="202"/>
      <c r="H27" s="202"/>
      <c r="I27" s="202" t="s">
        <v>133</v>
      </c>
      <c r="K27" s="74">
        <v>119</v>
      </c>
      <c r="L27" s="74" t="s">
        <v>498</v>
      </c>
      <c r="M27" s="89">
        <v>30302090103319</v>
      </c>
      <c r="N27" s="74" t="s">
        <v>225</v>
      </c>
      <c r="O27" s="74" t="s">
        <v>567</v>
      </c>
      <c r="P27" s="74" t="s">
        <v>204</v>
      </c>
      <c r="Q27" s="74" t="s">
        <v>205</v>
      </c>
      <c r="R27" s="88">
        <v>45326</v>
      </c>
    </row>
    <row r="28" spans="1:18">
      <c r="A28" s="74">
        <v>578890496</v>
      </c>
      <c r="B28" s="74" t="s">
        <v>411</v>
      </c>
      <c r="F28" s="202" t="s">
        <v>338</v>
      </c>
      <c r="G28" s="202"/>
      <c r="H28" s="202"/>
      <c r="I28" s="202" t="s">
        <v>134</v>
      </c>
      <c r="K28" s="74">
        <v>125</v>
      </c>
      <c r="L28" s="74" t="s">
        <v>342</v>
      </c>
      <c r="M28" s="89">
        <v>30108160102829</v>
      </c>
      <c r="N28" s="74" t="s">
        <v>228</v>
      </c>
      <c r="O28" s="74" t="s">
        <v>568</v>
      </c>
      <c r="P28" s="74" t="s">
        <v>204</v>
      </c>
      <c r="Q28" s="74" t="s">
        <v>205</v>
      </c>
      <c r="R28" s="88">
        <v>45326</v>
      </c>
    </row>
    <row r="29" spans="1:18">
      <c r="A29" s="74">
        <v>725632186</v>
      </c>
      <c r="B29" s="74" t="s">
        <v>958</v>
      </c>
      <c r="F29" s="202" t="s">
        <v>343</v>
      </c>
      <c r="G29" s="202"/>
      <c r="H29" s="202"/>
      <c r="I29" s="202" t="s">
        <v>135</v>
      </c>
      <c r="K29" s="74">
        <v>126</v>
      </c>
      <c r="L29" s="74" t="s">
        <v>499</v>
      </c>
      <c r="M29" s="89">
        <v>30107110104522</v>
      </c>
      <c r="N29" s="74" t="s">
        <v>228</v>
      </c>
      <c r="O29" s="74" t="s">
        <v>568</v>
      </c>
      <c r="P29" s="74" t="s">
        <v>204</v>
      </c>
      <c r="Q29" s="74" t="s">
        <v>205</v>
      </c>
      <c r="R29" s="88">
        <v>45326</v>
      </c>
    </row>
    <row r="30" spans="1:18">
      <c r="B30" s="74" t="s">
        <v>979</v>
      </c>
      <c r="F30" s="202" t="s">
        <v>216</v>
      </c>
      <c r="G30" s="202"/>
      <c r="H30" s="202"/>
      <c r="I30" s="202" t="s">
        <v>136</v>
      </c>
      <c r="K30" s="74">
        <v>127</v>
      </c>
      <c r="L30" s="74" t="s">
        <v>254</v>
      </c>
      <c r="M30" s="89">
        <v>29103071200577</v>
      </c>
      <c r="N30" s="74" t="s">
        <v>212</v>
      </c>
      <c r="P30" s="74" t="s">
        <v>204</v>
      </c>
      <c r="Q30" s="74" t="s">
        <v>263</v>
      </c>
      <c r="R30" s="88">
        <v>45139</v>
      </c>
    </row>
    <row r="31" spans="1:18">
      <c r="A31" s="74">
        <v>694058882</v>
      </c>
      <c r="B31" s="74" t="s">
        <v>1404</v>
      </c>
      <c r="C31" s="74" t="s">
        <v>1403</v>
      </c>
      <c r="F31" s="202" t="s">
        <v>352</v>
      </c>
      <c r="G31" s="202"/>
      <c r="H31" s="202"/>
      <c r="I31" s="202" t="s">
        <v>137</v>
      </c>
      <c r="K31" s="74">
        <v>129</v>
      </c>
      <c r="L31" s="74" t="s">
        <v>255</v>
      </c>
      <c r="M31" s="89">
        <v>28908081201843</v>
      </c>
      <c r="N31" s="74" t="s">
        <v>581</v>
      </c>
      <c r="O31" s="74" t="s">
        <v>211</v>
      </c>
      <c r="P31" s="74" t="s">
        <v>208</v>
      </c>
      <c r="Q31" s="74" t="s">
        <v>263</v>
      </c>
      <c r="R31" s="88">
        <v>45150</v>
      </c>
    </row>
    <row r="32" spans="1:18">
      <c r="B32" s="74" t="s">
        <v>1405</v>
      </c>
      <c r="F32" s="202" t="s">
        <v>359</v>
      </c>
      <c r="G32" s="202"/>
      <c r="H32" s="202"/>
      <c r="I32" s="202" t="s">
        <v>138</v>
      </c>
      <c r="K32" s="74">
        <v>130</v>
      </c>
      <c r="L32" s="74" t="s">
        <v>256</v>
      </c>
      <c r="M32" s="89">
        <v>29909131202315</v>
      </c>
      <c r="N32" s="74" t="s">
        <v>203</v>
      </c>
      <c r="P32" s="74" t="s">
        <v>204</v>
      </c>
      <c r="Q32" s="74" t="s">
        <v>263</v>
      </c>
      <c r="R32" s="88">
        <v>45139</v>
      </c>
    </row>
    <row r="33" spans="1:18">
      <c r="A33" s="74">
        <v>671968785</v>
      </c>
      <c r="B33" s="74" t="s">
        <v>1421</v>
      </c>
      <c r="F33" s="202" t="s">
        <v>374</v>
      </c>
      <c r="G33" s="202"/>
      <c r="H33" s="202"/>
      <c r="I33" s="202" t="s">
        <v>139</v>
      </c>
      <c r="K33" s="74">
        <v>131</v>
      </c>
      <c r="L33" s="74" t="s">
        <v>257</v>
      </c>
      <c r="M33" s="89">
        <v>29501011262064</v>
      </c>
      <c r="N33" s="74" t="s">
        <v>215</v>
      </c>
      <c r="O33" s="74" t="s">
        <v>216</v>
      </c>
      <c r="P33" s="74" t="s">
        <v>208</v>
      </c>
      <c r="Q33" s="74" t="s">
        <v>263</v>
      </c>
      <c r="R33" s="88">
        <v>45145</v>
      </c>
    </row>
    <row r="34" spans="1:18">
      <c r="B34" s="74" t="s">
        <v>1574</v>
      </c>
      <c r="F34" s="202" t="s">
        <v>376</v>
      </c>
      <c r="G34" s="202"/>
      <c r="H34" s="202"/>
      <c r="I34" s="202" t="s">
        <v>140</v>
      </c>
      <c r="K34" s="74">
        <v>133</v>
      </c>
      <c r="L34" s="74" t="s">
        <v>258</v>
      </c>
      <c r="M34" s="89">
        <v>30106141202127</v>
      </c>
      <c r="N34" s="74" t="s">
        <v>224</v>
      </c>
      <c r="P34" s="74" t="s">
        <v>204</v>
      </c>
      <c r="Q34" s="74" t="s">
        <v>263</v>
      </c>
      <c r="R34" s="88">
        <v>45146</v>
      </c>
    </row>
    <row r="35" spans="1:18">
      <c r="F35" s="202" t="s">
        <v>392</v>
      </c>
      <c r="G35" s="202"/>
      <c r="H35" s="202"/>
      <c r="I35" s="202" t="s">
        <v>141</v>
      </c>
      <c r="K35" s="74">
        <v>136</v>
      </c>
      <c r="L35" s="74" t="s">
        <v>259</v>
      </c>
      <c r="M35" s="89">
        <v>28403211200572</v>
      </c>
      <c r="N35" s="74" t="s">
        <v>224</v>
      </c>
      <c r="P35" s="74" t="s">
        <v>204</v>
      </c>
      <c r="Q35" s="74" t="s">
        <v>263</v>
      </c>
      <c r="R35" s="88">
        <v>45139</v>
      </c>
    </row>
    <row r="36" spans="1:18">
      <c r="F36" s="202" t="s">
        <v>418</v>
      </c>
      <c r="G36" s="202"/>
      <c r="H36" s="202"/>
      <c r="I36" s="202" t="s">
        <v>192</v>
      </c>
      <c r="K36" s="74">
        <v>137</v>
      </c>
      <c r="L36" s="74" t="s">
        <v>260</v>
      </c>
      <c r="M36" s="89">
        <v>28605211200574</v>
      </c>
      <c r="N36" s="74" t="s">
        <v>203</v>
      </c>
      <c r="P36" s="74" t="s">
        <v>204</v>
      </c>
      <c r="Q36" s="74" t="s">
        <v>263</v>
      </c>
      <c r="R36" s="88">
        <v>45139</v>
      </c>
    </row>
    <row r="37" spans="1:18">
      <c r="F37" s="202" t="s">
        <v>425</v>
      </c>
      <c r="G37" s="202"/>
      <c r="H37" s="202"/>
      <c r="I37" s="202" t="s">
        <v>189</v>
      </c>
      <c r="K37" s="74">
        <v>148</v>
      </c>
      <c r="L37" s="74" t="s">
        <v>236</v>
      </c>
      <c r="M37" s="89">
        <v>29805050105684</v>
      </c>
      <c r="N37" s="74" t="s">
        <v>215</v>
      </c>
      <c r="O37" s="74" t="s">
        <v>216</v>
      </c>
      <c r="P37" s="74" t="s">
        <v>208</v>
      </c>
      <c r="Q37" s="74" t="s">
        <v>205</v>
      </c>
      <c r="R37" s="88">
        <v>45164</v>
      </c>
    </row>
    <row r="38" spans="1:18">
      <c r="F38" s="202" t="s">
        <v>439</v>
      </c>
      <c r="G38" s="202"/>
      <c r="H38" s="202"/>
      <c r="I38" s="202" t="s">
        <v>190</v>
      </c>
      <c r="K38" s="74">
        <v>150</v>
      </c>
      <c r="L38" s="74" t="s">
        <v>237</v>
      </c>
      <c r="M38" s="89">
        <v>30006102101386</v>
      </c>
      <c r="N38" s="74" t="s">
        <v>215</v>
      </c>
      <c r="O38" s="74" t="s">
        <v>216</v>
      </c>
      <c r="P38" s="74" t="s">
        <v>208</v>
      </c>
      <c r="Q38" s="74" t="s">
        <v>205</v>
      </c>
      <c r="R38" s="88">
        <v>45167</v>
      </c>
    </row>
    <row r="39" spans="1:18">
      <c r="A39" s="75"/>
      <c r="B39" s="75"/>
      <c r="C39" s="75"/>
      <c r="D39" s="75"/>
      <c r="F39" s="202" t="s">
        <v>897</v>
      </c>
      <c r="G39" s="202"/>
      <c r="H39" s="202"/>
      <c r="I39" s="202" t="s">
        <v>191</v>
      </c>
      <c r="K39" s="74">
        <v>151</v>
      </c>
      <c r="L39" s="74" t="s">
        <v>238</v>
      </c>
      <c r="M39" s="89">
        <v>29805101502713</v>
      </c>
      <c r="N39" s="74" t="s">
        <v>239</v>
      </c>
      <c r="O39" s="74" t="s">
        <v>240</v>
      </c>
      <c r="P39" s="74" t="s">
        <v>208</v>
      </c>
      <c r="Q39" s="74" t="s">
        <v>205</v>
      </c>
      <c r="R39" s="88">
        <v>45171</v>
      </c>
    </row>
    <row r="40" spans="1:18">
      <c r="A40" s="74">
        <v>591872528</v>
      </c>
      <c r="B40" s="74" t="s">
        <v>64</v>
      </c>
      <c r="C40" s="74" t="s">
        <v>65</v>
      </c>
      <c r="D40" s="74" t="s">
        <v>66</v>
      </c>
      <c r="F40" s="202" t="s">
        <v>899</v>
      </c>
      <c r="G40" s="202"/>
      <c r="H40" s="202"/>
      <c r="I40" s="202" t="s">
        <v>196</v>
      </c>
      <c r="K40" s="74">
        <v>177</v>
      </c>
      <c r="L40" s="74" t="s">
        <v>262</v>
      </c>
      <c r="M40" s="89">
        <v>30001011278168</v>
      </c>
      <c r="N40" s="74" t="s">
        <v>228</v>
      </c>
      <c r="P40" s="74" t="s">
        <v>204</v>
      </c>
      <c r="Q40" s="74" t="s">
        <v>263</v>
      </c>
      <c r="R40" s="88">
        <v>45187</v>
      </c>
    </row>
    <row r="41" spans="1:18">
      <c r="A41" s="74">
        <v>205354793</v>
      </c>
      <c r="B41" s="74" t="s">
        <v>67</v>
      </c>
      <c r="C41" s="74" t="s">
        <v>68</v>
      </c>
      <c r="D41" s="74" t="s">
        <v>66</v>
      </c>
      <c r="F41" s="202" t="s">
        <v>941</v>
      </c>
      <c r="G41" s="202"/>
      <c r="H41" s="202"/>
      <c r="I41" s="202" t="s">
        <v>264</v>
      </c>
      <c r="K41" s="74">
        <v>197</v>
      </c>
      <c r="L41" s="74" t="s">
        <v>241</v>
      </c>
      <c r="M41" s="89">
        <v>29503120100816</v>
      </c>
      <c r="N41" s="74" t="s">
        <v>225</v>
      </c>
      <c r="O41" s="74" t="s">
        <v>564</v>
      </c>
      <c r="P41" s="74" t="s">
        <v>204</v>
      </c>
      <c r="Q41" s="74" t="s">
        <v>205</v>
      </c>
      <c r="R41" s="88">
        <v>45234</v>
      </c>
    </row>
    <row r="42" spans="1:18">
      <c r="A42" s="74">
        <v>235071579</v>
      </c>
      <c r="B42" s="74" t="s">
        <v>69</v>
      </c>
      <c r="C42" s="74" t="s">
        <v>70</v>
      </c>
      <c r="D42" s="74" t="s">
        <v>66</v>
      </c>
      <c r="F42" s="202" t="s">
        <v>942</v>
      </c>
      <c r="G42" s="202"/>
      <c r="H42" s="202"/>
      <c r="I42" s="202" t="s">
        <v>309</v>
      </c>
      <c r="K42" s="74">
        <v>209</v>
      </c>
      <c r="L42" s="74" t="s">
        <v>242</v>
      </c>
      <c r="M42" s="89">
        <v>29806231401346</v>
      </c>
      <c r="N42" s="74" t="s">
        <v>215</v>
      </c>
      <c r="O42" s="74" t="s">
        <v>211</v>
      </c>
      <c r="P42" s="74" t="s">
        <v>208</v>
      </c>
      <c r="Q42" s="74" t="s">
        <v>205</v>
      </c>
      <c r="R42" s="88">
        <v>45239</v>
      </c>
    </row>
    <row r="43" spans="1:18">
      <c r="A43" s="74">
        <v>212699598</v>
      </c>
      <c r="B43" s="74" t="s">
        <v>71</v>
      </c>
      <c r="C43" s="74" t="s">
        <v>72</v>
      </c>
      <c r="D43" s="74" t="s">
        <v>66</v>
      </c>
      <c r="F43" s="202" t="s">
        <v>953</v>
      </c>
      <c r="G43" s="202"/>
      <c r="H43" s="202"/>
      <c r="I43" s="202" t="s">
        <v>313</v>
      </c>
      <c r="K43" s="74">
        <v>215</v>
      </c>
      <c r="L43" s="74" t="s">
        <v>243</v>
      </c>
      <c r="M43" s="89">
        <v>30503030106403</v>
      </c>
      <c r="N43" s="74" t="s">
        <v>228</v>
      </c>
      <c r="O43" s="74" t="s">
        <v>564</v>
      </c>
      <c r="P43" s="74" t="s">
        <v>204</v>
      </c>
      <c r="Q43" s="74" t="s">
        <v>205</v>
      </c>
      <c r="R43" s="88">
        <v>45259</v>
      </c>
    </row>
    <row r="44" spans="1:18">
      <c r="A44" s="74">
        <v>672466724</v>
      </c>
      <c r="B44" s="74" t="s">
        <v>73</v>
      </c>
      <c r="C44" s="74" t="s">
        <v>74</v>
      </c>
      <c r="D44" s="74" t="s">
        <v>66</v>
      </c>
      <c r="F44" s="202" t="s">
        <v>999</v>
      </c>
      <c r="G44" s="202"/>
      <c r="H44" s="202"/>
      <c r="I44" s="202" t="s">
        <v>317</v>
      </c>
      <c r="K44" s="74">
        <v>221</v>
      </c>
      <c r="L44" s="74" t="s">
        <v>244</v>
      </c>
      <c r="M44" s="89">
        <v>29707060104137</v>
      </c>
      <c r="N44" s="74" t="s">
        <v>225</v>
      </c>
      <c r="O44" s="74" t="s">
        <v>564</v>
      </c>
      <c r="P44" s="74" t="s">
        <v>204</v>
      </c>
      <c r="Q44" s="74" t="s">
        <v>205</v>
      </c>
      <c r="R44" s="88">
        <v>45601</v>
      </c>
    </row>
    <row r="45" spans="1:18">
      <c r="A45" s="74">
        <v>669904856</v>
      </c>
      <c r="B45" s="74" t="s">
        <v>87</v>
      </c>
      <c r="C45" s="74" t="s">
        <v>88</v>
      </c>
      <c r="D45" s="74" t="s">
        <v>66</v>
      </c>
      <c r="F45" s="202" t="s">
        <v>1115</v>
      </c>
      <c r="G45" s="202"/>
      <c r="H45" s="202"/>
      <c r="I45" s="202" t="s">
        <v>314</v>
      </c>
      <c r="K45" s="74">
        <v>222</v>
      </c>
      <c r="L45" s="74" t="s">
        <v>245</v>
      </c>
      <c r="M45" s="89">
        <v>30403051401184</v>
      </c>
      <c r="N45" s="74" t="s">
        <v>203</v>
      </c>
      <c r="O45" s="74" t="s">
        <v>570</v>
      </c>
      <c r="P45" s="74" t="s">
        <v>204</v>
      </c>
      <c r="Q45" s="74" t="s">
        <v>205</v>
      </c>
      <c r="R45" s="88">
        <v>45266</v>
      </c>
    </row>
    <row r="46" spans="1:18">
      <c r="A46" s="74">
        <v>506322335</v>
      </c>
      <c r="B46" s="74" t="s">
        <v>89</v>
      </c>
      <c r="C46" s="74" t="s">
        <v>90</v>
      </c>
      <c r="D46" s="74" t="s">
        <v>66</v>
      </c>
      <c r="F46" s="202" t="s">
        <v>1121</v>
      </c>
      <c r="G46" s="202"/>
      <c r="H46" s="202"/>
      <c r="I46" s="202" t="s">
        <v>319</v>
      </c>
      <c r="K46" s="74">
        <v>223</v>
      </c>
      <c r="L46" s="74" t="s">
        <v>246</v>
      </c>
      <c r="M46" s="89">
        <v>28107120200563</v>
      </c>
      <c r="N46" s="74" t="s">
        <v>228</v>
      </c>
      <c r="O46" s="74" t="s">
        <v>566</v>
      </c>
      <c r="P46" s="74" t="s">
        <v>204</v>
      </c>
      <c r="Q46" s="74" t="s">
        <v>205</v>
      </c>
      <c r="R46" s="88">
        <v>45266</v>
      </c>
    </row>
    <row r="47" spans="1:18">
      <c r="A47" s="74">
        <v>463380096</v>
      </c>
      <c r="B47" s="74" t="s">
        <v>91</v>
      </c>
      <c r="C47" s="74" t="s">
        <v>92</v>
      </c>
      <c r="D47" s="74" t="s">
        <v>66</v>
      </c>
      <c r="F47" s="202" t="s">
        <v>1147</v>
      </c>
      <c r="G47" s="202"/>
      <c r="H47" s="202"/>
      <c r="I47" s="202" t="s">
        <v>334</v>
      </c>
      <c r="K47" s="74">
        <v>238</v>
      </c>
      <c r="L47" s="74" t="s">
        <v>248</v>
      </c>
      <c r="M47" s="89">
        <v>30412130100296</v>
      </c>
      <c r="N47" s="74" t="s">
        <v>247</v>
      </c>
      <c r="O47" s="74" t="s">
        <v>32</v>
      </c>
      <c r="P47" s="74" t="s">
        <v>204</v>
      </c>
      <c r="Q47" s="74" t="s">
        <v>205</v>
      </c>
      <c r="R47" s="88">
        <v>45385</v>
      </c>
    </row>
    <row r="48" spans="1:18">
      <c r="A48" s="74">
        <v>663208343</v>
      </c>
      <c r="B48" s="74" t="s">
        <v>265</v>
      </c>
      <c r="C48" s="74" t="s">
        <v>266</v>
      </c>
      <c r="D48" s="74" t="s">
        <v>66</v>
      </c>
      <c r="F48" s="202" t="s">
        <v>1148</v>
      </c>
      <c r="G48" s="202"/>
      <c r="H48" s="202"/>
      <c r="I48" s="202" t="s">
        <v>306</v>
      </c>
      <c r="K48" s="74">
        <v>239</v>
      </c>
      <c r="L48" s="74" t="s">
        <v>249</v>
      </c>
      <c r="M48" s="89">
        <v>30405030105677</v>
      </c>
      <c r="N48" s="74" t="s">
        <v>247</v>
      </c>
      <c r="O48" s="74" t="s">
        <v>571</v>
      </c>
      <c r="P48" s="74" t="s">
        <v>204</v>
      </c>
      <c r="Q48" s="74" t="s">
        <v>205</v>
      </c>
      <c r="R48" s="88">
        <v>45295</v>
      </c>
    </row>
    <row r="49" spans="1:18">
      <c r="A49" s="74" t="s">
        <v>267</v>
      </c>
      <c r="B49" s="74" t="s">
        <v>268</v>
      </c>
      <c r="C49" s="74" t="s">
        <v>205</v>
      </c>
      <c r="D49" s="74" t="s">
        <v>66</v>
      </c>
      <c r="F49" s="202" t="s">
        <v>1150</v>
      </c>
      <c r="G49" s="202"/>
      <c r="H49" s="202"/>
      <c r="I49" s="202" t="s">
        <v>355</v>
      </c>
      <c r="K49" s="74">
        <v>258</v>
      </c>
      <c r="L49" s="74" t="s">
        <v>500</v>
      </c>
      <c r="M49" s="89">
        <v>30005070100726</v>
      </c>
      <c r="N49" s="74" t="s">
        <v>203</v>
      </c>
      <c r="O49" s="74" t="s">
        <v>352</v>
      </c>
      <c r="P49" s="74" t="s">
        <v>204</v>
      </c>
      <c r="Q49" s="74" t="s">
        <v>205</v>
      </c>
      <c r="R49" s="88">
        <v>45330</v>
      </c>
    </row>
    <row r="50" spans="1:18">
      <c r="A50" s="74" t="s">
        <v>269</v>
      </c>
      <c r="B50" s="74" t="s">
        <v>270</v>
      </c>
      <c r="C50" s="74" t="s">
        <v>271</v>
      </c>
      <c r="D50" s="74" t="s">
        <v>66</v>
      </c>
      <c r="F50" s="202" t="s">
        <v>1232</v>
      </c>
      <c r="G50" s="202"/>
      <c r="H50" s="202"/>
      <c r="I50" s="202" t="s">
        <v>356</v>
      </c>
      <c r="K50" s="74">
        <v>262</v>
      </c>
      <c r="L50" s="74" t="s">
        <v>501</v>
      </c>
      <c r="M50" s="89">
        <v>30401011401723</v>
      </c>
      <c r="N50" s="74" t="s">
        <v>228</v>
      </c>
      <c r="O50" s="74" t="s">
        <v>568</v>
      </c>
      <c r="P50" s="74" t="s">
        <v>204</v>
      </c>
      <c r="Q50" s="74" t="s">
        <v>205</v>
      </c>
      <c r="R50" s="88">
        <v>45333</v>
      </c>
    </row>
    <row r="51" spans="1:18">
      <c r="A51" s="74" t="s">
        <v>272</v>
      </c>
      <c r="B51" s="74" t="s">
        <v>273</v>
      </c>
      <c r="C51" s="74" t="s">
        <v>274</v>
      </c>
      <c r="D51" s="74" t="s">
        <v>66</v>
      </c>
      <c r="F51" s="202" t="s">
        <v>1246</v>
      </c>
      <c r="G51" s="202"/>
      <c r="H51" s="202"/>
      <c r="I51" s="202" t="s">
        <v>358</v>
      </c>
      <c r="K51" s="74">
        <v>269</v>
      </c>
      <c r="L51" s="74" t="s">
        <v>502</v>
      </c>
      <c r="M51" s="89">
        <v>30103260102301</v>
      </c>
      <c r="N51" s="74" t="s">
        <v>583</v>
      </c>
      <c r="O51" s="74" t="s">
        <v>566</v>
      </c>
      <c r="P51" s="74" t="s">
        <v>204</v>
      </c>
      <c r="Q51" s="74" t="s">
        <v>205</v>
      </c>
      <c r="R51" s="88">
        <v>45344</v>
      </c>
    </row>
    <row r="52" spans="1:18">
      <c r="A52" s="74" t="s">
        <v>276</v>
      </c>
      <c r="B52" s="74" t="s">
        <v>275</v>
      </c>
      <c r="C52" s="74" t="s">
        <v>271</v>
      </c>
      <c r="D52" s="74" t="s">
        <v>66</v>
      </c>
      <c r="F52" s="202" t="s">
        <v>1265</v>
      </c>
      <c r="G52" s="202"/>
      <c r="H52" s="202"/>
      <c r="I52" s="202" t="s">
        <v>360</v>
      </c>
      <c r="K52" s="74">
        <v>273</v>
      </c>
      <c r="L52" s="74" t="s">
        <v>370</v>
      </c>
      <c r="M52" s="89">
        <v>30602171401202</v>
      </c>
      <c r="N52" s="74" t="s">
        <v>228</v>
      </c>
      <c r="O52" s="74" t="s">
        <v>564</v>
      </c>
      <c r="P52" s="74" t="s">
        <v>204</v>
      </c>
      <c r="Q52" s="74" t="s">
        <v>205</v>
      </c>
      <c r="R52" s="88">
        <v>45355</v>
      </c>
    </row>
    <row r="53" spans="1:18">
      <c r="A53" s="74" t="s">
        <v>277</v>
      </c>
      <c r="B53" s="74" t="s">
        <v>278</v>
      </c>
      <c r="C53" s="74" t="s">
        <v>271</v>
      </c>
      <c r="D53" s="74" t="s">
        <v>66</v>
      </c>
      <c r="F53" s="202" t="s">
        <v>1269</v>
      </c>
      <c r="G53" s="202"/>
      <c r="H53" s="202"/>
      <c r="I53" s="202" t="s">
        <v>366</v>
      </c>
      <c r="K53" s="74">
        <v>278</v>
      </c>
      <c r="L53" s="74" t="s">
        <v>503</v>
      </c>
      <c r="M53" s="89">
        <v>26303201400474</v>
      </c>
      <c r="N53" s="74" t="s">
        <v>225</v>
      </c>
      <c r="O53" s="74" t="s">
        <v>572</v>
      </c>
      <c r="P53" s="74" t="s">
        <v>204</v>
      </c>
      <c r="Q53" s="74" t="s">
        <v>205</v>
      </c>
      <c r="R53" s="88">
        <v>45358</v>
      </c>
    </row>
    <row r="54" spans="1:18">
      <c r="A54" s="74" t="s">
        <v>279</v>
      </c>
      <c r="B54" s="74" t="s">
        <v>280</v>
      </c>
      <c r="C54" s="74" t="s">
        <v>281</v>
      </c>
      <c r="D54" s="74" t="s">
        <v>66</v>
      </c>
      <c r="F54" s="202" t="s">
        <v>177</v>
      </c>
      <c r="G54" s="202"/>
      <c r="H54" s="202"/>
      <c r="I54" s="202" t="s">
        <v>368</v>
      </c>
      <c r="K54" s="74">
        <v>283</v>
      </c>
      <c r="L54" s="74" t="s">
        <v>367</v>
      </c>
      <c r="M54" s="89">
        <v>29601011735072</v>
      </c>
      <c r="N54" s="74" t="s">
        <v>225</v>
      </c>
      <c r="O54" s="74" t="s">
        <v>573</v>
      </c>
      <c r="P54" s="74" t="s">
        <v>204</v>
      </c>
      <c r="Q54" s="74" t="s">
        <v>205</v>
      </c>
      <c r="R54" s="88">
        <v>45367</v>
      </c>
    </row>
    <row r="55" spans="1:18">
      <c r="A55" s="74">
        <v>244691665</v>
      </c>
      <c r="B55" s="74" t="s">
        <v>329</v>
      </c>
      <c r="C55" s="74" t="s">
        <v>330</v>
      </c>
      <c r="D55" s="74" t="s">
        <v>66</v>
      </c>
      <c r="F55" s="202" t="s">
        <v>1521</v>
      </c>
      <c r="G55" s="202"/>
      <c r="H55" s="202"/>
      <c r="I55" s="202" t="s">
        <v>369</v>
      </c>
      <c r="K55" s="74">
        <v>284</v>
      </c>
      <c r="L55" s="74" t="s">
        <v>357</v>
      </c>
      <c r="M55" s="89">
        <v>30208171403094</v>
      </c>
      <c r="N55" s="74" t="s">
        <v>225</v>
      </c>
      <c r="O55" s="74" t="s">
        <v>564</v>
      </c>
      <c r="P55" s="74" t="s">
        <v>204</v>
      </c>
      <c r="Q55" s="74" t="s">
        <v>205</v>
      </c>
      <c r="R55" s="88">
        <v>45370</v>
      </c>
    </row>
    <row r="56" spans="1:18">
      <c r="A56" s="74">
        <v>212699598</v>
      </c>
      <c r="B56" s="74" t="s">
        <v>331</v>
      </c>
      <c r="C56" s="74" t="s">
        <v>332</v>
      </c>
      <c r="D56" s="74" t="s">
        <v>66</v>
      </c>
      <c r="F56" s="202"/>
      <c r="G56" s="202"/>
      <c r="H56" s="202"/>
      <c r="I56" s="202" t="s">
        <v>371</v>
      </c>
      <c r="K56" s="74">
        <v>289</v>
      </c>
      <c r="L56" s="74" t="s">
        <v>504</v>
      </c>
      <c r="M56" s="89">
        <v>28509251202635</v>
      </c>
      <c r="N56" s="74" t="s">
        <v>219</v>
      </c>
      <c r="P56" s="74" t="s">
        <v>208</v>
      </c>
      <c r="Q56" s="74" t="s">
        <v>263</v>
      </c>
      <c r="R56" s="88">
        <v>45399</v>
      </c>
    </row>
    <row r="57" spans="1:18">
      <c r="A57" s="74" t="s">
        <v>347</v>
      </c>
      <c r="B57" s="74" t="s">
        <v>346</v>
      </c>
      <c r="C57" s="74" t="s">
        <v>348</v>
      </c>
      <c r="D57" s="74" t="s">
        <v>66</v>
      </c>
      <c r="F57" s="202"/>
      <c r="G57" s="202"/>
      <c r="H57" s="202"/>
      <c r="I57" s="202" t="s">
        <v>384</v>
      </c>
      <c r="K57" s="74">
        <v>294</v>
      </c>
      <c r="L57" s="74" t="s">
        <v>400</v>
      </c>
      <c r="M57" s="89">
        <v>29005011201254</v>
      </c>
      <c r="N57" s="74" t="s">
        <v>399</v>
      </c>
      <c r="P57" s="74" t="s">
        <v>208</v>
      </c>
      <c r="Q57" s="74" t="s">
        <v>263</v>
      </c>
      <c r="R57" s="88">
        <v>45400</v>
      </c>
    </row>
    <row r="58" spans="1:18">
      <c r="A58" s="74">
        <v>205127088</v>
      </c>
      <c r="B58" s="74" t="s">
        <v>349</v>
      </c>
      <c r="C58" s="74" t="s">
        <v>350</v>
      </c>
      <c r="D58" s="74" t="s">
        <v>66</v>
      </c>
      <c r="F58" s="202"/>
      <c r="G58" s="202"/>
      <c r="H58" s="202"/>
      <c r="I58" s="202" t="s">
        <v>403</v>
      </c>
      <c r="K58" s="74">
        <v>302</v>
      </c>
      <c r="L58" s="74" t="s">
        <v>505</v>
      </c>
      <c r="M58" s="89">
        <v>30207051201769</v>
      </c>
      <c r="N58" s="74" t="s">
        <v>228</v>
      </c>
      <c r="P58" s="74" t="s">
        <v>204</v>
      </c>
      <c r="Q58" s="74" t="s">
        <v>263</v>
      </c>
      <c r="R58" s="88">
        <v>45416</v>
      </c>
    </row>
    <row r="59" spans="1:18">
      <c r="A59" s="74" t="s">
        <v>379</v>
      </c>
      <c r="B59" s="74" t="s">
        <v>378</v>
      </c>
      <c r="C59" s="74" t="s">
        <v>380</v>
      </c>
      <c r="F59" s="202"/>
      <c r="G59" s="202"/>
      <c r="H59" s="202"/>
      <c r="I59" s="202" t="s">
        <v>961</v>
      </c>
      <c r="K59" s="74">
        <v>307</v>
      </c>
      <c r="L59" s="74" t="s">
        <v>377</v>
      </c>
      <c r="M59" s="89">
        <v>29506012100906</v>
      </c>
      <c r="N59" s="74" t="s">
        <v>215</v>
      </c>
      <c r="O59" s="74" t="s">
        <v>216</v>
      </c>
      <c r="P59" s="74" t="s">
        <v>208</v>
      </c>
      <c r="Q59" s="74" t="s">
        <v>205</v>
      </c>
      <c r="R59" s="88">
        <v>45424</v>
      </c>
    </row>
    <row r="60" spans="1:18">
      <c r="A60" s="74" t="s">
        <v>382</v>
      </c>
      <c r="B60" s="74" t="s">
        <v>375</v>
      </c>
      <c r="C60" s="74" t="s">
        <v>381</v>
      </c>
      <c r="F60" s="202"/>
      <c r="G60" s="202"/>
      <c r="H60" s="202"/>
      <c r="I60" s="202" t="s">
        <v>1169</v>
      </c>
      <c r="K60" s="74">
        <v>312</v>
      </c>
      <c r="L60" s="74" t="s">
        <v>506</v>
      </c>
      <c r="M60" s="89">
        <v>30306261201301</v>
      </c>
      <c r="N60" s="74" t="s">
        <v>228</v>
      </c>
      <c r="P60" s="74" t="s">
        <v>204</v>
      </c>
      <c r="Q60" s="74" t="s">
        <v>263</v>
      </c>
      <c r="R60" s="88">
        <v>45430</v>
      </c>
    </row>
    <row r="61" spans="1:18">
      <c r="F61" s="202"/>
      <c r="G61" s="202"/>
      <c r="H61" s="202"/>
      <c r="I61" s="202" t="s">
        <v>1179</v>
      </c>
      <c r="K61" s="74">
        <v>324</v>
      </c>
      <c r="L61" s="74" t="s">
        <v>507</v>
      </c>
      <c r="M61" s="89">
        <v>29706171200384</v>
      </c>
      <c r="N61" s="74" t="s">
        <v>228</v>
      </c>
      <c r="O61" s="74" t="s">
        <v>352</v>
      </c>
      <c r="P61" s="74" t="s">
        <v>204</v>
      </c>
      <c r="Q61" s="74" t="s">
        <v>263</v>
      </c>
      <c r="R61" s="88">
        <v>45448</v>
      </c>
    </row>
    <row r="62" spans="1:18">
      <c r="F62" s="202"/>
      <c r="G62" s="202"/>
      <c r="H62" s="202"/>
      <c r="I62" s="202" t="s">
        <v>1538</v>
      </c>
      <c r="K62" s="74">
        <v>332</v>
      </c>
      <c r="L62" s="74" t="s">
        <v>387</v>
      </c>
      <c r="M62" s="89">
        <v>30601161400333</v>
      </c>
      <c r="N62" s="74" t="s">
        <v>225</v>
      </c>
      <c r="O62" s="74" t="s">
        <v>571</v>
      </c>
      <c r="P62" s="74" t="s">
        <v>204</v>
      </c>
      <c r="Q62" s="74" t="s">
        <v>205</v>
      </c>
      <c r="R62" s="88">
        <v>45465</v>
      </c>
    </row>
    <row r="63" spans="1:18">
      <c r="F63" s="202"/>
      <c r="G63" s="202"/>
      <c r="H63" s="202"/>
      <c r="I63" s="202"/>
      <c r="K63" s="74">
        <v>334</v>
      </c>
      <c r="L63" s="74" t="s">
        <v>386</v>
      </c>
      <c r="M63" s="89">
        <v>30304160102938</v>
      </c>
      <c r="N63" s="74" t="s">
        <v>225</v>
      </c>
      <c r="O63" s="74" t="s">
        <v>564</v>
      </c>
      <c r="P63" s="74" t="s">
        <v>204</v>
      </c>
      <c r="Q63" s="74" t="s">
        <v>205</v>
      </c>
      <c r="R63" s="88">
        <v>45467</v>
      </c>
    </row>
    <row r="64" spans="1:18">
      <c r="F64" s="202"/>
      <c r="G64" s="202"/>
      <c r="H64" s="202"/>
      <c r="I64" s="202"/>
      <c r="K64" s="74">
        <v>336</v>
      </c>
      <c r="L64" s="74" t="s">
        <v>508</v>
      </c>
      <c r="M64" s="89">
        <v>30507250100398</v>
      </c>
      <c r="N64" s="74" t="s">
        <v>225</v>
      </c>
      <c r="O64" s="74" t="s">
        <v>568</v>
      </c>
      <c r="P64" s="74" t="s">
        <v>204</v>
      </c>
      <c r="Q64" s="74" t="s">
        <v>205</v>
      </c>
      <c r="R64" s="88" t="s">
        <v>587</v>
      </c>
    </row>
    <row r="65" spans="6:18">
      <c r="F65" s="202"/>
      <c r="G65" s="202"/>
      <c r="H65" s="202"/>
      <c r="I65" s="202"/>
      <c r="K65" s="74">
        <v>340</v>
      </c>
      <c r="L65" s="74" t="s">
        <v>509</v>
      </c>
      <c r="M65" s="89">
        <v>29203050102561</v>
      </c>
      <c r="N65" s="74" t="s">
        <v>222</v>
      </c>
      <c r="O65" s="74" t="s">
        <v>564</v>
      </c>
      <c r="P65" s="74" t="s">
        <v>204</v>
      </c>
      <c r="Q65" s="74" t="s">
        <v>205</v>
      </c>
      <c r="R65" s="88">
        <v>45497</v>
      </c>
    </row>
    <row r="66" spans="6:18">
      <c r="F66" s="202"/>
      <c r="G66" s="202"/>
      <c r="H66" s="202"/>
      <c r="I66" s="202"/>
      <c r="K66" s="74">
        <v>341</v>
      </c>
      <c r="L66" s="74" t="s">
        <v>510</v>
      </c>
      <c r="M66" s="89">
        <v>30203190102583</v>
      </c>
      <c r="N66" s="74" t="s">
        <v>224</v>
      </c>
      <c r="O66" s="74" t="s">
        <v>564</v>
      </c>
      <c r="P66" s="74" t="s">
        <v>204</v>
      </c>
      <c r="Q66" s="74" t="s">
        <v>205</v>
      </c>
      <c r="R66" s="88">
        <v>45482</v>
      </c>
    </row>
    <row r="67" spans="6:18">
      <c r="F67" s="202"/>
      <c r="G67" s="202"/>
      <c r="H67" s="202"/>
      <c r="I67" s="202"/>
      <c r="K67" s="74">
        <v>345</v>
      </c>
      <c r="L67" s="74" t="s">
        <v>511</v>
      </c>
      <c r="M67" s="89">
        <v>29002011201905</v>
      </c>
      <c r="N67" s="74" t="s">
        <v>228</v>
      </c>
      <c r="P67" s="74" t="s">
        <v>204</v>
      </c>
      <c r="Q67" s="74" t="s">
        <v>263</v>
      </c>
      <c r="R67" s="88">
        <v>45477</v>
      </c>
    </row>
    <row r="68" spans="6:18">
      <c r="F68" s="202"/>
      <c r="G68" s="202"/>
      <c r="H68" s="202"/>
      <c r="I68" s="202"/>
      <c r="K68" s="74">
        <v>347</v>
      </c>
      <c r="L68" s="74" t="s">
        <v>512</v>
      </c>
      <c r="M68" s="89">
        <v>30508040103757</v>
      </c>
      <c r="N68" s="74" t="s">
        <v>225</v>
      </c>
      <c r="O68" s="74" t="s">
        <v>569</v>
      </c>
      <c r="P68" s="74" t="s">
        <v>204</v>
      </c>
      <c r="Q68" s="74" t="s">
        <v>205</v>
      </c>
      <c r="R68" s="88">
        <v>45478</v>
      </c>
    </row>
    <row r="69" spans="6:18">
      <c r="F69" s="202"/>
      <c r="G69" s="202"/>
      <c r="H69" s="202"/>
      <c r="I69" s="202"/>
      <c r="K69" s="74">
        <v>354</v>
      </c>
      <c r="L69" s="74" t="s">
        <v>513</v>
      </c>
      <c r="M69" s="89">
        <v>30205300101122</v>
      </c>
      <c r="N69" s="74" t="s">
        <v>228</v>
      </c>
      <c r="O69" s="74" t="s">
        <v>566</v>
      </c>
      <c r="P69" s="74" t="s">
        <v>204</v>
      </c>
      <c r="Q69" s="74" t="s">
        <v>205</v>
      </c>
      <c r="R69" s="88">
        <v>45482</v>
      </c>
    </row>
    <row r="70" spans="6:18">
      <c r="F70" s="202"/>
      <c r="G70" s="202"/>
      <c r="H70" s="202"/>
      <c r="I70" s="202"/>
      <c r="K70" s="74">
        <v>355</v>
      </c>
      <c r="L70" s="74" t="s">
        <v>514</v>
      </c>
      <c r="M70" s="89">
        <v>29903160102844</v>
      </c>
      <c r="N70" s="74" t="s">
        <v>228</v>
      </c>
      <c r="O70" s="74" t="s">
        <v>570</v>
      </c>
      <c r="P70" s="74" t="s">
        <v>204</v>
      </c>
      <c r="Q70" s="74" t="s">
        <v>205</v>
      </c>
      <c r="R70" s="88">
        <v>45486</v>
      </c>
    </row>
    <row r="71" spans="6:18">
      <c r="K71" s="74">
        <v>356</v>
      </c>
      <c r="L71" s="74" t="s">
        <v>515</v>
      </c>
      <c r="M71" s="89">
        <v>29302041400591</v>
      </c>
      <c r="N71" s="74" t="s">
        <v>247</v>
      </c>
      <c r="P71" s="74" t="s">
        <v>204</v>
      </c>
      <c r="Q71" s="74" t="s">
        <v>263</v>
      </c>
      <c r="R71" s="88">
        <v>45487</v>
      </c>
    </row>
    <row r="72" spans="6:18">
      <c r="K72" s="74">
        <v>362</v>
      </c>
      <c r="L72" s="74" t="s">
        <v>516</v>
      </c>
      <c r="M72" s="89">
        <v>30505051403192</v>
      </c>
      <c r="N72" s="74" t="s">
        <v>247</v>
      </c>
      <c r="O72" s="74" t="s">
        <v>570</v>
      </c>
      <c r="P72" s="74" t="s">
        <v>204</v>
      </c>
      <c r="Q72" s="74" t="s">
        <v>205</v>
      </c>
      <c r="R72" s="88">
        <v>45497</v>
      </c>
    </row>
    <row r="73" spans="6:18">
      <c r="K73" s="74">
        <v>365</v>
      </c>
      <c r="L73" s="74" t="s">
        <v>391</v>
      </c>
      <c r="M73" s="89">
        <v>29305020111474</v>
      </c>
      <c r="N73" s="74" t="s">
        <v>399</v>
      </c>
      <c r="O73" s="74" t="s">
        <v>232</v>
      </c>
      <c r="P73" s="74" t="s">
        <v>208</v>
      </c>
      <c r="Q73" s="74" t="s">
        <v>205</v>
      </c>
      <c r="R73" s="88">
        <v>45498</v>
      </c>
    </row>
    <row r="74" spans="6:18">
      <c r="K74" s="74">
        <v>370</v>
      </c>
      <c r="L74" s="74" t="s">
        <v>517</v>
      </c>
      <c r="M74" s="89">
        <v>29601140103228</v>
      </c>
      <c r="N74" s="74" t="s">
        <v>228</v>
      </c>
      <c r="O74" s="74" t="s">
        <v>567</v>
      </c>
      <c r="P74" s="74" t="s">
        <v>204</v>
      </c>
      <c r="Q74" s="74" t="s">
        <v>205</v>
      </c>
      <c r="R74" s="88">
        <v>45508</v>
      </c>
    </row>
    <row r="75" spans="6:18">
      <c r="K75" s="74">
        <v>375</v>
      </c>
      <c r="L75" s="74" t="s">
        <v>518</v>
      </c>
      <c r="M75" s="89">
        <v>29712102101846</v>
      </c>
      <c r="N75" s="74" t="s">
        <v>224</v>
      </c>
      <c r="O75" s="74" t="s">
        <v>392</v>
      </c>
      <c r="P75" s="74" t="s">
        <v>204</v>
      </c>
      <c r="Q75" s="74" t="s">
        <v>205</v>
      </c>
      <c r="R75" s="88">
        <v>45508</v>
      </c>
    </row>
    <row r="76" spans="6:18">
      <c r="K76" s="74">
        <v>378</v>
      </c>
      <c r="L76" s="74" t="s">
        <v>519</v>
      </c>
      <c r="M76" s="89">
        <v>28102150100511</v>
      </c>
      <c r="N76" s="74" t="s">
        <v>224</v>
      </c>
      <c r="O76" s="74" t="s">
        <v>567</v>
      </c>
      <c r="P76" s="74" t="s">
        <v>204</v>
      </c>
      <c r="Q76" s="74" t="s">
        <v>205</v>
      </c>
      <c r="R76" s="88">
        <v>45508</v>
      </c>
    </row>
    <row r="77" spans="6:18">
      <c r="K77" s="74">
        <v>379</v>
      </c>
      <c r="L77" s="74" t="s">
        <v>520</v>
      </c>
      <c r="M77" s="89">
        <v>818198924630900</v>
      </c>
      <c r="N77" s="74" t="s">
        <v>203</v>
      </c>
      <c r="O77" s="74" t="s">
        <v>567</v>
      </c>
      <c r="P77" s="74" t="s">
        <v>204</v>
      </c>
      <c r="Q77" s="74" t="s">
        <v>205</v>
      </c>
      <c r="R77" s="88">
        <v>45539</v>
      </c>
    </row>
    <row r="78" spans="6:18">
      <c r="K78" s="74">
        <v>383</v>
      </c>
      <c r="L78" s="74" t="s">
        <v>521</v>
      </c>
      <c r="M78" s="89">
        <v>30101201202626</v>
      </c>
      <c r="N78" s="74" t="s">
        <v>228</v>
      </c>
      <c r="P78" s="74" t="s">
        <v>204</v>
      </c>
      <c r="Q78" s="74" t="s">
        <v>263</v>
      </c>
      <c r="R78" s="88">
        <v>45508</v>
      </c>
    </row>
    <row r="79" spans="6:18">
      <c r="K79" s="74">
        <v>389</v>
      </c>
      <c r="L79" s="74" t="s">
        <v>398</v>
      </c>
      <c r="M79" s="89">
        <v>30407270101515</v>
      </c>
      <c r="N79" s="74" t="s">
        <v>225</v>
      </c>
      <c r="O79" s="74" t="s">
        <v>566</v>
      </c>
      <c r="P79" s="74" t="s">
        <v>204</v>
      </c>
      <c r="Q79" s="74" t="s">
        <v>205</v>
      </c>
      <c r="R79" s="88">
        <v>45637</v>
      </c>
    </row>
    <row r="80" spans="6:18">
      <c r="K80" s="74">
        <v>395</v>
      </c>
      <c r="L80" s="74" t="s">
        <v>522</v>
      </c>
      <c r="M80" s="89">
        <v>29705010106934</v>
      </c>
      <c r="N80" s="74" t="s">
        <v>225</v>
      </c>
      <c r="O80" s="74" t="s">
        <v>567</v>
      </c>
      <c r="P80" s="74" t="s">
        <v>204</v>
      </c>
      <c r="Q80" s="74" t="s">
        <v>205</v>
      </c>
      <c r="R80" s="88">
        <v>45511</v>
      </c>
    </row>
    <row r="81" spans="11:18">
      <c r="K81" s="74">
        <v>400</v>
      </c>
      <c r="L81" s="74" t="s">
        <v>523</v>
      </c>
      <c r="M81" s="89">
        <v>29810270101519</v>
      </c>
      <c r="N81" s="74" t="s">
        <v>225</v>
      </c>
      <c r="O81" s="74" t="s">
        <v>564</v>
      </c>
      <c r="P81" s="74" t="s">
        <v>204</v>
      </c>
      <c r="Q81" s="74" t="s">
        <v>205</v>
      </c>
      <c r="R81" s="88">
        <v>45517</v>
      </c>
    </row>
    <row r="82" spans="11:18">
      <c r="K82" s="74">
        <v>401</v>
      </c>
      <c r="L82" s="74" t="s">
        <v>524</v>
      </c>
      <c r="M82" s="89">
        <v>27301211204771</v>
      </c>
      <c r="N82" s="74" t="s">
        <v>203</v>
      </c>
      <c r="P82" s="74" t="s">
        <v>204</v>
      </c>
      <c r="Q82" s="74" t="s">
        <v>263</v>
      </c>
      <c r="R82" s="88">
        <v>45516</v>
      </c>
    </row>
    <row r="83" spans="11:18">
      <c r="K83" s="74">
        <v>402</v>
      </c>
      <c r="L83" s="74" t="s">
        <v>525</v>
      </c>
      <c r="M83" s="89">
        <v>27309251700756</v>
      </c>
      <c r="N83" s="74" t="s">
        <v>225</v>
      </c>
      <c r="P83" s="74" t="s">
        <v>204</v>
      </c>
      <c r="Q83" s="74" t="s">
        <v>263</v>
      </c>
      <c r="R83" s="88">
        <v>45517</v>
      </c>
    </row>
    <row r="84" spans="11:18">
      <c r="K84" s="74">
        <v>404</v>
      </c>
      <c r="L84" s="74" t="s">
        <v>526</v>
      </c>
      <c r="M84" s="89">
        <v>30109290101804</v>
      </c>
      <c r="N84" s="74" t="s">
        <v>228</v>
      </c>
      <c r="O84" s="74" t="s">
        <v>570</v>
      </c>
      <c r="P84" s="74" t="s">
        <v>204</v>
      </c>
      <c r="Q84" s="74" t="s">
        <v>205</v>
      </c>
      <c r="R84" s="88">
        <v>45519</v>
      </c>
    </row>
    <row r="85" spans="11:18">
      <c r="K85" s="74">
        <v>410</v>
      </c>
      <c r="L85" s="74" t="s">
        <v>527</v>
      </c>
      <c r="M85" s="89">
        <v>30605100100332</v>
      </c>
      <c r="N85" s="74" t="s">
        <v>225</v>
      </c>
      <c r="O85" s="74" t="s">
        <v>567</v>
      </c>
      <c r="P85" s="74" t="s">
        <v>204</v>
      </c>
      <c r="Q85" s="74" t="s">
        <v>205</v>
      </c>
      <c r="R85" s="88">
        <v>45521</v>
      </c>
    </row>
    <row r="86" spans="11:18">
      <c r="K86" s="74">
        <v>416</v>
      </c>
      <c r="L86" s="74" t="s">
        <v>528</v>
      </c>
      <c r="M86" s="89">
        <v>27610261201733</v>
      </c>
      <c r="N86" s="74" t="s">
        <v>225</v>
      </c>
      <c r="P86" s="74" t="s">
        <v>204</v>
      </c>
      <c r="Q86" s="74" t="s">
        <v>263</v>
      </c>
      <c r="R86" s="88">
        <v>45531</v>
      </c>
    </row>
    <row r="87" spans="11:18">
      <c r="K87" s="74">
        <v>418</v>
      </c>
      <c r="L87" s="74" t="s">
        <v>529</v>
      </c>
      <c r="M87" s="89">
        <v>28302221701951</v>
      </c>
      <c r="N87" s="74" t="s">
        <v>225</v>
      </c>
      <c r="O87" s="74" t="s">
        <v>225</v>
      </c>
      <c r="P87" s="74" t="s">
        <v>204</v>
      </c>
      <c r="Q87" s="74" t="s">
        <v>263</v>
      </c>
      <c r="R87" s="88">
        <v>45539</v>
      </c>
    </row>
    <row r="88" spans="11:18">
      <c r="K88" s="74">
        <v>421</v>
      </c>
      <c r="L88" s="74" t="s">
        <v>413</v>
      </c>
      <c r="M88" s="89">
        <v>30609022100334</v>
      </c>
      <c r="N88" s="74" t="s">
        <v>225</v>
      </c>
      <c r="O88" s="74" t="s">
        <v>567</v>
      </c>
      <c r="P88" s="74" t="s">
        <v>204</v>
      </c>
      <c r="Q88" s="74" t="s">
        <v>205</v>
      </c>
      <c r="R88" s="88">
        <v>45539</v>
      </c>
    </row>
    <row r="89" spans="11:18">
      <c r="K89" s="74">
        <v>425</v>
      </c>
      <c r="L89" s="74" t="s">
        <v>530</v>
      </c>
      <c r="M89" s="89">
        <v>29403171201019</v>
      </c>
      <c r="N89" s="74" t="s">
        <v>225</v>
      </c>
      <c r="O89" s="74" t="s">
        <v>392</v>
      </c>
      <c r="P89" s="74" t="s">
        <v>204</v>
      </c>
      <c r="Q89" s="74" t="s">
        <v>263</v>
      </c>
      <c r="R89" s="88">
        <v>45566</v>
      </c>
    </row>
    <row r="90" spans="11:18">
      <c r="K90" s="74">
        <v>426</v>
      </c>
      <c r="L90" s="74" t="s">
        <v>531</v>
      </c>
      <c r="M90" s="89">
        <v>29908201201021</v>
      </c>
      <c r="N90" s="74" t="s">
        <v>228</v>
      </c>
      <c r="O90" s="74" t="s">
        <v>228</v>
      </c>
      <c r="P90" s="74" t="s">
        <v>204</v>
      </c>
      <c r="Q90" s="74" t="s">
        <v>263</v>
      </c>
      <c r="R90" s="88">
        <v>45539</v>
      </c>
    </row>
    <row r="91" spans="11:18">
      <c r="K91" s="74">
        <v>428</v>
      </c>
      <c r="L91" s="74" t="s">
        <v>532</v>
      </c>
      <c r="M91" s="89">
        <v>29101201401488</v>
      </c>
      <c r="N91" s="74" t="s">
        <v>215</v>
      </c>
      <c r="O91" s="74" t="s">
        <v>216</v>
      </c>
      <c r="P91" s="74" t="s">
        <v>208</v>
      </c>
      <c r="Q91" s="74" t="s">
        <v>205</v>
      </c>
      <c r="R91" s="88">
        <v>45566</v>
      </c>
    </row>
    <row r="92" spans="11:18">
      <c r="K92" s="74">
        <v>444</v>
      </c>
      <c r="L92" s="74" t="s">
        <v>533</v>
      </c>
      <c r="M92" s="89">
        <v>30301181400409</v>
      </c>
      <c r="N92" s="74" t="s">
        <v>228</v>
      </c>
      <c r="O92" s="74" t="s">
        <v>566</v>
      </c>
      <c r="P92" s="74" t="s">
        <v>204</v>
      </c>
      <c r="Q92" s="74" t="s">
        <v>205</v>
      </c>
      <c r="R92" s="88">
        <v>45557</v>
      </c>
    </row>
    <row r="93" spans="11:18">
      <c r="K93" s="74">
        <v>445</v>
      </c>
      <c r="L93" s="74" t="s">
        <v>402</v>
      </c>
      <c r="M93" s="89">
        <v>29012100105168</v>
      </c>
      <c r="N93" s="74" t="s">
        <v>219</v>
      </c>
      <c r="O93" s="74" t="s">
        <v>220</v>
      </c>
      <c r="P93" s="74" t="s">
        <v>208</v>
      </c>
      <c r="Q93" s="74" t="s">
        <v>205</v>
      </c>
      <c r="R93" s="88">
        <v>45557</v>
      </c>
    </row>
    <row r="94" spans="11:18">
      <c r="K94" s="74">
        <v>448</v>
      </c>
      <c r="L94" s="74" t="s">
        <v>534</v>
      </c>
      <c r="M94" s="89">
        <v>30201111402604</v>
      </c>
      <c r="N94" s="74" t="s">
        <v>228</v>
      </c>
      <c r="O94" s="74" t="s">
        <v>352</v>
      </c>
      <c r="P94" s="74" t="s">
        <v>204</v>
      </c>
      <c r="Q94" s="74" t="s">
        <v>205</v>
      </c>
      <c r="R94" s="88">
        <v>45561</v>
      </c>
    </row>
    <row r="95" spans="11:18">
      <c r="K95" s="74">
        <v>456</v>
      </c>
      <c r="L95" s="74" t="s">
        <v>414</v>
      </c>
      <c r="M95" s="89">
        <v>28705180300154</v>
      </c>
      <c r="N95" s="74" t="s">
        <v>225</v>
      </c>
      <c r="O95" s="74" t="s">
        <v>568</v>
      </c>
      <c r="P95" s="74" t="s">
        <v>204</v>
      </c>
      <c r="Q95" s="74" t="s">
        <v>205</v>
      </c>
      <c r="R95" s="88">
        <v>45570</v>
      </c>
    </row>
    <row r="96" spans="11:18">
      <c r="K96" s="74">
        <v>460</v>
      </c>
      <c r="L96" s="74" t="s">
        <v>408</v>
      </c>
      <c r="M96" s="89">
        <v>30205240100555</v>
      </c>
      <c r="N96" s="74" t="s">
        <v>225</v>
      </c>
      <c r="O96" s="74" t="s">
        <v>574</v>
      </c>
      <c r="P96" s="74" t="s">
        <v>204</v>
      </c>
      <c r="Q96" s="74" t="s">
        <v>205</v>
      </c>
      <c r="R96" s="88" t="s">
        <v>588</v>
      </c>
    </row>
    <row r="97" spans="11:18">
      <c r="K97" s="74">
        <v>461</v>
      </c>
      <c r="L97" s="74" t="s">
        <v>535</v>
      </c>
      <c r="M97" s="89">
        <v>29305041401219</v>
      </c>
      <c r="N97" s="74" t="s">
        <v>222</v>
      </c>
      <c r="O97" s="74" t="s">
        <v>567</v>
      </c>
      <c r="P97" s="74" t="s">
        <v>204</v>
      </c>
      <c r="Q97" s="74" t="s">
        <v>205</v>
      </c>
      <c r="R97" s="88">
        <v>45574</v>
      </c>
    </row>
    <row r="98" spans="11:18">
      <c r="K98" s="74">
        <v>462</v>
      </c>
      <c r="L98" s="74" t="s">
        <v>536</v>
      </c>
      <c r="M98" s="89">
        <v>0</v>
      </c>
      <c r="N98" s="74" t="s">
        <v>228</v>
      </c>
      <c r="O98" s="74" t="s">
        <v>392</v>
      </c>
      <c r="P98" s="74" t="s">
        <v>204</v>
      </c>
      <c r="Q98" s="74" t="s">
        <v>263</v>
      </c>
      <c r="R98" s="88">
        <v>45574</v>
      </c>
    </row>
    <row r="99" spans="11:18">
      <c r="K99" s="74">
        <v>466</v>
      </c>
      <c r="L99" s="74" t="s">
        <v>537</v>
      </c>
      <c r="M99" s="89">
        <v>29309251200181</v>
      </c>
      <c r="N99" s="74" t="s">
        <v>228</v>
      </c>
      <c r="O99" s="74" t="s">
        <v>392</v>
      </c>
      <c r="P99" s="74" t="s">
        <v>204</v>
      </c>
      <c r="Q99" s="74" t="s">
        <v>263</v>
      </c>
      <c r="R99" s="88">
        <v>45575</v>
      </c>
    </row>
    <row r="100" spans="11:18">
      <c r="K100" s="74">
        <v>467</v>
      </c>
      <c r="L100" s="74" t="s">
        <v>538</v>
      </c>
      <c r="M100" s="89">
        <v>30102051204885</v>
      </c>
      <c r="N100" s="74" t="s">
        <v>228</v>
      </c>
      <c r="O100" s="74" t="s">
        <v>392</v>
      </c>
      <c r="P100" s="74" t="s">
        <v>204</v>
      </c>
      <c r="Q100" s="74" t="s">
        <v>263</v>
      </c>
      <c r="R100" s="88">
        <v>45575</v>
      </c>
    </row>
    <row r="101" spans="11:18">
      <c r="K101" s="74">
        <v>468</v>
      </c>
      <c r="L101" s="74" t="s">
        <v>412</v>
      </c>
      <c r="M101" s="89">
        <v>29405100101555</v>
      </c>
      <c r="N101" s="74" t="s">
        <v>225</v>
      </c>
      <c r="O101" s="74" t="s">
        <v>564</v>
      </c>
      <c r="P101" s="74" t="s">
        <v>204</v>
      </c>
      <c r="Q101" s="74" t="s">
        <v>205</v>
      </c>
      <c r="R101" s="88">
        <v>45578</v>
      </c>
    </row>
    <row r="102" spans="11:18">
      <c r="K102" s="74">
        <v>473</v>
      </c>
      <c r="L102" s="74" t="s">
        <v>539</v>
      </c>
      <c r="M102" s="89">
        <v>30406050100589</v>
      </c>
      <c r="N102" s="74" t="s">
        <v>228</v>
      </c>
      <c r="O102" s="74" t="s">
        <v>392</v>
      </c>
      <c r="P102" s="74" t="s">
        <v>204</v>
      </c>
      <c r="Q102" s="74" t="s">
        <v>205</v>
      </c>
      <c r="R102" s="88">
        <v>45582</v>
      </c>
    </row>
    <row r="103" spans="11:18">
      <c r="K103" s="74">
        <v>475</v>
      </c>
      <c r="L103" s="74" t="s">
        <v>540</v>
      </c>
      <c r="M103" s="89">
        <v>11894014000</v>
      </c>
      <c r="N103" s="74" t="s">
        <v>225</v>
      </c>
      <c r="O103" s="74" t="s">
        <v>575</v>
      </c>
      <c r="P103" s="74" t="s">
        <v>204</v>
      </c>
      <c r="Q103" s="74" t="s">
        <v>205</v>
      </c>
      <c r="R103" s="88">
        <v>45584</v>
      </c>
    </row>
    <row r="104" spans="11:18">
      <c r="K104" s="74">
        <v>478</v>
      </c>
      <c r="L104" s="74" t="s">
        <v>541</v>
      </c>
      <c r="M104" s="89">
        <v>29701011237298</v>
      </c>
      <c r="N104" s="74" t="s">
        <v>225</v>
      </c>
      <c r="O104" s="74" t="s">
        <v>225</v>
      </c>
      <c r="P104" s="74" t="s">
        <v>204</v>
      </c>
      <c r="Q104" s="74" t="s">
        <v>263</v>
      </c>
      <c r="R104" s="88">
        <v>45591</v>
      </c>
    </row>
    <row r="105" spans="11:18">
      <c r="K105" s="74">
        <v>479</v>
      </c>
      <c r="L105" s="74" t="s">
        <v>542</v>
      </c>
      <c r="M105" s="89">
        <v>30007160105266</v>
      </c>
      <c r="N105" s="74" t="s">
        <v>584</v>
      </c>
      <c r="O105" s="74" t="s">
        <v>232</v>
      </c>
      <c r="P105" s="74" t="s">
        <v>208</v>
      </c>
      <c r="Q105" s="74" t="s">
        <v>205</v>
      </c>
      <c r="R105" s="88">
        <v>45591</v>
      </c>
    </row>
    <row r="106" spans="11:18">
      <c r="K106" s="74">
        <v>482</v>
      </c>
      <c r="L106" s="74" t="s">
        <v>543</v>
      </c>
      <c r="M106" s="89">
        <v>30204190100501</v>
      </c>
      <c r="N106" s="74" t="s">
        <v>228</v>
      </c>
      <c r="O106" s="74" t="s">
        <v>566</v>
      </c>
      <c r="P106" s="74" t="s">
        <v>204</v>
      </c>
      <c r="Q106" s="74" t="s">
        <v>205</v>
      </c>
      <c r="R106" s="88">
        <v>45593</v>
      </c>
    </row>
    <row r="107" spans="11:18">
      <c r="K107" s="74">
        <v>483</v>
      </c>
      <c r="L107" s="74" t="s">
        <v>544</v>
      </c>
      <c r="M107" s="89">
        <v>30006180104545</v>
      </c>
      <c r="N107" s="74" t="s">
        <v>216</v>
      </c>
      <c r="O107" s="74" t="s">
        <v>216</v>
      </c>
      <c r="P107" s="74" t="s">
        <v>208</v>
      </c>
      <c r="Q107" s="74" t="s">
        <v>205</v>
      </c>
      <c r="R107" s="88">
        <v>45598</v>
      </c>
    </row>
    <row r="108" spans="11:18">
      <c r="K108" s="74">
        <v>484</v>
      </c>
      <c r="L108" s="74" t="s">
        <v>545</v>
      </c>
      <c r="M108" s="89">
        <v>28807031200187</v>
      </c>
      <c r="N108" s="74" t="s">
        <v>215</v>
      </c>
      <c r="O108" s="74" t="s">
        <v>216</v>
      </c>
      <c r="P108" s="74" t="s">
        <v>208</v>
      </c>
      <c r="Q108" s="74" t="s">
        <v>263</v>
      </c>
      <c r="R108" s="88">
        <v>45598</v>
      </c>
    </row>
    <row r="109" spans="11:18">
      <c r="K109" s="74">
        <v>485</v>
      </c>
      <c r="L109" s="74" t="s">
        <v>546</v>
      </c>
      <c r="M109" s="89">
        <v>29710250105424</v>
      </c>
      <c r="N109" s="74" t="s">
        <v>216</v>
      </c>
      <c r="O109" s="74" t="s">
        <v>216</v>
      </c>
      <c r="P109" s="74" t="s">
        <v>208</v>
      </c>
      <c r="Q109" s="74" t="s">
        <v>205</v>
      </c>
      <c r="R109" s="88">
        <v>45598</v>
      </c>
    </row>
    <row r="110" spans="11:18">
      <c r="K110" s="74">
        <v>486</v>
      </c>
      <c r="L110" s="74" t="s">
        <v>547</v>
      </c>
      <c r="M110" s="89">
        <v>29411260100148</v>
      </c>
      <c r="N110" s="74" t="s">
        <v>228</v>
      </c>
      <c r="O110" s="74" t="s">
        <v>568</v>
      </c>
      <c r="P110" s="74" t="s">
        <v>204</v>
      </c>
      <c r="Q110" s="74" t="s">
        <v>205</v>
      </c>
      <c r="R110" s="88">
        <v>45600</v>
      </c>
    </row>
    <row r="111" spans="11:18">
      <c r="K111" s="74">
        <v>487</v>
      </c>
      <c r="L111" s="74" t="s">
        <v>548</v>
      </c>
      <c r="M111" s="89">
        <v>30509300112158</v>
      </c>
      <c r="N111" s="74" t="s">
        <v>225</v>
      </c>
      <c r="O111" s="74" t="s">
        <v>570</v>
      </c>
      <c r="P111" s="74" t="s">
        <v>204</v>
      </c>
      <c r="Q111" s="74" t="s">
        <v>205</v>
      </c>
      <c r="R111" s="88">
        <v>45600</v>
      </c>
    </row>
    <row r="112" spans="11:18">
      <c r="K112" s="74">
        <v>492</v>
      </c>
      <c r="L112" s="74" t="s">
        <v>417</v>
      </c>
      <c r="M112" s="89">
        <v>28206152104831</v>
      </c>
      <c r="N112" s="74" t="s">
        <v>211</v>
      </c>
      <c r="O112" s="74" t="s">
        <v>576</v>
      </c>
      <c r="P112" s="74" t="s">
        <v>208</v>
      </c>
      <c r="Q112" s="74" t="s">
        <v>205</v>
      </c>
      <c r="R112" s="88">
        <v>45605</v>
      </c>
    </row>
    <row r="113" spans="11:18">
      <c r="K113" s="74">
        <v>493</v>
      </c>
      <c r="L113" s="74" t="s">
        <v>549</v>
      </c>
      <c r="M113" s="89">
        <v>29809301408733</v>
      </c>
      <c r="N113" s="74" t="s">
        <v>585</v>
      </c>
      <c r="O113" s="74" t="s">
        <v>211</v>
      </c>
      <c r="P113" s="74" t="s">
        <v>208</v>
      </c>
      <c r="Q113" s="74" t="s">
        <v>205</v>
      </c>
      <c r="R113" s="88">
        <v>45605</v>
      </c>
    </row>
    <row r="114" spans="11:18">
      <c r="K114" s="74">
        <v>494</v>
      </c>
      <c r="L114" s="74" t="s">
        <v>550</v>
      </c>
      <c r="M114" s="89">
        <v>29010271200832</v>
      </c>
      <c r="N114" s="74" t="s">
        <v>225</v>
      </c>
      <c r="P114" s="74" t="s">
        <v>204</v>
      </c>
      <c r="Q114" s="74" t="s">
        <v>263</v>
      </c>
      <c r="R114" s="88" t="s">
        <v>587</v>
      </c>
    </row>
    <row r="115" spans="11:18">
      <c r="K115" s="74">
        <v>495</v>
      </c>
      <c r="L115" s="74" t="s">
        <v>427</v>
      </c>
      <c r="M115" s="89">
        <v>28811140101862</v>
      </c>
      <c r="N115" s="74" t="s">
        <v>228</v>
      </c>
      <c r="O115" s="74" t="s">
        <v>564</v>
      </c>
      <c r="P115" s="74" t="s">
        <v>204</v>
      </c>
      <c r="Q115" s="74" t="s">
        <v>205</v>
      </c>
      <c r="R115" s="88" t="s">
        <v>589</v>
      </c>
    </row>
    <row r="116" spans="11:18">
      <c r="K116" s="74">
        <v>497</v>
      </c>
      <c r="L116" s="74" t="s">
        <v>551</v>
      </c>
      <c r="M116" s="89">
        <v>30606290101654</v>
      </c>
      <c r="N116" s="74" t="s">
        <v>225</v>
      </c>
      <c r="O116" s="74" t="s">
        <v>376</v>
      </c>
      <c r="P116" s="74" t="s">
        <v>204</v>
      </c>
      <c r="Q116" s="74" t="s">
        <v>205</v>
      </c>
      <c r="R116" s="88" t="s">
        <v>590</v>
      </c>
    </row>
    <row r="117" spans="11:18">
      <c r="K117" s="74">
        <v>498</v>
      </c>
      <c r="L117" s="74" t="s">
        <v>552</v>
      </c>
      <c r="M117" s="89">
        <v>30410011200166</v>
      </c>
      <c r="N117" s="74" t="s">
        <v>228</v>
      </c>
      <c r="P117" s="74" t="s">
        <v>204</v>
      </c>
      <c r="Q117" s="74" t="s">
        <v>263</v>
      </c>
      <c r="R117" s="88" t="s">
        <v>590</v>
      </c>
    </row>
    <row r="118" spans="11:18">
      <c r="K118" s="74">
        <v>500</v>
      </c>
      <c r="L118" s="74" t="s">
        <v>553</v>
      </c>
      <c r="M118" s="89">
        <v>29202021200043</v>
      </c>
      <c r="N118" s="74" t="s">
        <v>228</v>
      </c>
      <c r="P118" s="74" t="s">
        <v>204</v>
      </c>
      <c r="Q118" s="74" t="s">
        <v>263</v>
      </c>
      <c r="R118" s="88" t="s">
        <v>591</v>
      </c>
    </row>
    <row r="119" spans="11:18">
      <c r="K119" s="74">
        <v>502</v>
      </c>
      <c r="L119" s="74" t="s">
        <v>554</v>
      </c>
      <c r="M119" s="89">
        <v>28101011234263</v>
      </c>
      <c r="N119" s="74" t="s">
        <v>228</v>
      </c>
      <c r="P119" s="74" t="s">
        <v>204</v>
      </c>
      <c r="Q119" s="74" t="s">
        <v>263</v>
      </c>
      <c r="R119" s="88">
        <v>45617</v>
      </c>
    </row>
    <row r="120" spans="11:18">
      <c r="K120" s="74">
        <v>503</v>
      </c>
      <c r="L120" s="74" t="s">
        <v>555</v>
      </c>
      <c r="M120" s="89">
        <v>29007171200117</v>
      </c>
      <c r="N120" s="74" t="s">
        <v>585</v>
      </c>
      <c r="O120" s="74" t="s">
        <v>211</v>
      </c>
      <c r="P120" s="74" t="s">
        <v>208</v>
      </c>
      <c r="Q120" s="74" t="s">
        <v>263</v>
      </c>
      <c r="R120" s="88" t="s">
        <v>592</v>
      </c>
    </row>
    <row r="121" spans="11:18">
      <c r="K121" s="74">
        <v>504</v>
      </c>
      <c r="L121" s="74" t="s">
        <v>556</v>
      </c>
      <c r="M121" s="89">
        <v>30609142100214</v>
      </c>
      <c r="N121" s="74" t="s">
        <v>225</v>
      </c>
      <c r="O121" s="74" t="s">
        <v>570</v>
      </c>
      <c r="P121" s="74" t="s">
        <v>204</v>
      </c>
      <c r="Q121" s="74" t="s">
        <v>205</v>
      </c>
      <c r="R121" s="88" t="s">
        <v>593</v>
      </c>
    </row>
    <row r="122" spans="11:18">
      <c r="K122" s="74">
        <v>507</v>
      </c>
      <c r="L122" s="74" t="s">
        <v>557</v>
      </c>
      <c r="M122" s="89">
        <v>28309011214114</v>
      </c>
      <c r="N122" s="74" t="s">
        <v>585</v>
      </c>
      <c r="O122" s="74" t="s">
        <v>211</v>
      </c>
      <c r="P122" s="74" t="s">
        <v>208</v>
      </c>
      <c r="Q122" s="74" t="s">
        <v>263</v>
      </c>
      <c r="R122" s="88" t="s">
        <v>594</v>
      </c>
    </row>
    <row r="123" spans="11:18">
      <c r="K123" s="74">
        <v>508</v>
      </c>
      <c r="L123" s="74" t="s">
        <v>558</v>
      </c>
      <c r="M123" s="89">
        <v>30409022100408</v>
      </c>
      <c r="N123" s="74" t="s">
        <v>228</v>
      </c>
      <c r="O123" s="74" t="s">
        <v>565</v>
      </c>
      <c r="P123" s="74" t="s">
        <v>204</v>
      </c>
      <c r="Q123" s="74" t="s">
        <v>205</v>
      </c>
      <c r="R123" s="88" t="s">
        <v>594</v>
      </c>
    </row>
    <row r="124" spans="11:18">
      <c r="K124" s="74">
        <v>509</v>
      </c>
      <c r="L124" s="74" t="s">
        <v>559</v>
      </c>
      <c r="M124" s="89">
        <v>29804181200538</v>
      </c>
      <c r="N124" s="74" t="s">
        <v>225</v>
      </c>
      <c r="P124" s="74" t="s">
        <v>204</v>
      </c>
      <c r="Q124" s="74" t="s">
        <v>263</v>
      </c>
      <c r="R124" s="88" t="s">
        <v>595</v>
      </c>
    </row>
    <row r="125" spans="11:18">
      <c r="K125" s="74">
        <v>511</v>
      </c>
      <c r="L125" s="74" t="s">
        <v>424</v>
      </c>
      <c r="M125" s="89">
        <v>30506120107181</v>
      </c>
      <c r="N125" s="74" t="s">
        <v>228</v>
      </c>
      <c r="O125" s="74" t="s">
        <v>422</v>
      </c>
      <c r="P125" s="74" t="s">
        <v>204</v>
      </c>
      <c r="Q125" s="74" t="s">
        <v>205</v>
      </c>
      <c r="R125" s="88">
        <v>45624</v>
      </c>
    </row>
    <row r="126" spans="11:18">
      <c r="K126" s="74">
        <v>512</v>
      </c>
      <c r="L126" s="74" t="s">
        <v>421</v>
      </c>
      <c r="M126" s="89">
        <v>28208060104129</v>
      </c>
      <c r="N126" s="74" t="s">
        <v>228</v>
      </c>
      <c r="O126" s="74" t="s">
        <v>639</v>
      </c>
      <c r="P126" s="74" t="s">
        <v>204</v>
      </c>
      <c r="Q126" s="74" t="s">
        <v>205</v>
      </c>
      <c r="R126" s="88" t="s">
        <v>593</v>
      </c>
    </row>
    <row r="127" spans="11:18">
      <c r="K127" s="74">
        <v>514</v>
      </c>
      <c r="L127" s="74" t="s">
        <v>455</v>
      </c>
      <c r="M127" s="89">
        <v>30207210103056</v>
      </c>
      <c r="N127" s="74" t="s">
        <v>225</v>
      </c>
      <c r="O127" s="74" t="s">
        <v>564</v>
      </c>
      <c r="P127" s="74" t="s">
        <v>204</v>
      </c>
      <c r="Q127" s="74" t="s">
        <v>205</v>
      </c>
      <c r="R127" s="88">
        <v>45629</v>
      </c>
    </row>
    <row r="128" spans="11:18">
      <c r="K128" s="74">
        <v>515</v>
      </c>
      <c r="L128" s="74" t="s">
        <v>456</v>
      </c>
      <c r="M128" s="89">
        <v>28406011410539</v>
      </c>
      <c r="N128" s="74" t="s">
        <v>219</v>
      </c>
      <c r="O128" s="74" t="s">
        <v>220</v>
      </c>
      <c r="P128" s="74" t="s">
        <v>208</v>
      </c>
      <c r="Q128" s="74" t="s">
        <v>205</v>
      </c>
      <c r="R128" s="88">
        <v>45629</v>
      </c>
    </row>
    <row r="129" spans="11:18">
      <c r="K129" s="74">
        <v>517</v>
      </c>
      <c r="L129" s="74" t="s">
        <v>457</v>
      </c>
      <c r="M129" s="89">
        <v>30506110103684</v>
      </c>
      <c r="N129" s="74" t="s">
        <v>583</v>
      </c>
      <c r="O129" s="74" t="s">
        <v>564</v>
      </c>
      <c r="P129" s="74" t="s">
        <v>204</v>
      </c>
      <c r="Q129" s="74" t="s">
        <v>205</v>
      </c>
      <c r="R129" s="88">
        <v>45630</v>
      </c>
    </row>
    <row r="130" spans="11:18">
      <c r="K130" s="74">
        <v>518</v>
      </c>
      <c r="L130" s="74" t="s">
        <v>458</v>
      </c>
      <c r="M130" s="89">
        <v>30506130100363</v>
      </c>
      <c r="N130" s="74" t="s">
        <v>583</v>
      </c>
      <c r="O130" s="74" t="s">
        <v>564</v>
      </c>
      <c r="P130" s="74" t="s">
        <v>204</v>
      </c>
      <c r="Q130" s="74" t="s">
        <v>205</v>
      </c>
      <c r="R130" s="88">
        <v>45630</v>
      </c>
    </row>
    <row r="131" spans="11:18">
      <c r="K131" s="74">
        <v>519</v>
      </c>
      <c r="L131" s="74" t="s">
        <v>420</v>
      </c>
      <c r="M131" s="89">
        <v>30406040100378</v>
      </c>
      <c r="N131" s="74" t="s">
        <v>225</v>
      </c>
      <c r="O131" s="74" t="s">
        <v>566</v>
      </c>
      <c r="P131" s="74" t="s">
        <v>204</v>
      </c>
      <c r="Q131" s="74" t="s">
        <v>205</v>
      </c>
      <c r="R131" s="88">
        <v>45630</v>
      </c>
    </row>
    <row r="132" spans="11:18">
      <c r="K132" s="74">
        <v>520</v>
      </c>
      <c r="L132" s="74" t="s">
        <v>459</v>
      </c>
      <c r="M132" s="89">
        <v>30202100101161</v>
      </c>
      <c r="N132" s="74" t="s">
        <v>583</v>
      </c>
      <c r="O132" s="74" t="s">
        <v>566</v>
      </c>
      <c r="P132" s="74" t="s">
        <v>204</v>
      </c>
      <c r="Q132" s="74" t="s">
        <v>205</v>
      </c>
      <c r="R132" s="88">
        <v>45630</v>
      </c>
    </row>
    <row r="133" spans="11:18">
      <c r="K133" s="74">
        <v>522</v>
      </c>
      <c r="L133" s="74" t="s">
        <v>460</v>
      </c>
      <c r="M133" s="89">
        <v>29107021200806</v>
      </c>
      <c r="N133" s="74" t="s">
        <v>228</v>
      </c>
      <c r="P133" s="74" t="s">
        <v>204</v>
      </c>
      <c r="Q133" s="74" t="s">
        <v>263</v>
      </c>
      <c r="R133" s="88">
        <v>45650</v>
      </c>
    </row>
    <row r="134" spans="11:18">
      <c r="K134" s="74">
        <v>523</v>
      </c>
      <c r="L134" s="74" t="s">
        <v>461</v>
      </c>
      <c r="M134" s="89">
        <v>27705291201101</v>
      </c>
      <c r="N134" s="74" t="s">
        <v>583</v>
      </c>
      <c r="P134" s="74" t="s">
        <v>204</v>
      </c>
      <c r="Q134" s="74" t="s">
        <v>263</v>
      </c>
      <c r="R134" s="88">
        <v>45631</v>
      </c>
    </row>
    <row r="135" spans="11:18">
      <c r="K135" s="74">
        <v>524</v>
      </c>
      <c r="L135" s="74" t="s">
        <v>462</v>
      </c>
      <c r="M135" s="89">
        <v>29507162103187</v>
      </c>
      <c r="N135" s="74" t="s">
        <v>583</v>
      </c>
      <c r="O135" s="74" t="s">
        <v>577</v>
      </c>
      <c r="P135" s="74" t="s">
        <v>204</v>
      </c>
      <c r="Q135" s="74" t="s">
        <v>205</v>
      </c>
      <c r="R135" s="88">
        <v>45633</v>
      </c>
    </row>
    <row r="136" spans="11:18">
      <c r="K136" s="74">
        <v>525</v>
      </c>
      <c r="L136" s="74" t="s">
        <v>463</v>
      </c>
      <c r="M136" s="89">
        <v>30110102505047</v>
      </c>
      <c r="N136" s="74" t="s">
        <v>583</v>
      </c>
      <c r="O136" s="74" t="s">
        <v>570</v>
      </c>
      <c r="P136" s="74" t="s">
        <v>204</v>
      </c>
      <c r="Q136" s="74" t="s">
        <v>205</v>
      </c>
      <c r="R136" s="88">
        <v>45633</v>
      </c>
    </row>
    <row r="137" spans="11:18">
      <c r="K137" s="74">
        <v>526</v>
      </c>
      <c r="L137" s="74" t="s">
        <v>464</v>
      </c>
      <c r="M137" s="89">
        <v>30108262102467</v>
      </c>
      <c r="N137" s="74" t="s">
        <v>583</v>
      </c>
      <c r="O137" s="74" t="s">
        <v>570</v>
      </c>
      <c r="P137" s="74" t="s">
        <v>204</v>
      </c>
      <c r="Q137" s="74" t="s">
        <v>205</v>
      </c>
      <c r="R137" s="88">
        <v>45633</v>
      </c>
    </row>
    <row r="138" spans="11:18">
      <c r="K138" s="74">
        <v>527</v>
      </c>
      <c r="L138" s="74" t="s">
        <v>465</v>
      </c>
      <c r="M138" s="89">
        <v>30206020103231</v>
      </c>
      <c r="N138" s="74" t="s">
        <v>203</v>
      </c>
      <c r="O138" s="74" t="s">
        <v>570</v>
      </c>
      <c r="P138" s="74" t="s">
        <v>204</v>
      </c>
      <c r="Q138" s="74" t="s">
        <v>205</v>
      </c>
      <c r="R138" s="88">
        <v>45633</v>
      </c>
    </row>
    <row r="139" spans="11:18">
      <c r="K139" s="74">
        <v>530</v>
      </c>
      <c r="L139" s="74" t="s">
        <v>423</v>
      </c>
      <c r="M139" s="89">
        <v>30502171401488</v>
      </c>
      <c r="N139" s="74" t="s">
        <v>583</v>
      </c>
      <c r="O139" s="74" t="s">
        <v>564</v>
      </c>
      <c r="P139" s="74" t="s">
        <v>204</v>
      </c>
      <c r="Q139" s="74" t="s">
        <v>205</v>
      </c>
      <c r="R139" s="88">
        <v>45635</v>
      </c>
    </row>
    <row r="140" spans="11:18">
      <c r="K140" s="74">
        <v>534</v>
      </c>
      <c r="L140" s="74" t="s">
        <v>466</v>
      </c>
      <c r="M140" s="89">
        <v>30602180104261</v>
      </c>
      <c r="N140" s="74" t="s">
        <v>228</v>
      </c>
      <c r="O140" s="74" t="s">
        <v>564</v>
      </c>
      <c r="P140" s="74" t="s">
        <v>204</v>
      </c>
      <c r="Q140" s="74" t="s">
        <v>205</v>
      </c>
      <c r="R140" s="88">
        <v>45608</v>
      </c>
    </row>
    <row r="141" spans="11:18">
      <c r="K141" s="74">
        <v>536</v>
      </c>
      <c r="L141" s="74" t="s">
        <v>467</v>
      </c>
      <c r="M141" s="89">
        <v>28405201201387</v>
      </c>
      <c r="N141" s="74" t="s">
        <v>583</v>
      </c>
      <c r="P141" s="74" t="s">
        <v>204</v>
      </c>
      <c r="Q141" s="74" t="s">
        <v>263</v>
      </c>
      <c r="R141" s="88">
        <v>45650</v>
      </c>
    </row>
    <row r="142" spans="11:18">
      <c r="K142" s="74">
        <v>539</v>
      </c>
      <c r="L142" s="74" t="s">
        <v>468</v>
      </c>
      <c r="M142" s="89">
        <v>29905220100296</v>
      </c>
      <c r="N142" s="74" t="s">
        <v>239</v>
      </c>
      <c r="O142" s="74" t="s">
        <v>240</v>
      </c>
      <c r="P142" s="74" t="s">
        <v>208</v>
      </c>
      <c r="Q142" s="74" t="s">
        <v>205</v>
      </c>
      <c r="R142" s="88" t="s">
        <v>596</v>
      </c>
    </row>
    <row r="143" spans="11:18">
      <c r="K143" s="74">
        <v>540</v>
      </c>
      <c r="L143" s="74" t="s">
        <v>469</v>
      </c>
      <c r="M143" s="89">
        <v>29710290101723</v>
      </c>
      <c r="N143" s="74" t="s">
        <v>583</v>
      </c>
      <c r="O143" s="74" t="s">
        <v>567</v>
      </c>
      <c r="P143" s="74" t="s">
        <v>204</v>
      </c>
      <c r="Q143" s="74" t="s">
        <v>205</v>
      </c>
      <c r="R143" s="88" t="s">
        <v>596</v>
      </c>
    </row>
    <row r="144" spans="11:18">
      <c r="K144" s="74">
        <v>541</v>
      </c>
      <c r="L144" s="74" t="s">
        <v>470</v>
      </c>
      <c r="M144" s="89">
        <v>29403301201521</v>
      </c>
      <c r="N144" s="74" t="s">
        <v>583</v>
      </c>
      <c r="P144" s="74" t="s">
        <v>204</v>
      </c>
      <c r="Q144" s="74" t="s">
        <v>263</v>
      </c>
      <c r="R144" s="88">
        <v>45651</v>
      </c>
    </row>
    <row r="145" spans="11:18">
      <c r="K145" s="74">
        <v>162</v>
      </c>
      <c r="L145" s="74" t="s">
        <v>261</v>
      </c>
      <c r="M145" s="89"/>
      <c r="N145" s="74" t="s">
        <v>203</v>
      </c>
      <c r="O145" s="74" t="s">
        <v>578</v>
      </c>
      <c r="P145" s="74" t="s">
        <v>204</v>
      </c>
      <c r="Q145" s="74" t="s">
        <v>263</v>
      </c>
      <c r="R145" s="88">
        <v>45173</v>
      </c>
    </row>
    <row r="146" spans="11:18">
      <c r="K146" s="74">
        <v>368</v>
      </c>
      <c r="L146" s="74" t="s">
        <v>471</v>
      </c>
      <c r="M146" s="89"/>
      <c r="N146" s="74" t="s">
        <v>586</v>
      </c>
      <c r="O146" s="74" t="s">
        <v>211</v>
      </c>
      <c r="P146" s="74" t="s">
        <v>208</v>
      </c>
      <c r="Q146" s="74" t="s">
        <v>205</v>
      </c>
      <c r="R146" s="88">
        <v>45500</v>
      </c>
    </row>
    <row r="147" spans="11:18">
      <c r="K147" s="74">
        <v>380</v>
      </c>
      <c r="L147" s="74" t="s">
        <v>395</v>
      </c>
      <c r="M147" s="89"/>
      <c r="N147" s="74" t="s">
        <v>225</v>
      </c>
      <c r="O147" s="74" t="s">
        <v>32</v>
      </c>
      <c r="P147" s="74" t="s">
        <v>204</v>
      </c>
      <c r="Q147" s="74" t="s">
        <v>205</v>
      </c>
      <c r="R147" s="88">
        <v>45508</v>
      </c>
    </row>
    <row r="148" spans="11:18">
      <c r="K148" s="74">
        <v>390</v>
      </c>
      <c r="L148" s="74" t="s">
        <v>472</v>
      </c>
      <c r="M148" s="89"/>
      <c r="N148" s="74" t="s">
        <v>225</v>
      </c>
      <c r="O148" s="74" t="s">
        <v>392</v>
      </c>
      <c r="P148" s="74" t="s">
        <v>204</v>
      </c>
      <c r="Q148" s="74" t="s">
        <v>205</v>
      </c>
      <c r="R148" s="88">
        <v>45509</v>
      </c>
    </row>
    <row r="149" spans="11:18">
      <c r="K149" s="74">
        <v>391</v>
      </c>
      <c r="L149" s="74" t="s">
        <v>473</v>
      </c>
      <c r="M149" s="89"/>
      <c r="N149" s="74" t="s">
        <v>225</v>
      </c>
      <c r="O149" s="74" t="s">
        <v>567</v>
      </c>
      <c r="P149" s="74" t="s">
        <v>204</v>
      </c>
      <c r="Q149" s="74" t="s">
        <v>205</v>
      </c>
      <c r="R149" s="88">
        <v>45631</v>
      </c>
    </row>
    <row r="150" spans="11:18">
      <c r="K150" s="74">
        <v>403</v>
      </c>
      <c r="L150" s="74" t="s">
        <v>405</v>
      </c>
      <c r="M150" s="89"/>
      <c r="N150" s="74" t="s">
        <v>228</v>
      </c>
      <c r="O150" s="74" t="s">
        <v>564</v>
      </c>
      <c r="P150" s="74" t="s">
        <v>204</v>
      </c>
      <c r="Q150" s="74" t="s">
        <v>205</v>
      </c>
      <c r="R150" s="88">
        <v>45511</v>
      </c>
    </row>
    <row r="151" spans="11:18">
      <c r="K151" s="74">
        <v>430</v>
      </c>
      <c r="L151" s="74" t="s">
        <v>474</v>
      </c>
      <c r="M151" s="89"/>
      <c r="N151" s="74" t="s">
        <v>228</v>
      </c>
      <c r="O151" s="74" t="s">
        <v>566</v>
      </c>
      <c r="P151" s="74" t="s">
        <v>204</v>
      </c>
      <c r="Q151" s="74" t="s">
        <v>205</v>
      </c>
      <c r="R151" s="88">
        <v>45540</v>
      </c>
    </row>
    <row r="152" spans="11:18">
      <c r="K152" s="74">
        <v>451</v>
      </c>
      <c r="L152" s="74" t="s">
        <v>475</v>
      </c>
      <c r="M152" s="89"/>
      <c r="N152" s="74" t="s">
        <v>228</v>
      </c>
      <c r="O152" s="74" t="s">
        <v>579</v>
      </c>
      <c r="P152" s="74" t="s">
        <v>204</v>
      </c>
      <c r="Q152" s="74" t="s">
        <v>205</v>
      </c>
      <c r="R152" s="88">
        <v>45565</v>
      </c>
    </row>
    <row r="153" spans="11:18">
      <c r="K153" s="74">
        <v>455</v>
      </c>
      <c r="L153" s="74" t="s">
        <v>476</v>
      </c>
      <c r="M153" s="89"/>
      <c r="N153" s="74" t="s">
        <v>228</v>
      </c>
      <c r="O153" s="74" t="s">
        <v>392</v>
      </c>
      <c r="P153" s="74" t="s">
        <v>204</v>
      </c>
      <c r="Q153" s="74" t="s">
        <v>205</v>
      </c>
      <c r="R153" s="88">
        <v>45570</v>
      </c>
    </row>
    <row r="154" spans="11:18">
      <c r="K154" s="74">
        <v>457</v>
      </c>
      <c r="L154" s="74" t="s">
        <v>409</v>
      </c>
      <c r="M154" s="89"/>
      <c r="N154" s="74" t="s">
        <v>225</v>
      </c>
      <c r="O154" s="74" t="s">
        <v>564</v>
      </c>
      <c r="P154" s="74" t="s">
        <v>204</v>
      </c>
      <c r="Q154" s="74" t="s">
        <v>205</v>
      </c>
      <c r="R154" s="88">
        <v>45572</v>
      </c>
    </row>
    <row r="155" spans="11:18">
      <c r="K155" s="74">
        <v>459</v>
      </c>
      <c r="L155" s="74" t="s">
        <v>477</v>
      </c>
      <c r="M155" s="89"/>
      <c r="N155" s="74" t="s">
        <v>219</v>
      </c>
      <c r="O155" s="74" t="s">
        <v>220</v>
      </c>
      <c r="P155" s="74" t="s">
        <v>208</v>
      </c>
      <c r="Q155" s="74" t="s">
        <v>205</v>
      </c>
      <c r="R155" s="88">
        <v>45573</v>
      </c>
    </row>
    <row r="156" spans="11:18">
      <c r="K156" s="74">
        <v>481</v>
      </c>
      <c r="L156" s="74" t="s">
        <v>478</v>
      </c>
      <c r="M156" s="89"/>
      <c r="N156" s="74" t="s">
        <v>225</v>
      </c>
      <c r="O156" s="74" t="s">
        <v>567</v>
      </c>
      <c r="P156" s="74" t="s">
        <v>204</v>
      </c>
      <c r="Q156" s="74" t="s">
        <v>205</v>
      </c>
      <c r="R156" s="88">
        <v>45600</v>
      </c>
    </row>
    <row r="157" spans="11:18">
      <c r="K157" s="74">
        <v>496</v>
      </c>
      <c r="L157" s="74" t="s">
        <v>479</v>
      </c>
      <c r="M157" s="89"/>
      <c r="N157" s="74" t="s">
        <v>228</v>
      </c>
      <c r="O157" s="74" t="s">
        <v>352</v>
      </c>
      <c r="P157" s="74" t="s">
        <v>204</v>
      </c>
      <c r="Q157" s="74" t="s">
        <v>205</v>
      </c>
      <c r="R157" s="88" t="s">
        <v>590</v>
      </c>
    </row>
    <row r="158" spans="11:18">
      <c r="K158" s="74">
        <v>505</v>
      </c>
      <c r="L158" s="74" t="s">
        <v>480</v>
      </c>
      <c r="M158" s="89"/>
      <c r="N158" s="74" t="s">
        <v>228</v>
      </c>
      <c r="P158" s="74" t="s">
        <v>204</v>
      </c>
      <c r="Q158" s="74" t="s">
        <v>263</v>
      </c>
      <c r="R158" s="88" t="s">
        <v>597</v>
      </c>
    </row>
    <row r="159" spans="11:18">
      <c r="K159" s="74">
        <v>506</v>
      </c>
      <c r="L159" s="74" t="s">
        <v>481</v>
      </c>
      <c r="M159" s="89"/>
      <c r="N159" s="74" t="s">
        <v>228</v>
      </c>
      <c r="O159" s="74" t="s">
        <v>567</v>
      </c>
      <c r="P159" s="74" t="s">
        <v>204</v>
      </c>
      <c r="Q159" s="74" t="s">
        <v>205</v>
      </c>
      <c r="R159" s="88" t="s">
        <v>598</v>
      </c>
    </row>
    <row r="160" spans="11:18">
      <c r="K160" s="74">
        <v>510</v>
      </c>
      <c r="L160" s="74" t="s">
        <v>482</v>
      </c>
      <c r="M160" s="89"/>
      <c r="N160" s="74" t="s">
        <v>225</v>
      </c>
      <c r="O160" s="74" t="s">
        <v>570</v>
      </c>
      <c r="P160" s="74" t="s">
        <v>204</v>
      </c>
      <c r="Q160" s="74" t="s">
        <v>205</v>
      </c>
      <c r="R160" s="88" t="s">
        <v>595</v>
      </c>
    </row>
    <row r="161" spans="11:18">
      <c r="K161" s="74">
        <v>513</v>
      </c>
      <c r="L161" s="74" t="s">
        <v>483</v>
      </c>
      <c r="M161" s="89"/>
      <c r="N161" s="74" t="s">
        <v>228</v>
      </c>
      <c r="O161" s="74" t="s">
        <v>580</v>
      </c>
      <c r="P161" s="74" t="s">
        <v>204</v>
      </c>
      <c r="Q161" s="74" t="s">
        <v>205</v>
      </c>
      <c r="R161" s="88">
        <v>45628</v>
      </c>
    </row>
    <row r="162" spans="11:18">
      <c r="K162" s="74">
        <v>516</v>
      </c>
      <c r="L162" s="74" t="s">
        <v>484</v>
      </c>
      <c r="M162" s="89"/>
      <c r="N162" s="74" t="s">
        <v>225</v>
      </c>
      <c r="O162" s="74" t="s">
        <v>566</v>
      </c>
      <c r="P162" s="74" t="s">
        <v>204</v>
      </c>
      <c r="Q162" s="74" t="s">
        <v>205</v>
      </c>
      <c r="R162" s="88">
        <v>45629</v>
      </c>
    </row>
    <row r="163" spans="11:18">
      <c r="K163" s="74">
        <v>521</v>
      </c>
      <c r="L163" s="74" t="s">
        <v>485</v>
      </c>
      <c r="M163" s="89"/>
      <c r="N163" s="74" t="s">
        <v>583</v>
      </c>
      <c r="P163" s="74" t="s">
        <v>204</v>
      </c>
      <c r="Q163" s="74" t="s">
        <v>263</v>
      </c>
      <c r="R163" s="88">
        <v>45630</v>
      </c>
    </row>
    <row r="164" spans="11:18">
      <c r="K164" s="74" t="s">
        <v>1349</v>
      </c>
      <c r="L164" s="74" t="s">
        <v>486</v>
      </c>
      <c r="M164" s="89"/>
      <c r="N164" s="74" t="s">
        <v>225</v>
      </c>
      <c r="P164" s="74" t="s">
        <v>204</v>
      </c>
      <c r="Q164" s="74" t="s">
        <v>263</v>
      </c>
      <c r="R164" s="88">
        <v>45631</v>
      </c>
    </row>
    <row r="165" spans="11:18">
      <c r="K165" s="74">
        <v>528</v>
      </c>
      <c r="L165" s="74" t="s">
        <v>487</v>
      </c>
      <c r="M165" s="89"/>
      <c r="N165" s="74" t="s">
        <v>583</v>
      </c>
      <c r="O165" s="74" t="s">
        <v>392</v>
      </c>
      <c r="P165" s="74" t="s">
        <v>204</v>
      </c>
      <c r="Q165" s="74" t="s">
        <v>205</v>
      </c>
      <c r="R165" s="88">
        <v>45634</v>
      </c>
    </row>
    <row r="166" spans="11:18">
      <c r="K166" s="74">
        <v>529</v>
      </c>
      <c r="L166" s="74" t="s">
        <v>434</v>
      </c>
      <c r="M166" s="89"/>
      <c r="N166" s="74" t="s">
        <v>225</v>
      </c>
      <c r="O166" s="74" t="s">
        <v>422</v>
      </c>
      <c r="P166" s="74" t="s">
        <v>204</v>
      </c>
      <c r="Q166" s="74" t="s">
        <v>205</v>
      </c>
      <c r="R166" s="88">
        <v>45634</v>
      </c>
    </row>
    <row r="167" spans="11:18">
      <c r="K167" s="74">
        <v>531</v>
      </c>
      <c r="L167" s="74" t="s">
        <v>488</v>
      </c>
      <c r="M167" s="89"/>
      <c r="N167" s="74" t="s">
        <v>583</v>
      </c>
      <c r="O167" s="74" t="s">
        <v>392</v>
      </c>
      <c r="P167" s="74" t="s">
        <v>204</v>
      </c>
      <c r="Q167" s="74" t="s">
        <v>205</v>
      </c>
      <c r="R167" s="88">
        <v>45636</v>
      </c>
    </row>
    <row r="168" spans="11:18">
      <c r="K168" s="74">
        <v>532</v>
      </c>
      <c r="L168" s="74" t="s">
        <v>489</v>
      </c>
      <c r="M168" s="89"/>
      <c r="N168" s="74" t="s">
        <v>583</v>
      </c>
      <c r="P168" s="74" t="s">
        <v>204</v>
      </c>
      <c r="Q168" s="74" t="s">
        <v>263</v>
      </c>
      <c r="R168" s="88">
        <v>45636</v>
      </c>
    </row>
    <row r="169" spans="11:18">
      <c r="K169" s="74">
        <v>533</v>
      </c>
      <c r="L169" s="74" t="s">
        <v>490</v>
      </c>
      <c r="M169" s="89"/>
      <c r="N169" s="74" t="s">
        <v>583</v>
      </c>
      <c r="P169" s="74" t="s">
        <v>204</v>
      </c>
      <c r="Q169" s="74" t="s">
        <v>263</v>
      </c>
      <c r="R169" s="88">
        <v>45636</v>
      </c>
    </row>
    <row r="170" spans="11:18">
      <c r="K170" s="74">
        <v>535</v>
      </c>
      <c r="L170" s="74" t="s">
        <v>491</v>
      </c>
      <c r="M170" s="89"/>
      <c r="N170" s="74" t="s">
        <v>225</v>
      </c>
      <c r="O170" s="74" t="s">
        <v>392</v>
      </c>
      <c r="P170" s="74" t="s">
        <v>204</v>
      </c>
      <c r="Q170" s="74" t="s">
        <v>205</v>
      </c>
      <c r="R170" s="88" t="s">
        <v>599</v>
      </c>
    </row>
    <row r="171" spans="11:18">
      <c r="K171" s="74">
        <v>538</v>
      </c>
      <c r="L171" s="74" t="s">
        <v>492</v>
      </c>
      <c r="M171" s="89"/>
      <c r="N171" s="74" t="s">
        <v>583</v>
      </c>
      <c r="O171" s="74" t="s">
        <v>392</v>
      </c>
      <c r="P171" s="74" t="s">
        <v>204</v>
      </c>
      <c r="Q171" s="74" t="s">
        <v>205</v>
      </c>
      <c r="R171" s="88" t="s">
        <v>600</v>
      </c>
    </row>
    <row r="172" spans="11:18">
      <c r="K172" s="74">
        <v>281</v>
      </c>
      <c r="L172" s="74" t="s">
        <v>344</v>
      </c>
      <c r="N172" s="74" t="s">
        <v>247</v>
      </c>
      <c r="O172" s="74" t="s">
        <v>345</v>
      </c>
      <c r="P172" s="74" t="s">
        <v>204</v>
      </c>
      <c r="Q172" s="74" t="s">
        <v>205</v>
      </c>
    </row>
    <row r="173" spans="11:18">
      <c r="K173" s="74">
        <v>266</v>
      </c>
      <c r="L173" s="74" t="s">
        <v>339</v>
      </c>
      <c r="N173" s="74" t="s">
        <v>247</v>
      </c>
      <c r="O173" s="74" t="s">
        <v>213</v>
      </c>
      <c r="P173" s="74" t="s">
        <v>204</v>
      </c>
      <c r="Q173" s="74" t="s">
        <v>205</v>
      </c>
      <c r="R173" s="88">
        <v>45339</v>
      </c>
    </row>
    <row r="174" spans="11:18">
      <c r="K174" s="74">
        <v>339</v>
      </c>
      <c r="L174" s="74" t="s">
        <v>390</v>
      </c>
      <c r="N174" s="74" t="s">
        <v>222</v>
      </c>
      <c r="O174" s="74" t="s">
        <v>235</v>
      </c>
      <c r="P174" s="74" t="s">
        <v>204</v>
      </c>
      <c r="Q174" s="74" t="s">
        <v>205</v>
      </c>
    </row>
    <row r="175" spans="11:18">
      <c r="K175" s="74">
        <v>3</v>
      </c>
      <c r="L175" s="74" t="s">
        <v>767</v>
      </c>
      <c r="N175" s="74" t="s">
        <v>562</v>
      </c>
      <c r="O175" s="74" t="s">
        <v>225</v>
      </c>
      <c r="P175" s="74" t="s">
        <v>204</v>
      </c>
      <c r="Q175" s="74" t="s">
        <v>768</v>
      </c>
      <c r="R175" s="88">
        <v>45661</v>
      </c>
    </row>
    <row r="176" spans="11:18">
      <c r="K176" s="74">
        <v>128</v>
      </c>
      <c r="L176" s="74" t="s">
        <v>769</v>
      </c>
      <c r="N176" s="74" t="s">
        <v>562</v>
      </c>
      <c r="P176" s="74" t="s">
        <v>204</v>
      </c>
      <c r="Q176" s="74" t="s">
        <v>263</v>
      </c>
      <c r="R176" s="88">
        <v>45657</v>
      </c>
    </row>
    <row r="177" spans="11:18">
      <c r="K177" s="74">
        <v>141</v>
      </c>
      <c r="L177" s="74" t="s">
        <v>770</v>
      </c>
      <c r="N177" s="74" t="s">
        <v>562</v>
      </c>
      <c r="O177" s="74" t="s">
        <v>225</v>
      </c>
      <c r="P177" s="74" t="s">
        <v>204</v>
      </c>
      <c r="Q177" s="74" t="s">
        <v>263</v>
      </c>
      <c r="R177" s="88">
        <v>45669</v>
      </c>
    </row>
    <row r="178" spans="11:18">
      <c r="K178" s="74">
        <v>542</v>
      </c>
      <c r="L178" s="74" t="s">
        <v>771</v>
      </c>
      <c r="N178" s="74" t="s">
        <v>567</v>
      </c>
      <c r="O178" s="74" t="s">
        <v>228</v>
      </c>
      <c r="P178" s="74" t="s">
        <v>204</v>
      </c>
      <c r="Q178" s="74" t="s">
        <v>205</v>
      </c>
      <c r="R178" s="88">
        <v>45652</v>
      </c>
    </row>
    <row r="179" spans="11:18">
      <c r="K179" s="74">
        <v>543</v>
      </c>
      <c r="L179" s="74" t="s">
        <v>666</v>
      </c>
      <c r="N179" s="74" t="s">
        <v>220</v>
      </c>
      <c r="O179" s="74" t="s">
        <v>219</v>
      </c>
      <c r="P179" s="74" t="s">
        <v>208</v>
      </c>
      <c r="Q179" s="74" t="s">
        <v>205</v>
      </c>
      <c r="R179" s="88">
        <v>45654</v>
      </c>
    </row>
    <row r="180" spans="11:18">
      <c r="K180" s="74">
        <v>544</v>
      </c>
      <c r="L180" s="74" t="s">
        <v>772</v>
      </c>
      <c r="N180" s="74" t="s">
        <v>211</v>
      </c>
      <c r="O180" s="74" t="s">
        <v>585</v>
      </c>
      <c r="P180" s="74" t="s">
        <v>208</v>
      </c>
      <c r="Q180" s="74" t="s">
        <v>205</v>
      </c>
      <c r="R180" s="88">
        <v>45658</v>
      </c>
    </row>
    <row r="181" spans="11:18">
      <c r="K181" s="74">
        <v>545</v>
      </c>
      <c r="L181" s="74" t="s">
        <v>656</v>
      </c>
      <c r="N181" s="74" t="s">
        <v>211</v>
      </c>
      <c r="O181" s="74" t="s">
        <v>585</v>
      </c>
      <c r="P181" s="74" t="s">
        <v>208</v>
      </c>
      <c r="Q181" s="74" t="s">
        <v>205</v>
      </c>
      <c r="R181" s="88">
        <v>45658</v>
      </c>
    </row>
    <row r="182" spans="11:18">
      <c r="K182" s="74">
        <v>546</v>
      </c>
      <c r="L182" s="74" t="s">
        <v>773</v>
      </c>
      <c r="N182" s="74" t="s">
        <v>211</v>
      </c>
      <c r="O182" s="74" t="s">
        <v>585</v>
      </c>
      <c r="P182" s="74" t="s">
        <v>208</v>
      </c>
      <c r="Q182" s="74" t="s">
        <v>205</v>
      </c>
      <c r="R182" s="88">
        <v>45658</v>
      </c>
    </row>
    <row r="183" spans="11:18">
      <c r="K183" s="74">
        <v>548</v>
      </c>
      <c r="L183" s="74" t="s">
        <v>774</v>
      </c>
      <c r="N183" s="74" t="s">
        <v>567</v>
      </c>
      <c r="O183" s="74" t="s">
        <v>225</v>
      </c>
      <c r="P183" s="74" t="s">
        <v>204</v>
      </c>
      <c r="Q183" s="74" t="s">
        <v>205</v>
      </c>
      <c r="R183" s="88">
        <v>45662</v>
      </c>
    </row>
    <row r="184" spans="11:18">
      <c r="K184" s="74">
        <v>549</v>
      </c>
      <c r="L184" s="74" t="s">
        <v>775</v>
      </c>
      <c r="N184" s="74" t="s">
        <v>562</v>
      </c>
      <c r="O184" s="74" t="s">
        <v>225</v>
      </c>
      <c r="P184" s="74" t="s">
        <v>204</v>
      </c>
      <c r="Q184" s="74" t="s">
        <v>263</v>
      </c>
      <c r="R184" s="88">
        <v>45662</v>
      </c>
    </row>
    <row r="185" spans="11:18">
      <c r="K185" s="74">
        <v>550</v>
      </c>
      <c r="L185" s="74" t="s">
        <v>776</v>
      </c>
      <c r="N185" s="74" t="s">
        <v>352</v>
      </c>
      <c r="O185" s="74" t="s">
        <v>228</v>
      </c>
      <c r="P185" s="74" t="s">
        <v>204</v>
      </c>
      <c r="Q185" s="74" t="s">
        <v>263</v>
      </c>
      <c r="R185" s="88">
        <v>45662</v>
      </c>
    </row>
    <row r="186" spans="11:18">
      <c r="K186" s="74">
        <v>551</v>
      </c>
      <c r="L186" s="74" t="s">
        <v>777</v>
      </c>
      <c r="N186" s="74" t="s">
        <v>32</v>
      </c>
      <c r="O186" s="74" t="s">
        <v>225</v>
      </c>
      <c r="P186" s="74" t="s">
        <v>204</v>
      </c>
      <c r="Q186" s="74" t="s">
        <v>263</v>
      </c>
      <c r="R186" s="88">
        <v>45662</v>
      </c>
    </row>
    <row r="187" spans="11:18">
      <c r="K187" s="74">
        <v>552</v>
      </c>
      <c r="L187" s="74" t="s">
        <v>778</v>
      </c>
      <c r="N187" s="74" t="s">
        <v>562</v>
      </c>
      <c r="O187" s="74" t="s">
        <v>228</v>
      </c>
      <c r="P187" s="74" t="s">
        <v>204</v>
      </c>
      <c r="Q187" s="74" t="s">
        <v>263</v>
      </c>
      <c r="R187" s="88">
        <v>45662</v>
      </c>
    </row>
    <row r="188" spans="11:18">
      <c r="K188" s="74">
        <v>553</v>
      </c>
      <c r="L188" s="74" t="s">
        <v>779</v>
      </c>
      <c r="N188" s="74" t="s">
        <v>32</v>
      </c>
      <c r="O188" s="74" t="s">
        <v>225</v>
      </c>
      <c r="P188" s="74" t="s">
        <v>204</v>
      </c>
      <c r="Q188" s="74" t="s">
        <v>205</v>
      </c>
      <c r="R188" s="88">
        <v>45668</v>
      </c>
    </row>
    <row r="189" spans="11:18">
      <c r="K189" s="74">
        <v>554</v>
      </c>
      <c r="L189" s="74" t="s">
        <v>780</v>
      </c>
      <c r="N189" s="74" t="s">
        <v>392</v>
      </c>
      <c r="O189" s="74" t="s">
        <v>228</v>
      </c>
      <c r="P189" s="74" t="s">
        <v>204</v>
      </c>
      <c r="Q189" s="74" t="s">
        <v>263</v>
      </c>
      <c r="R189" s="88">
        <v>45668</v>
      </c>
    </row>
    <row r="190" spans="11:18">
      <c r="K190" s="74">
        <v>555</v>
      </c>
      <c r="L190" s="74" t="s">
        <v>781</v>
      </c>
      <c r="N190" s="74" t="s">
        <v>567</v>
      </c>
      <c r="O190" s="74" t="s">
        <v>225</v>
      </c>
      <c r="P190" s="74" t="s">
        <v>204</v>
      </c>
      <c r="Q190" s="74" t="s">
        <v>205</v>
      </c>
      <c r="R190" s="88">
        <v>45670</v>
      </c>
    </row>
    <row r="191" spans="11:18">
      <c r="K191" s="74">
        <v>556</v>
      </c>
      <c r="L191" s="74" t="s">
        <v>782</v>
      </c>
      <c r="N191" s="74" t="s">
        <v>566</v>
      </c>
      <c r="O191" s="74" t="s">
        <v>228</v>
      </c>
      <c r="P191" s="74" t="s">
        <v>204</v>
      </c>
      <c r="Q191" s="74" t="s">
        <v>205</v>
      </c>
      <c r="R191" s="88">
        <v>45672</v>
      </c>
    </row>
    <row r="192" spans="11:18">
      <c r="K192" s="74">
        <v>557</v>
      </c>
      <c r="L192" s="74" t="s">
        <v>783</v>
      </c>
      <c r="N192" s="74" t="s">
        <v>32</v>
      </c>
      <c r="O192" s="74" t="s">
        <v>228</v>
      </c>
      <c r="P192" s="74" t="s">
        <v>204</v>
      </c>
      <c r="Q192" s="74" t="s">
        <v>205</v>
      </c>
      <c r="R192" s="88">
        <v>45672</v>
      </c>
    </row>
    <row r="193" spans="11:18">
      <c r="K193" s="74">
        <v>558</v>
      </c>
      <c r="L193" s="74" t="s">
        <v>784</v>
      </c>
      <c r="N193" s="74" t="s">
        <v>564</v>
      </c>
      <c r="O193" s="74" t="s">
        <v>203</v>
      </c>
      <c r="P193" s="74" t="s">
        <v>204</v>
      </c>
      <c r="Q193" s="74" t="s">
        <v>205</v>
      </c>
      <c r="R193" s="88">
        <v>45676</v>
      </c>
    </row>
    <row r="194" spans="11:18">
      <c r="K194" s="74">
        <v>559</v>
      </c>
      <c r="L194" s="74" t="s">
        <v>785</v>
      </c>
      <c r="N194" s="74">
        <v>0</v>
      </c>
      <c r="O194" s="74" t="s">
        <v>228</v>
      </c>
      <c r="P194" s="74" t="s">
        <v>204</v>
      </c>
      <c r="Q194" s="74" t="s">
        <v>263</v>
      </c>
      <c r="R194" s="88">
        <v>45677</v>
      </c>
    </row>
    <row r="195" spans="11:18">
      <c r="K195" s="74">
        <v>560</v>
      </c>
      <c r="L195" s="74" t="s">
        <v>786</v>
      </c>
      <c r="N195" s="74">
        <v>0</v>
      </c>
      <c r="O195" s="74" t="s">
        <v>787</v>
      </c>
      <c r="P195" s="74" t="s">
        <v>208</v>
      </c>
      <c r="Q195" s="74" t="s">
        <v>205</v>
      </c>
      <c r="R195" s="88">
        <v>45679</v>
      </c>
    </row>
    <row r="196" spans="11:18">
      <c r="K196" s="74">
        <v>561</v>
      </c>
      <c r="L196" s="74" t="s">
        <v>788</v>
      </c>
      <c r="N196" s="74" t="s">
        <v>352</v>
      </c>
      <c r="O196" s="74" t="s">
        <v>225</v>
      </c>
      <c r="P196" s="74" t="s">
        <v>204</v>
      </c>
      <c r="Q196" s="74" t="s">
        <v>205</v>
      </c>
      <c r="R196" s="88">
        <v>45679</v>
      </c>
    </row>
    <row r="197" spans="11:18">
      <c r="K197" s="74">
        <v>562</v>
      </c>
      <c r="L197" s="74" t="s">
        <v>789</v>
      </c>
      <c r="O197" s="74" t="s">
        <v>225</v>
      </c>
      <c r="P197" s="74" t="s">
        <v>204</v>
      </c>
      <c r="Q197" s="74" t="s">
        <v>263</v>
      </c>
      <c r="R197" s="88">
        <v>45680</v>
      </c>
    </row>
    <row r="198" spans="11:18">
      <c r="K198" s="74">
        <v>574</v>
      </c>
      <c r="L198" s="74" t="s">
        <v>990</v>
      </c>
      <c r="N198" s="74" t="s">
        <v>567</v>
      </c>
      <c r="O198" s="74" t="s">
        <v>203</v>
      </c>
      <c r="P198" s="74" t="s">
        <v>204</v>
      </c>
      <c r="Q198" s="74" t="s">
        <v>205</v>
      </c>
      <c r="R198" s="88">
        <v>45697</v>
      </c>
    </row>
    <row r="199" spans="11:18">
      <c r="K199" s="74">
        <v>573</v>
      </c>
      <c r="L199" s="74" t="s">
        <v>989</v>
      </c>
      <c r="N199" s="74" t="s">
        <v>567</v>
      </c>
      <c r="O199" s="74" t="s">
        <v>225</v>
      </c>
      <c r="P199" s="74" t="s">
        <v>204</v>
      </c>
      <c r="Q199" s="74" t="s">
        <v>205</v>
      </c>
      <c r="R199" s="88">
        <v>45696</v>
      </c>
    </row>
    <row r="200" spans="11:18">
      <c r="K200" s="74">
        <v>593</v>
      </c>
      <c r="L200" s="74" t="s">
        <v>1000</v>
      </c>
      <c r="N200" s="74" t="s">
        <v>1001</v>
      </c>
      <c r="O200" s="74" t="s">
        <v>225</v>
      </c>
      <c r="P200" s="74" t="s">
        <v>204</v>
      </c>
      <c r="Q200" s="74" t="s">
        <v>205</v>
      </c>
      <c r="R200" s="88">
        <v>45722</v>
      </c>
    </row>
    <row r="201" spans="11:18">
      <c r="K201" s="74">
        <v>577</v>
      </c>
      <c r="L201" s="74" t="s">
        <v>988</v>
      </c>
      <c r="N201" s="74" t="s">
        <v>211</v>
      </c>
      <c r="O201" s="74" t="s">
        <v>585</v>
      </c>
      <c r="P201" s="74" t="s">
        <v>208</v>
      </c>
      <c r="Q201" s="74" t="s">
        <v>205</v>
      </c>
      <c r="R201" s="88">
        <v>45699</v>
      </c>
    </row>
    <row r="202" spans="11:18">
      <c r="K202" s="74">
        <v>570</v>
      </c>
      <c r="L202" s="74" t="s">
        <v>964</v>
      </c>
      <c r="N202" s="74" t="s">
        <v>567</v>
      </c>
      <c r="O202" s="74" t="s">
        <v>225</v>
      </c>
      <c r="P202" s="74" t="s">
        <v>204</v>
      </c>
      <c r="Q202" s="74" t="s">
        <v>205</v>
      </c>
      <c r="R202" s="88">
        <v>45693</v>
      </c>
    </row>
    <row r="203" spans="11:18">
      <c r="K203" s="74">
        <v>582</v>
      </c>
      <c r="L203" s="74" t="s">
        <v>986</v>
      </c>
      <c r="N203" s="74" t="s">
        <v>211</v>
      </c>
      <c r="O203" s="74" t="s">
        <v>585</v>
      </c>
      <c r="P203" s="74" t="s">
        <v>208</v>
      </c>
      <c r="Q203" s="74" t="s">
        <v>205</v>
      </c>
      <c r="R203" s="88">
        <v>45712</v>
      </c>
    </row>
    <row r="204" spans="11:18">
      <c r="K204" s="74">
        <v>598</v>
      </c>
      <c r="L204" s="74" t="s">
        <v>987</v>
      </c>
      <c r="N204" s="74" t="s">
        <v>32</v>
      </c>
      <c r="O204" s="74" t="s">
        <v>225</v>
      </c>
      <c r="P204" s="74" t="s">
        <v>204</v>
      </c>
      <c r="Q204" s="74" t="s">
        <v>205</v>
      </c>
      <c r="R204" s="88">
        <v>45726</v>
      </c>
    </row>
    <row r="205" spans="11:18">
      <c r="K205" s="74">
        <v>604</v>
      </c>
      <c r="L205" s="74" t="s">
        <v>1014</v>
      </c>
      <c r="N205" s="74" t="s">
        <v>211</v>
      </c>
      <c r="O205" s="74" t="s">
        <v>585</v>
      </c>
      <c r="P205" s="74" t="s">
        <v>208</v>
      </c>
      <c r="Q205" s="74" t="s">
        <v>205</v>
      </c>
    </row>
    <row r="206" spans="11:18">
      <c r="K206" s="74">
        <v>575</v>
      </c>
      <c r="L206" s="74" t="s">
        <v>1018</v>
      </c>
      <c r="N206" s="74" t="s">
        <v>564</v>
      </c>
      <c r="O206" s="74" t="s">
        <v>228</v>
      </c>
      <c r="P206" s="74" t="s">
        <v>204</v>
      </c>
      <c r="Q206" s="74" t="s">
        <v>205</v>
      </c>
      <c r="R206" s="88">
        <v>45697</v>
      </c>
    </row>
    <row r="207" spans="11:18">
      <c r="K207" s="74">
        <v>612</v>
      </c>
      <c r="L207" s="74" t="s">
        <v>1026</v>
      </c>
      <c r="N207" s="74" t="s">
        <v>211</v>
      </c>
      <c r="O207" s="74" t="s">
        <v>585</v>
      </c>
      <c r="P207" s="74" t="s">
        <v>208</v>
      </c>
      <c r="Q207" s="74" t="s">
        <v>205</v>
      </c>
    </row>
    <row r="208" spans="11:18">
      <c r="K208" s="74">
        <v>614</v>
      </c>
      <c r="L208" s="74" t="s">
        <v>1028</v>
      </c>
      <c r="Q208" s="74" t="s">
        <v>205</v>
      </c>
    </row>
    <row r="209" spans="11:17">
      <c r="K209" s="74">
        <v>571</v>
      </c>
      <c r="L209" s="74" t="s">
        <v>1032</v>
      </c>
      <c r="N209" s="74" t="s">
        <v>211</v>
      </c>
      <c r="P209" s="74" t="s">
        <v>208</v>
      </c>
      <c r="Q209" s="74" t="s">
        <v>205</v>
      </c>
    </row>
    <row r="210" spans="11:17">
      <c r="K210" s="74">
        <v>608</v>
      </c>
      <c r="L210" s="74" t="s">
        <v>1034</v>
      </c>
      <c r="N210" s="74" t="s">
        <v>225</v>
      </c>
      <c r="O210" s="74" t="s">
        <v>1001</v>
      </c>
      <c r="P210" s="74" t="s">
        <v>204</v>
      </c>
      <c r="Q210" s="74" t="s">
        <v>205</v>
      </c>
    </row>
    <row r="211" spans="11:17">
      <c r="K211" s="74">
        <v>611</v>
      </c>
      <c r="L211" s="74" t="s">
        <v>1035</v>
      </c>
      <c r="N211" s="74" t="s">
        <v>219</v>
      </c>
      <c r="O211" s="74" t="s">
        <v>220</v>
      </c>
      <c r="P211" s="74" t="s">
        <v>208</v>
      </c>
      <c r="Q211" s="74" t="s">
        <v>205</v>
      </c>
    </row>
    <row r="212" spans="11:17">
      <c r="K212" s="74">
        <v>603</v>
      </c>
      <c r="L212" s="74" t="s">
        <v>1036</v>
      </c>
      <c r="N212" s="74" t="s">
        <v>203</v>
      </c>
      <c r="Q212" s="74" t="s">
        <v>263</v>
      </c>
    </row>
    <row r="213" spans="11:17">
      <c r="K213" s="74">
        <v>242</v>
      </c>
      <c r="L213" s="74" t="s">
        <v>1048</v>
      </c>
      <c r="N213" s="74" t="s">
        <v>399</v>
      </c>
      <c r="P213" s="74" t="s">
        <v>208</v>
      </c>
      <c r="Q213" s="74" t="s">
        <v>205</v>
      </c>
    </row>
    <row r="214" spans="11:17">
      <c r="K214" s="74">
        <v>627</v>
      </c>
      <c r="L214" s="74" t="s">
        <v>1049</v>
      </c>
      <c r="N214" s="74" t="s">
        <v>225</v>
      </c>
      <c r="Q214" s="74" t="s">
        <v>205</v>
      </c>
    </row>
    <row r="215" spans="11:17">
      <c r="K215" s="74">
        <v>631</v>
      </c>
      <c r="L215" s="74" t="s">
        <v>1050</v>
      </c>
      <c r="N215" s="74" t="s">
        <v>211</v>
      </c>
      <c r="O215" s="74" t="s">
        <v>585</v>
      </c>
      <c r="P215" s="74" t="s">
        <v>208</v>
      </c>
      <c r="Q215" s="74" t="s">
        <v>205</v>
      </c>
    </row>
    <row r="216" spans="11:17">
      <c r="K216" s="74">
        <v>616</v>
      </c>
      <c r="L216" s="74" t="s">
        <v>1065</v>
      </c>
      <c r="N216" s="74" t="s">
        <v>225</v>
      </c>
      <c r="P216" s="74" t="s">
        <v>204</v>
      </c>
      <c r="Q216" s="74" t="s">
        <v>205</v>
      </c>
    </row>
    <row r="217" spans="11:17">
      <c r="K217" s="74">
        <v>620</v>
      </c>
      <c r="L217" s="74" t="s">
        <v>1079</v>
      </c>
      <c r="N217" s="74" t="s">
        <v>228</v>
      </c>
      <c r="Q217" s="74" t="s">
        <v>205</v>
      </c>
    </row>
    <row r="218" spans="11:17">
      <c r="K218" s="74">
        <v>609</v>
      </c>
      <c r="L218" s="74" t="s">
        <v>1108</v>
      </c>
      <c r="N218" s="74" t="s">
        <v>224</v>
      </c>
      <c r="O218" s="74" t="s">
        <v>953</v>
      </c>
    </row>
    <row r="219" spans="11:17">
      <c r="K219" s="74">
        <v>655</v>
      </c>
      <c r="L219" s="74" t="s">
        <v>1107</v>
      </c>
      <c r="N219" s="74" t="s">
        <v>225</v>
      </c>
      <c r="O219" s="74" t="s">
        <v>571</v>
      </c>
      <c r="Q219" s="74" t="s">
        <v>205</v>
      </c>
    </row>
    <row r="220" spans="11:17">
      <c r="K220" s="74">
        <v>657</v>
      </c>
      <c r="L220" s="74" t="s">
        <v>1116</v>
      </c>
      <c r="N220" s="74" t="s">
        <v>203</v>
      </c>
      <c r="O220" s="74" t="s">
        <v>1001</v>
      </c>
      <c r="Q220" s="74" t="s">
        <v>205</v>
      </c>
    </row>
    <row r="221" spans="11:17">
      <c r="K221" s="74">
        <v>675</v>
      </c>
      <c r="L221" s="74" t="s">
        <v>1132</v>
      </c>
      <c r="N221" s="74" t="s">
        <v>211</v>
      </c>
      <c r="O221" s="74" t="s">
        <v>585</v>
      </c>
      <c r="P221" s="74" t="s">
        <v>208</v>
      </c>
      <c r="Q221" s="74" t="s">
        <v>205</v>
      </c>
    </row>
    <row r="222" spans="11:17">
      <c r="K222" s="74">
        <v>674</v>
      </c>
      <c r="L222" s="74" t="s">
        <v>1137</v>
      </c>
      <c r="N222" s="74" t="s">
        <v>211</v>
      </c>
      <c r="O222" s="74" t="s">
        <v>585</v>
      </c>
      <c r="P222" s="74" t="s">
        <v>208</v>
      </c>
      <c r="Q222" s="74" t="s">
        <v>205</v>
      </c>
    </row>
    <row r="223" spans="11:17">
      <c r="K223" s="74">
        <v>701</v>
      </c>
      <c r="L223" s="74" t="s">
        <v>1164</v>
      </c>
      <c r="N223" s="74" t="s">
        <v>222</v>
      </c>
      <c r="P223" s="74" t="s">
        <v>204</v>
      </c>
      <c r="Q223" s="74" t="s">
        <v>205</v>
      </c>
    </row>
    <row r="224" spans="11:17">
      <c r="K224" s="74">
        <v>705</v>
      </c>
      <c r="L224" s="74" t="s">
        <v>1173</v>
      </c>
    </row>
    <row r="225" spans="11:17">
      <c r="K225" s="74">
        <v>695</v>
      </c>
      <c r="L225" s="74" t="s">
        <v>1157</v>
      </c>
      <c r="Q225" s="74" t="s">
        <v>768</v>
      </c>
    </row>
    <row r="226" spans="11:17">
      <c r="K226" s="74">
        <v>676</v>
      </c>
      <c r="L226" s="74" t="s">
        <v>1174</v>
      </c>
      <c r="N226" s="74" t="s">
        <v>225</v>
      </c>
      <c r="Q226" s="74" t="s">
        <v>1113</v>
      </c>
    </row>
    <row r="227" spans="11:17">
      <c r="K227" s="74">
        <v>708</v>
      </c>
      <c r="L227" s="74" t="s">
        <v>1181</v>
      </c>
      <c r="N227" s="74" t="s">
        <v>225</v>
      </c>
      <c r="O227" s="74" t="s">
        <v>1121</v>
      </c>
      <c r="Q227" s="74" t="s">
        <v>1114</v>
      </c>
    </row>
    <row r="228" spans="11:17">
      <c r="K228" s="74">
        <v>725</v>
      </c>
      <c r="L228" s="74" t="s">
        <v>1230</v>
      </c>
      <c r="N228" s="74" t="s">
        <v>225</v>
      </c>
      <c r="O228" s="74" t="s">
        <v>1147</v>
      </c>
      <c r="P228" s="74" t="s">
        <v>204</v>
      </c>
      <c r="Q228" s="74" t="s">
        <v>1114</v>
      </c>
    </row>
    <row r="229" spans="11:17">
      <c r="K229" s="74">
        <v>722</v>
      </c>
      <c r="L229" s="74" t="s">
        <v>1231</v>
      </c>
      <c r="N229" s="74" t="s">
        <v>203</v>
      </c>
      <c r="O229" s="74" t="s">
        <v>1121</v>
      </c>
      <c r="P229" s="74" t="s">
        <v>204</v>
      </c>
      <c r="Q229" s="74" t="s">
        <v>1114</v>
      </c>
    </row>
    <row r="230" spans="11:17">
      <c r="K230" s="74">
        <v>731</v>
      </c>
      <c r="L230" s="74" t="s">
        <v>1247</v>
      </c>
      <c r="N230" s="74" t="s">
        <v>225</v>
      </c>
      <c r="O230" s="74" t="s">
        <v>567</v>
      </c>
      <c r="P230" s="74" t="s">
        <v>204</v>
      </c>
      <c r="Q230" s="74" t="s">
        <v>1113</v>
      </c>
    </row>
    <row r="231" spans="11:17">
      <c r="K231" s="74">
        <v>710</v>
      </c>
      <c r="L231" s="74" t="s">
        <v>1248</v>
      </c>
      <c r="N231" s="74" t="s">
        <v>225</v>
      </c>
      <c r="O231" s="74" t="s">
        <v>567</v>
      </c>
      <c r="P231" s="74" t="s">
        <v>204</v>
      </c>
      <c r="Q231" s="74" t="s">
        <v>1113</v>
      </c>
    </row>
    <row r="232" spans="11:17">
      <c r="K232" s="74">
        <v>712</v>
      </c>
      <c r="L232" s="74" t="s">
        <v>1233</v>
      </c>
      <c r="N232" s="74" t="s">
        <v>215</v>
      </c>
      <c r="O232" s="74" t="s">
        <v>211</v>
      </c>
      <c r="P232" s="74" t="s">
        <v>208</v>
      </c>
      <c r="Q232" s="74" t="s">
        <v>205</v>
      </c>
    </row>
    <row r="233" spans="11:17">
      <c r="K233" s="74">
        <v>707</v>
      </c>
      <c r="L233" s="74" t="s">
        <v>1249</v>
      </c>
      <c r="N233" s="74" t="s">
        <v>228</v>
      </c>
      <c r="O233" s="74" t="s">
        <v>1121</v>
      </c>
      <c r="Q233" s="74" t="s">
        <v>1114</v>
      </c>
    </row>
    <row r="234" spans="11:17">
      <c r="K234" s="74">
        <v>687</v>
      </c>
      <c r="L234" s="74" t="s">
        <v>1264</v>
      </c>
      <c r="N234" s="74" t="s">
        <v>228</v>
      </c>
    </row>
    <row r="235" spans="11:17">
      <c r="K235" s="74">
        <v>738</v>
      </c>
      <c r="L235" s="74" t="s">
        <v>1266</v>
      </c>
      <c r="N235" s="74" t="s">
        <v>211</v>
      </c>
      <c r="O235" s="74" t="s">
        <v>585</v>
      </c>
      <c r="P235" s="74" t="s">
        <v>208</v>
      </c>
      <c r="Q235" s="74" t="s">
        <v>205</v>
      </c>
    </row>
    <row r="236" spans="11:17">
      <c r="K236" s="74">
        <v>648</v>
      </c>
      <c r="L236" s="74" t="s">
        <v>1287</v>
      </c>
      <c r="N236" s="74" t="s">
        <v>240</v>
      </c>
      <c r="O236" s="74" t="s">
        <v>1288</v>
      </c>
      <c r="P236" s="74" t="s">
        <v>208</v>
      </c>
      <c r="Q236" s="74" t="s">
        <v>205</v>
      </c>
    </row>
    <row r="237" spans="11:17">
      <c r="K237" s="74">
        <v>583</v>
      </c>
      <c r="L237" s="74" t="s">
        <v>1290</v>
      </c>
      <c r="N237" s="74" t="s">
        <v>228</v>
      </c>
      <c r="O237" s="74" t="s">
        <v>1121</v>
      </c>
      <c r="P237" s="74" t="s">
        <v>204</v>
      </c>
      <c r="Q237" s="74" t="s">
        <v>1114</v>
      </c>
    </row>
    <row r="238" spans="11:17">
      <c r="K238" s="74">
        <v>743</v>
      </c>
      <c r="L238" s="74" t="s">
        <v>1291</v>
      </c>
      <c r="N238" s="74" t="s">
        <v>219</v>
      </c>
      <c r="O238" s="74" t="s">
        <v>220</v>
      </c>
      <c r="P238" s="74" t="s">
        <v>208</v>
      </c>
      <c r="Q238" s="74" t="s">
        <v>205</v>
      </c>
    </row>
    <row r="239" spans="11:17">
      <c r="K239" s="74">
        <v>747</v>
      </c>
      <c r="L239" s="74" t="s">
        <v>1292</v>
      </c>
      <c r="N239" s="74" t="s">
        <v>219</v>
      </c>
      <c r="O239" s="74" t="s">
        <v>220</v>
      </c>
      <c r="P239" s="74" t="s">
        <v>208</v>
      </c>
      <c r="Q239" s="74" t="s">
        <v>205</v>
      </c>
    </row>
    <row r="240" spans="11:17">
      <c r="K240" s="74">
        <v>745</v>
      </c>
      <c r="L240" s="74" t="s">
        <v>1297</v>
      </c>
      <c r="N240" s="74" t="s">
        <v>203</v>
      </c>
      <c r="O240" s="74" t="s">
        <v>1147</v>
      </c>
      <c r="P240" s="74" t="s">
        <v>204</v>
      </c>
      <c r="Q240" s="74" t="s">
        <v>1114</v>
      </c>
    </row>
    <row r="241" spans="11:17">
      <c r="K241" s="74">
        <v>735</v>
      </c>
      <c r="L241" s="74" t="s">
        <v>1298</v>
      </c>
      <c r="N241" s="74" t="s">
        <v>225</v>
      </c>
      <c r="O241" s="74" t="s">
        <v>32</v>
      </c>
      <c r="P241" s="74" t="s">
        <v>204</v>
      </c>
      <c r="Q241" s="74" t="s">
        <v>1114</v>
      </c>
    </row>
    <row r="242" spans="11:17">
      <c r="K242" s="74">
        <v>706</v>
      </c>
      <c r="L242" s="74" t="s">
        <v>1300</v>
      </c>
      <c r="N242" s="74" t="s">
        <v>228</v>
      </c>
      <c r="O242" s="74" t="s">
        <v>1066</v>
      </c>
      <c r="P242" s="74" t="s">
        <v>204</v>
      </c>
      <c r="Q242" s="74" t="s">
        <v>1114</v>
      </c>
    </row>
    <row r="243" spans="11:17">
      <c r="K243" s="74">
        <v>754</v>
      </c>
      <c r="L243" s="74" t="s">
        <v>1301</v>
      </c>
      <c r="N243" s="74" t="s">
        <v>203</v>
      </c>
      <c r="O243" s="74" t="s">
        <v>1147</v>
      </c>
      <c r="P243" s="74" t="s">
        <v>204</v>
      </c>
      <c r="Q243" s="74" t="s">
        <v>1114</v>
      </c>
    </row>
    <row r="244" spans="11:17">
      <c r="K244" s="74">
        <v>621</v>
      </c>
      <c r="L244" s="74" t="s">
        <v>1302</v>
      </c>
      <c r="N244" s="74" t="s">
        <v>228</v>
      </c>
      <c r="O244" s="74" t="s">
        <v>566</v>
      </c>
      <c r="P244" s="74" t="s">
        <v>204</v>
      </c>
      <c r="Q244" s="74" t="s">
        <v>1113</v>
      </c>
    </row>
    <row r="245" spans="11:17">
      <c r="K245" s="74">
        <v>744</v>
      </c>
      <c r="L245" s="74" t="s">
        <v>1303</v>
      </c>
      <c r="N245" s="74" t="s">
        <v>211</v>
      </c>
      <c r="O245" s="74" t="s">
        <v>585</v>
      </c>
      <c r="P245" s="74" t="s">
        <v>208</v>
      </c>
      <c r="Q245" s="74" t="s">
        <v>205</v>
      </c>
    </row>
    <row r="246" spans="11:17">
      <c r="K246" s="74">
        <v>741</v>
      </c>
      <c r="L246" s="74" t="s">
        <v>1304</v>
      </c>
      <c r="N246" s="74" t="s">
        <v>215</v>
      </c>
      <c r="O246" s="74" t="s">
        <v>211</v>
      </c>
      <c r="P246" s="74" t="s">
        <v>208</v>
      </c>
    </row>
    <row r="247" spans="11:17">
      <c r="K247" s="74">
        <v>758</v>
      </c>
      <c r="L247" s="74" t="s">
        <v>1329</v>
      </c>
      <c r="N247" s="74" t="s">
        <v>225</v>
      </c>
      <c r="Q247" s="74" t="s">
        <v>1114</v>
      </c>
    </row>
    <row r="248" spans="11:17">
      <c r="K248" s="74">
        <v>759</v>
      </c>
      <c r="L248" s="74" t="s">
        <v>1347</v>
      </c>
      <c r="N248" s="74" t="s">
        <v>239</v>
      </c>
    </row>
    <row r="249" spans="11:17">
      <c r="K249" s="74">
        <v>774</v>
      </c>
      <c r="L249" s="74" t="s">
        <v>1414</v>
      </c>
      <c r="N249" s="74" t="s">
        <v>225</v>
      </c>
    </row>
    <row r="250" spans="11:17">
      <c r="K250" s="74">
        <v>723</v>
      </c>
      <c r="L250" s="74" t="s">
        <v>1375</v>
      </c>
      <c r="N250" s="74" t="s">
        <v>228</v>
      </c>
    </row>
    <row r="251" spans="11:17">
      <c r="K251" s="74">
        <v>734</v>
      </c>
      <c r="L251" s="74" t="s">
        <v>1377</v>
      </c>
      <c r="N251" s="74" t="s">
        <v>228</v>
      </c>
      <c r="O251" s="74" t="s">
        <v>566</v>
      </c>
      <c r="P251" s="74" t="s">
        <v>204</v>
      </c>
    </row>
    <row r="252" spans="11:17">
      <c r="K252" s="74">
        <v>757</v>
      </c>
      <c r="L252" s="74" t="s">
        <v>1385</v>
      </c>
      <c r="N252" s="74" t="s">
        <v>228</v>
      </c>
      <c r="O252" s="74" t="s">
        <v>1121</v>
      </c>
      <c r="P252" s="74" t="s">
        <v>204</v>
      </c>
      <c r="Q252" s="74" t="s">
        <v>1398</v>
      </c>
    </row>
    <row r="253" spans="11:17">
      <c r="K253" s="74">
        <v>763</v>
      </c>
      <c r="L253" s="74" t="s">
        <v>1386</v>
      </c>
      <c r="N253" s="74" t="s">
        <v>228</v>
      </c>
      <c r="O253" s="74" t="s">
        <v>562</v>
      </c>
      <c r="P253" s="74" t="s">
        <v>204</v>
      </c>
      <c r="Q253" s="74" t="s">
        <v>1399</v>
      </c>
    </row>
    <row r="254" spans="11:17">
      <c r="K254" s="74">
        <v>764</v>
      </c>
      <c r="L254" s="74" t="s">
        <v>1387</v>
      </c>
      <c r="N254" s="74" t="s">
        <v>228</v>
      </c>
      <c r="P254" s="74" t="s">
        <v>204</v>
      </c>
      <c r="Q254" s="74" t="s">
        <v>1398</v>
      </c>
    </row>
    <row r="255" spans="11:17">
      <c r="K255" s="74">
        <v>765</v>
      </c>
      <c r="L255" s="74" t="s">
        <v>1388</v>
      </c>
      <c r="N255" s="74" t="s">
        <v>225</v>
      </c>
      <c r="O255" s="74" t="s">
        <v>567</v>
      </c>
      <c r="P255" s="74" t="s">
        <v>204</v>
      </c>
      <c r="Q255" s="74" t="s">
        <v>1399</v>
      </c>
    </row>
    <row r="256" spans="11:17">
      <c r="K256" s="74">
        <v>771</v>
      </c>
      <c r="L256" s="74" t="s">
        <v>1389</v>
      </c>
      <c r="N256" s="74" t="s">
        <v>228</v>
      </c>
      <c r="O256" s="74" t="s">
        <v>567</v>
      </c>
      <c r="P256" s="74" t="s">
        <v>204</v>
      </c>
      <c r="Q256" s="74" t="s">
        <v>1399</v>
      </c>
    </row>
    <row r="257" spans="11:17">
      <c r="K257" s="74">
        <v>772</v>
      </c>
      <c r="L257" s="74" t="s">
        <v>1390</v>
      </c>
      <c r="N257" s="74" t="s">
        <v>228</v>
      </c>
      <c r="O257" s="74" t="s">
        <v>562</v>
      </c>
      <c r="P257" s="74" t="s">
        <v>204</v>
      </c>
      <c r="Q257" s="74" t="s">
        <v>1399</v>
      </c>
    </row>
    <row r="258" spans="11:17">
      <c r="K258" s="74">
        <v>773</v>
      </c>
      <c r="L258" s="74" t="s">
        <v>1391</v>
      </c>
      <c r="N258" s="74" t="s">
        <v>225</v>
      </c>
      <c r="P258" s="74" t="s">
        <v>204</v>
      </c>
      <c r="Q258" s="74" t="s">
        <v>1399</v>
      </c>
    </row>
    <row r="259" spans="11:17">
      <c r="K259" s="74">
        <v>776</v>
      </c>
      <c r="L259" s="74" t="s">
        <v>1392</v>
      </c>
      <c r="N259" s="74" t="s">
        <v>228</v>
      </c>
      <c r="O259" s="74" t="s">
        <v>1400</v>
      </c>
      <c r="P259" s="74" t="s">
        <v>204</v>
      </c>
      <c r="Q259" s="74" t="s">
        <v>1398</v>
      </c>
    </row>
    <row r="260" spans="11:17">
      <c r="K260" s="74">
        <v>777</v>
      </c>
      <c r="L260" s="74" t="s">
        <v>1393</v>
      </c>
      <c r="N260" s="74" t="s">
        <v>228</v>
      </c>
      <c r="P260" s="74" t="s">
        <v>204</v>
      </c>
      <c r="Q260" s="74" t="s">
        <v>1398</v>
      </c>
    </row>
    <row r="261" spans="11:17">
      <c r="K261" s="74">
        <v>778</v>
      </c>
      <c r="L261" s="74" t="s">
        <v>1394</v>
      </c>
      <c r="N261" s="74" t="s">
        <v>228</v>
      </c>
      <c r="P261" s="74" t="s">
        <v>204</v>
      </c>
      <c r="Q261" s="74" t="s">
        <v>1398</v>
      </c>
    </row>
    <row r="262" spans="11:17">
      <c r="K262" s="74">
        <v>779</v>
      </c>
      <c r="L262" s="74" t="s">
        <v>1395</v>
      </c>
      <c r="N262" s="74" t="s">
        <v>228</v>
      </c>
      <c r="P262" s="74" t="s">
        <v>204</v>
      </c>
      <c r="Q262" s="74" t="s">
        <v>1398</v>
      </c>
    </row>
    <row r="263" spans="11:17">
      <c r="K263" s="74">
        <v>780</v>
      </c>
      <c r="L263" s="74" t="s">
        <v>1396</v>
      </c>
      <c r="N263" s="74" t="s">
        <v>225</v>
      </c>
      <c r="O263" s="74" t="s">
        <v>1400</v>
      </c>
      <c r="P263" s="74" t="s">
        <v>204</v>
      </c>
      <c r="Q263" s="74" t="s">
        <v>1398</v>
      </c>
    </row>
    <row r="264" spans="11:17">
      <c r="K264" s="74">
        <v>781</v>
      </c>
      <c r="L264" s="74" t="s">
        <v>1397</v>
      </c>
      <c r="N264" s="74" t="s">
        <v>228</v>
      </c>
      <c r="O264" s="74" t="s">
        <v>566</v>
      </c>
      <c r="P264" s="74" t="s">
        <v>204</v>
      </c>
      <c r="Q264" s="74" t="s">
        <v>1399</v>
      </c>
    </row>
    <row r="265" spans="11:17">
      <c r="K265" s="74">
        <v>1000000</v>
      </c>
      <c r="L265" s="74" t="s">
        <v>493</v>
      </c>
      <c r="N265" s="74" t="s">
        <v>228</v>
      </c>
      <c r="O265" s="74" t="s">
        <v>562</v>
      </c>
      <c r="P265" s="74" t="s">
        <v>204</v>
      </c>
      <c r="Q265" s="74" t="s">
        <v>1398</v>
      </c>
    </row>
    <row r="266" spans="11:17">
      <c r="K266" s="74">
        <v>756</v>
      </c>
      <c r="L266" s="74" t="s">
        <v>1401</v>
      </c>
      <c r="N266" s="74" t="s">
        <v>225</v>
      </c>
      <c r="O266" s="74" t="s">
        <v>567</v>
      </c>
      <c r="P266" s="74" t="s">
        <v>204</v>
      </c>
      <c r="Q266" s="74" t="s">
        <v>1399</v>
      </c>
    </row>
    <row r="267" spans="11:17">
      <c r="K267" s="74">
        <v>642</v>
      </c>
      <c r="L267" s="74" t="s">
        <v>1402</v>
      </c>
      <c r="N267" s="74" t="s">
        <v>228</v>
      </c>
      <c r="O267" s="74" t="s">
        <v>567</v>
      </c>
      <c r="P267" s="74" t="s">
        <v>204</v>
      </c>
      <c r="Q267" s="74" t="s">
        <v>1399</v>
      </c>
    </row>
    <row r="268" spans="11:17" ht="15.75">
      <c r="K268" s="74">
        <v>749</v>
      </c>
      <c r="L268" s="74" t="s">
        <v>1417</v>
      </c>
      <c r="M268" s="315"/>
      <c r="N268" s="74" t="s">
        <v>225</v>
      </c>
      <c r="P268" s="74" t="s">
        <v>204</v>
      </c>
      <c r="Q268" s="74" t="s">
        <v>1399</v>
      </c>
    </row>
    <row r="269" spans="11:17">
      <c r="K269" s="74">
        <v>784</v>
      </c>
      <c r="L269" s="74" t="s">
        <v>1424</v>
      </c>
      <c r="N269" s="74" t="s">
        <v>228</v>
      </c>
      <c r="P269" s="74" t="s">
        <v>204</v>
      </c>
      <c r="Q269" s="74" t="s">
        <v>1399</v>
      </c>
    </row>
    <row r="270" spans="11:17">
      <c r="K270" s="74">
        <v>785</v>
      </c>
      <c r="L270" s="74" t="s">
        <v>1425</v>
      </c>
      <c r="N270" s="74" t="s">
        <v>225</v>
      </c>
      <c r="P270" s="74" t="s">
        <v>204</v>
      </c>
      <c r="Q270" s="74" t="s">
        <v>263</v>
      </c>
    </row>
    <row r="271" spans="11:17">
      <c r="K271" s="74">
        <v>786</v>
      </c>
      <c r="L271" s="74" t="s">
        <v>1426</v>
      </c>
      <c r="N271" s="74" t="s">
        <v>225</v>
      </c>
      <c r="P271" s="74" t="s">
        <v>204</v>
      </c>
      <c r="Q271" s="74" t="s">
        <v>263</v>
      </c>
    </row>
    <row r="272" spans="11:17">
      <c r="K272" s="74">
        <v>787</v>
      </c>
      <c r="L272" s="74" t="s">
        <v>1427</v>
      </c>
      <c r="N272" s="74" t="s">
        <v>228</v>
      </c>
      <c r="P272" s="74" t="s">
        <v>204</v>
      </c>
      <c r="Q272" s="74" t="s">
        <v>263</v>
      </c>
    </row>
    <row r="273" spans="11:17">
      <c r="K273" s="74">
        <v>788</v>
      </c>
      <c r="L273" s="74" t="s">
        <v>1428</v>
      </c>
      <c r="N273" s="74" t="s">
        <v>225</v>
      </c>
      <c r="P273" s="74" t="s">
        <v>204</v>
      </c>
      <c r="Q273" s="74" t="s">
        <v>263</v>
      </c>
    </row>
    <row r="274" spans="11:17">
      <c r="K274" s="74">
        <v>789</v>
      </c>
      <c r="L274" s="74" t="s">
        <v>1429</v>
      </c>
      <c r="N274" s="74" t="s">
        <v>219</v>
      </c>
      <c r="O274" s="74" t="s">
        <v>220</v>
      </c>
      <c r="P274" s="74" t="s">
        <v>208</v>
      </c>
      <c r="Q274" s="74" t="s">
        <v>1399</v>
      </c>
    </row>
    <row r="275" spans="11:17">
      <c r="K275" s="74">
        <v>790</v>
      </c>
      <c r="L275" s="74" t="s">
        <v>1430</v>
      </c>
      <c r="N275" s="74" t="s">
        <v>228</v>
      </c>
      <c r="P275" s="74" t="s">
        <v>204</v>
      </c>
      <c r="Q275" s="74" t="s">
        <v>1398</v>
      </c>
    </row>
    <row r="276" spans="11:17">
      <c r="K276" s="74">
        <v>791</v>
      </c>
      <c r="L276" s="74" t="s">
        <v>1431</v>
      </c>
      <c r="N276" s="74" t="s">
        <v>225</v>
      </c>
      <c r="P276" s="74" t="s">
        <v>204</v>
      </c>
      <c r="Q276" s="74" t="s">
        <v>263</v>
      </c>
    </row>
    <row r="277" spans="11:17">
      <c r="K277" s="74">
        <v>792</v>
      </c>
      <c r="L277" s="74" t="s">
        <v>1432</v>
      </c>
      <c r="N277" s="74" t="s">
        <v>225</v>
      </c>
      <c r="P277" s="74" t="s">
        <v>204</v>
      </c>
      <c r="Q277" s="74" t="s">
        <v>263</v>
      </c>
    </row>
    <row r="278" spans="11:17">
      <c r="K278" s="74">
        <v>793</v>
      </c>
      <c r="L278" s="74" t="s">
        <v>1433</v>
      </c>
      <c r="N278" s="74" t="s">
        <v>225</v>
      </c>
      <c r="P278" s="74" t="s">
        <v>204</v>
      </c>
      <c r="Q278" s="74" t="s">
        <v>263</v>
      </c>
    </row>
    <row r="279" spans="11:17">
      <c r="K279" s="74">
        <v>794</v>
      </c>
      <c r="L279" s="74" t="s">
        <v>1434</v>
      </c>
      <c r="N279" s="74" t="s">
        <v>225</v>
      </c>
      <c r="P279" s="74" t="s">
        <v>204</v>
      </c>
      <c r="Q279" s="74" t="s">
        <v>263</v>
      </c>
    </row>
    <row r="280" spans="11:17">
      <c r="K280" s="74">
        <v>795</v>
      </c>
      <c r="L280" s="74" t="s">
        <v>1435</v>
      </c>
      <c r="N280" s="74" t="s">
        <v>228</v>
      </c>
      <c r="P280" s="74" t="s">
        <v>204</v>
      </c>
      <c r="Q280" s="74" t="s">
        <v>1398</v>
      </c>
    </row>
    <row r="281" spans="11:17">
      <c r="K281" s="74">
        <v>796</v>
      </c>
      <c r="L281" s="74" t="s">
        <v>1436</v>
      </c>
      <c r="N281" s="74" t="s">
        <v>1437</v>
      </c>
      <c r="P281" s="74" t="s">
        <v>204</v>
      </c>
      <c r="Q281" s="74" t="s">
        <v>263</v>
      </c>
    </row>
    <row r="282" spans="11:17">
      <c r="K282" s="74">
        <v>797</v>
      </c>
      <c r="L282" s="74" t="s">
        <v>1497</v>
      </c>
    </row>
    <row r="283" spans="11:17">
      <c r="K283" s="74">
        <v>581</v>
      </c>
      <c r="L283" s="74" t="s">
        <v>1464</v>
      </c>
      <c r="N283" s="74" t="s">
        <v>228</v>
      </c>
      <c r="O283" s="74" t="s">
        <v>562</v>
      </c>
      <c r="P283" s="74" t="s">
        <v>204</v>
      </c>
      <c r="Q283" s="74" t="s">
        <v>1398</v>
      </c>
    </row>
    <row r="284" spans="11:17">
      <c r="K284" s="74">
        <v>588</v>
      </c>
      <c r="L284" s="74" t="s">
        <v>1465</v>
      </c>
      <c r="N284" s="74" t="s">
        <v>1437</v>
      </c>
      <c r="O284" s="74" t="s">
        <v>216</v>
      </c>
      <c r="P284" s="74" t="s">
        <v>208</v>
      </c>
      <c r="Q284" s="74" t="s">
        <v>1399</v>
      </c>
    </row>
    <row r="285" spans="11:17">
      <c r="K285" s="74">
        <v>592</v>
      </c>
      <c r="L285" s="74" t="s">
        <v>1466</v>
      </c>
      <c r="N285" s="74" t="s">
        <v>1437</v>
      </c>
      <c r="O285" s="74" t="s">
        <v>216</v>
      </c>
      <c r="P285" s="74" t="s">
        <v>208</v>
      </c>
      <c r="Q285" s="74" t="s">
        <v>1399</v>
      </c>
    </row>
    <row r="286" spans="11:17">
      <c r="K286" s="74">
        <v>594</v>
      </c>
      <c r="L286" s="74" t="s">
        <v>1467</v>
      </c>
      <c r="N286" s="74" t="s">
        <v>228</v>
      </c>
      <c r="O286" s="74" t="s">
        <v>567</v>
      </c>
      <c r="P286" s="74" t="s">
        <v>204</v>
      </c>
      <c r="Q286" s="74" t="s">
        <v>1399</v>
      </c>
    </row>
    <row r="287" spans="11:17">
      <c r="K287" s="74">
        <v>599</v>
      </c>
      <c r="L287" s="74" t="s">
        <v>1468</v>
      </c>
      <c r="N287" s="74" t="s">
        <v>228</v>
      </c>
      <c r="O287" s="74" t="s">
        <v>562</v>
      </c>
      <c r="P287" s="74" t="s">
        <v>204</v>
      </c>
      <c r="Q287" s="74" t="s">
        <v>263</v>
      </c>
    </row>
    <row r="288" spans="11:17">
      <c r="K288" s="74">
        <v>629</v>
      </c>
      <c r="L288" s="74" t="s">
        <v>1469</v>
      </c>
      <c r="N288" s="74" t="s">
        <v>228</v>
      </c>
      <c r="O288" s="74" t="s">
        <v>32</v>
      </c>
      <c r="P288" s="74" t="s">
        <v>204</v>
      </c>
      <c r="Q288" s="74" t="s">
        <v>263</v>
      </c>
    </row>
    <row r="289" spans="11:17">
      <c r="K289" s="74">
        <v>640</v>
      </c>
      <c r="L289" s="74" t="s">
        <v>1470</v>
      </c>
      <c r="N289" s="74" t="s">
        <v>224</v>
      </c>
      <c r="O289" s="74" t="s">
        <v>562</v>
      </c>
      <c r="P289" s="74" t="s">
        <v>204</v>
      </c>
      <c r="Q289" s="74" t="s">
        <v>263</v>
      </c>
    </row>
    <row r="290" spans="11:17">
      <c r="K290" s="74">
        <v>641</v>
      </c>
      <c r="L290" s="74" t="s">
        <v>1471</v>
      </c>
      <c r="N290" s="74" t="s">
        <v>228</v>
      </c>
      <c r="O290" s="74" t="s">
        <v>392</v>
      </c>
      <c r="P290" s="74" t="s">
        <v>204</v>
      </c>
      <c r="Q290" s="74" t="s">
        <v>263</v>
      </c>
    </row>
    <row r="291" spans="11:17">
      <c r="K291" s="74">
        <v>644</v>
      </c>
      <c r="L291" s="74" t="s">
        <v>1472</v>
      </c>
      <c r="N291" s="74" t="s">
        <v>1437</v>
      </c>
      <c r="O291" s="74" t="s">
        <v>216</v>
      </c>
      <c r="P291" s="74" t="s">
        <v>208</v>
      </c>
      <c r="Q291" s="74" t="s">
        <v>1398</v>
      </c>
    </row>
    <row r="292" spans="11:17">
      <c r="K292" s="74">
        <v>645</v>
      </c>
      <c r="L292" s="74" t="s">
        <v>1473</v>
      </c>
      <c r="N292" s="74" t="s">
        <v>1437</v>
      </c>
      <c r="O292" s="74" t="s">
        <v>216</v>
      </c>
      <c r="P292" s="74" t="s">
        <v>208</v>
      </c>
      <c r="Q292" s="74" t="s">
        <v>1398</v>
      </c>
    </row>
    <row r="293" spans="11:17">
      <c r="K293" s="74">
        <v>659</v>
      </c>
      <c r="L293" s="74" t="s">
        <v>1474</v>
      </c>
      <c r="N293" s="74" t="s">
        <v>219</v>
      </c>
      <c r="O293" s="74" t="s">
        <v>220</v>
      </c>
      <c r="P293" s="74" t="s">
        <v>208</v>
      </c>
      <c r="Q293" s="74" t="s">
        <v>263</v>
      </c>
    </row>
    <row r="294" spans="11:17">
      <c r="K294" s="74">
        <v>668</v>
      </c>
      <c r="L294" s="74" t="s">
        <v>1475</v>
      </c>
      <c r="N294" s="74" t="s">
        <v>228</v>
      </c>
      <c r="O294" s="74" t="s">
        <v>392</v>
      </c>
      <c r="P294" s="74" t="s">
        <v>204</v>
      </c>
      <c r="Q294" s="74" t="s">
        <v>263</v>
      </c>
    </row>
    <row r="295" spans="11:17">
      <c r="K295" s="74">
        <v>673</v>
      </c>
      <c r="L295" s="74" t="s">
        <v>1476</v>
      </c>
      <c r="N295" s="74" t="s">
        <v>228</v>
      </c>
      <c r="O295" s="74" t="s">
        <v>392</v>
      </c>
      <c r="P295" s="74" t="s">
        <v>204</v>
      </c>
      <c r="Q295" s="74" t="s">
        <v>263</v>
      </c>
    </row>
    <row r="296" spans="11:17">
      <c r="K296" s="74">
        <v>688</v>
      </c>
      <c r="L296" s="74" t="s">
        <v>1477</v>
      </c>
      <c r="N296" s="74" t="s">
        <v>228</v>
      </c>
      <c r="O296" s="74" t="s">
        <v>392</v>
      </c>
      <c r="P296" s="74" t="s">
        <v>204</v>
      </c>
      <c r="Q296" s="74" t="s">
        <v>263</v>
      </c>
    </row>
    <row r="297" spans="11:17">
      <c r="K297" s="74">
        <v>702</v>
      </c>
      <c r="L297" s="74" t="s">
        <v>1478</v>
      </c>
      <c r="N297" s="74" t="s">
        <v>228</v>
      </c>
      <c r="O297" s="74" t="s">
        <v>566</v>
      </c>
      <c r="P297" s="74" t="s">
        <v>204</v>
      </c>
      <c r="Q297" s="74" t="s">
        <v>1399</v>
      </c>
    </row>
    <row r="298" spans="11:17">
      <c r="K298" s="74">
        <v>703</v>
      </c>
      <c r="L298" s="74" t="s">
        <v>1479</v>
      </c>
      <c r="N298" s="74" t="s">
        <v>228</v>
      </c>
      <c r="O298" s="74" t="s">
        <v>1246</v>
      </c>
      <c r="P298" s="74" t="s">
        <v>204</v>
      </c>
      <c r="Q298" s="74" t="s">
        <v>263</v>
      </c>
    </row>
    <row r="299" spans="11:17">
      <c r="K299" s="74">
        <v>721</v>
      </c>
      <c r="L299" s="74" t="s">
        <v>1480</v>
      </c>
      <c r="N299" s="74" t="s">
        <v>225</v>
      </c>
      <c r="O299" s="74" t="s">
        <v>32</v>
      </c>
      <c r="P299" s="74" t="s">
        <v>204</v>
      </c>
      <c r="Q299" s="74" t="s">
        <v>263</v>
      </c>
    </row>
    <row r="300" spans="11:17">
      <c r="K300" s="74">
        <v>724</v>
      </c>
      <c r="L300" s="74" t="s">
        <v>1481</v>
      </c>
      <c r="N300" s="74" t="s">
        <v>222</v>
      </c>
      <c r="O300" s="74" t="s">
        <v>562</v>
      </c>
      <c r="P300" s="74" t="s">
        <v>204</v>
      </c>
      <c r="Q300" s="74" t="s">
        <v>263</v>
      </c>
    </row>
    <row r="301" spans="11:17">
      <c r="K301" s="74">
        <v>729</v>
      </c>
      <c r="L301" s="74" t="s">
        <v>1482</v>
      </c>
      <c r="N301" s="74" t="s">
        <v>228</v>
      </c>
      <c r="O301" s="74" t="s">
        <v>1121</v>
      </c>
      <c r="P301" s="74" t="s">
        <v>204</v>
      </c>
      <c r="Q301" s="74" t="s">
        <v>1398</v>
      </c>
    </row>
    <row r="302" spans="11:17">
      <c r="K302" s="74">
        <v>732</v>
      </c>
      <c r="L302" s="74" t="s">
        <v>1483</v>
      </c>
      <c r="N302" s="74" t="s">
        <v>228</v>
      </c>
      <c r="O302" s="74" t="s">
        <v>562</v>
      </c>
      <c r="P302" s="74" t="s">
        <v>204</v>
      </c>
      <c r="Q302" s="74" t="s">
        <v>1399</v>
      </c>
    </row>
    <row r="303" spans="11:17">
      <c r="K303" s="74">
        <v>739</v>
      </c>
      <c r="L303" s="74" t="s">
        <v>1484</v>
      </c>
      <c r="N303" s="74" t="s">
        <v>225</v>
      </c>
      <c r="O303" s="74" t="s">
        <v>562</v>
      </c>
      <c r="P303" s="74" t="s">
        <v>204</v>
      </c>
      <c r="Q303" s="74" t="s">
        <v>263</v>
      </c>
    </row>
    <row r="304" spans="11:17">
      <c r="K304" s="74">
        <v>742</v>
      </c>
      <c r="L304" s="74" t="s">
        <v>1485</v>
      </c>
      <c r="N304" s="74" t="s">
        <v>225</v>
      </c>
      <c r="O304" s="74" t="s">
        <v>562</v>
      </c>
      <c r="P304" s="74" t="s">
        <v>204</v>
      </c>
      <c r="Q304" s="74" t="s">
        <v>263</v>
      </c>
    </row>
    <row r="305" spans="11:17">
      <c r="K305" s="74">
        <v>746</v>
      </c>
      <c r="L305" s="74" t="s">
        <v>1486</v>
      </c>
      <c r="N305" s="74" t="s">
        <v>228</v>
      </c>
      <c r="O305" s="74" t="s">
        <v>1121</v>
      </c>
      <c r="P305" s="74" t="s">
        <v>204</v>
      </c>
      <c r="Q305" s="74" t="s">
        <v>1398</v>
      </c>
    </row>
    <row r="306" spans="11:17">
      <c r="K306" s="74">
        <v>748</v>
      </c>
      <c r="L306" s="74" t="s">
        <v>1487</v>
      </c>
      <c r="N306" s="74" t="s">
        <v>203</v>
      </c>
      <c r="O306" s="74" t="s">
        <v>392</v>
      </c>
      <c r="P306" s="74" t="s">
        <v>204</v>
      </c>
      <c r="Q306" s="74" t="s">
        <v>263</v>
      </c>
    </row>
    <row r="307" spans="11:17">
      <c r="K307" s="74">
        <v>753</v>
      </c>
      <c r="L307" s="74" t="s">
        <v>1488</v>
      </c>
      <c r="N307" s="74" t="s">
        <v>228</v>
      </c>
      <c r="O307" s="74" t="s">
        <v>32</v>
      </c>
      <c r="P307" s="74" t="s">
        <v>204</v>
      </c>
      <c r="Q307" s="74" t="s">
        <v>263</v>
      </c>
    </row>
    <row r="308" spans="11:17">
      <c r="K308" s="74">
        <v>755</v>
      </c>
      <c r="L308" s="74" t="s">
        <v>1489</v>
      </c>
      <c r="N308" s="74" t="s">
        <v>1437</v>
      </c>
      <c r="O308" s="74" t="s">
        <v>216</v>
      </c>
      <c r="P308" s="74" t="s">
        <v>208</v>
      </c>
      <c r="Q308" s="74" t="s">
        <v>1398</v>
      </c>
    </row>
    <row r="309" spans="11:17">
      <c r="K309" s="74">
        <v>760</v>
      </c>
      <c r="L309" s="74" t="s">
        <v>1490</v>
      </c>
      <c r="N309" s="74" t="s">
        <v>225</v>
      </c>
      <c r="P309" s="74" t="s">
        <v>204</v>
      </c>
      <c r="Q309" s="74" t="s">
        <v>263</v>
      </c>
    </row>
    <row r="310" spans="11:17">
      <c r="K310" s="74">
        <v>761</v>
      </c>
      <c r="L310" s="74" t="s">
        <v>1491</v>
      </c>
      <c r="N310" s="74" t="s">
        <v>228</v>
      </c>
      <c r="P310" s="74" t="s">
        <v>204</v>
      </c>
      <c r="Q310" s="74" t="s">
        <v>263</v>
      </c>
    </row>
    <row r="311" spans="11:17">
      <c r="K311" s="74">
        <v>766</v>
      </c>
      <c r="L311" s="74" t="s">
        <v>1492</v>
      </c>
      <c r="N311" s="74" t="s">
        <v>225</v>
      </c>
      <c r="P311" s="74" t="s">
        <v>204</v>
      </c>
      <c r="Q311" s="74" t="s">
        <v>263</v>
      </c>
    </row>
    <row r="312" spans="11:17">
      <c r="K312" s="74">
        <v>767</v>
      </c>
      <c r="L312" s="74" t="s">
        <v>1493</v>
      </c>
      <c r="N312" s="74" t="s">
        <v>224</v>
      </c>
      <c r="P312" s="74" t="s">
        <v>204</v>
      </c>
      <c r="Q312" s="74" t="s">
        <v>263</v>
      </c>
    </row>
    <row r="313" spans="11:17">
      <c r="K313" s="74">
        <v>782</v>
      </c>
      <c r="L313" s="74" t="s">
        <v>1494</v>
      </c>
      <c r="N313" s="74" t="s">
        <v>225</v>
      </c>
      <c r="P313" s="74" t="s">
        <v>204</v>
      </c>
      <c r="Q313" s="74" t="s">
        <v>768</v>
      </c>
    </row>
    <row r="314" spans="11:17">
      <c r="K314" s="74">
        <v>783</v>
      </c>
      <c r="L314" s="74" t="s">
        <v>1495</v>
      </c>
      <c r="N314" s="74" t="s">
        <v>203</v>
      </c>
      <c r="P314" s="74" t="s">
        <v>204</v>
      </c>
      <c r="Q314" s="74" t="s">
        <v>263</v>
      </c>
    </row>
    <row r="315" spans="11:17">
      <c r="K315" s="74">
        <v>1000001</v>
      </c>
      <c r="L315" s="74" t="s">
        <v>252</v>
      </c>
      <c r="N315" s="74" t="s">
        <v>228</v>
      </c>
      <c r="O315" s="74" t="s">
        <v>571</v>
      </c>
      <c r="P315" s="74" t="s">
        <v>204</v>
      </c>
      <c r="Q315" s="74" t="s">
        <v>263</v>
      </c>
    </row>
    <row r="316" spans="11:17">
      <c r="K316" s="74">
        <v>696</v>
      </c>
      <c r="L316" s="74" t="s">
        <v>1498</v>
      </c>
      <c r="N316" s="74" t="s">
        <v>228</v>
      </c>
      <c r="O316" s="74" t="s">
        <v>1500</v>
      </c>
      <c r="P316" s="74" t="s">
        <v>204</v>
      </c>
      <c r="Q316" s="74" t="s">
        <v>1398</v>
      </c>
    </row>
    <row r="317" spans="11:17">
      <c r="K317" s="74">
        <v>697</v>
      </c>
      <c r="L317" s="74" t="s">
        <v>1499</v>
      </c>
      <c r="N317" s="74" t="s">
        <v>228</v>
      </c>
      <c r="O317" s="74" t="s">
        <v>1500</v>
      </c>
      <c r="P317" s="74" t="s">
        <v>204</v>
      </c>
      <c r="Q317" s="74" t="s">
        <v>1398</v>
      </c>
    </row>
    <row r="318" spans="11:17">
      <c r="K318" s="74">
        <v>802</v>
      </c>
      <c r="L318" s="74" t="s">
        <v>1522</v>
      </c>
      <c r="N318" s="74" t="s">
        <v>228</v>
      </c>
      <c r="O318" s="74" t="s">
        <v>1520</v>
      </c>
      <c r="P318" s="74" t="s">
        <v>204</v>
      </c>
      <c r="Q318" s="74" t="s">
        <v>1399</v>
      </c>
    </row>
    <row r="319" spans="11:17">
      <c r="K319" s="74">
        <v>6666</v>
      </c>
      <c r="L319" s="74" t="s">
        <v>1539</v>
      </c>
      <c r="N319" s="74" t="s">
        <v>225</v>
      </c>
      <c r="P319" s="74" t="s">
        <v>204</v>
      </c>
      <c r="Q319" s="74" t="s">
        <v>1399</v>
      </c>
    </row>
    <row r="320" spans="11:17">
      <c r="K320" s="74">
        <v>809</v>
      </c>
      <c r="L320" s="74" t="s">
        <v>1572</v>
      </c>
      <c r="N320" s="74" t="s">
        <v>225</v>
      </c>
      <c r="O320" s="74" t="s">
        <v>1573</v>
      </c>
      <c r="P320" s="74" t="s">
        <v>204</v>
      </c>
      <c r="Q320" s="74" t="s">
        <v>1399</v>
      </c>
    </row>
    <row r="321" spans="11:17">
      <c r="K321" s="74">
        <v>812</v>
      </c>
      <c r="L321" s="74" t="s">
        <v>1579</v>
      </c>
      <c r="N321" s="74" t="s">
        <v>211</v>
      </c>
      <c r="O321" s="74" t="s">
        <v>585</v>
      </c>
      <c r="P321" s="74" t="s">
        <v>208</v>
      </c>
      <c r="Q321" s="74" t="s">
        <v>205</v>
      </c>
    </row>
    <row r="322" spans="11:17">
      <c r="K322" s="74">
        <v>803</v>
      </c>
      <c r="L322" s="74" t="s">
        <v>1680</v>
      </c>
      <c r="N322" s="74" t="s">
        <v>222</v>
      </c>
      <c r="O322" s="74" t="s">
        <v>567</v>
      </c>
      <c r="P322" s="74" t="s">
        <v>204</v>
      </c>
      <c r="Q322" s="74" t="s">
        <v>1399</v>
      </c>
    </row>
  </sheetData>
  <autoFilter ref="K2:T321" xr:uid="{CB896369-F903-4224-A5CA-066551319123}"/>
  <conditionalFormatting sqref="K1:K266 K267:Q267 K268:K1048576">
    <cfRule type="duplicateValues" dxfId="10" priority="11"/>
  </conditionalFormatting>
  <conditionalFormatting sqref="K1:K1048576">
    <cfRule type="duplicateValues" dxfId="9" priority="3"/>
  </conditionalFormatting>
  <conditionalFormatting sqref="L268">
    <cfRule type="duplicateValues" dxfId="8" priority="5"/>
  </conditionalFormatting>
  <conditionalFormatting sqref="L322">
    <cfRule type="duplicateValues" dxfId="7" priority="1"/>
    <cfRule type="duplicateValues" dxfId="6" priority="2"/>
  </conditionalFormatting>
  <conditionalFormatting sqref="P268">
    <cfRule type="duplicateValues" dxfId="5" priority="6"/>
  </conditionalFormatting>
  <conditionalFormatting sqref="Q268">
    <cfRule type="duplicateValues" dxfId="4" priority="4"/>
  </conditionalFormatting>
  <pageMargins left="0.7" right="0.7" top="0.75" bottom="0.75" header="0.3" footer="0.3"/>
  <pageSetup paperSize="9" scale="48" orientation="portrait" r:id="rId1"/>
  <rowBreaks count="1" manualBreakCount="1">
    <brk id="216" max="19" man="1"/>
  </rowBreaks>
  <colBreaks count="2" manualBreakCount="2">
    <brk id="5" max="1048575" man="1"/>
    <brk id="9" max="1048575"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9E07A-1CE9-4D48-B7B8-0DC9336F208C}">
  <sheetPr codeName="Sheet8"/>
  <dimension ref="A1:AZ69"/>
  <sheetViews>
    <sheetView workbookViewId="0"/>
  </sheetViews>
  <sheetFormatPr defaultRowHeight="14.25"/>
  <cols>
    <col min="1" max="1" width="22" style="202" bestFit="1" customWidth="1"/>
    <col min="2" max="2" width="15.85546875" style="193" bestFit="1" customWidth="1"/>
    <col min="3" max="3" width="11.5703125" style="194" bestFit="1" customWidth="1"/>
    <col min="4" max="4" width="14.5703125" style="193" bestFit="1" customWidth="1"/>
    <col min="5" max="5" width="11.5703125" style="194" bestFit="1" customWidth="1"/>
    <col min="6" max="6" width="13.5703125" style="193" bestFit="1" customWidth="1"/>
    <col min="7" max="7" width="11.5703125" style="194" bestFit="1" customWidth="1"/>
    <col min="8" max="8" width="13.5703125" style="193" bestFit="1" customWidth="1"/>
    <col min="9" max="9" width="11.5703125" style="194" bestFit="1" customWidth="1"/>
    <col min="10" max="10" width="14.5703125" style="193" bestFit="1" customWidth="1"/>
    <col min="11" max="11" width="11.5703125" style="194" bestFit="1" customWidth="1"/>
    <col min="12" max="12" width="15.85546875" style="193" bestFit="1" customWidth="1"/>
    <col min="13" max="13" width="8.85546875" style="194" customWidth="1"/>
    <col min="14" max="14" width="9.140625" style="187"/>
    <col min="15" max="15" width="14.5703125" style="187" bestFit="1" customWidth="1"/>
    <col min="16" max="16" width="9.85546875" style="187" bestFit="1" customWidth="1"/>
    <col min="17" max="17" width="13.5703125" style="187" bestFit="1" customWidth="1"/>
    <col min="18" max="18" width="9.140625" style="187"/>
    <col min="19" max="19" width="12.85546875" style="187" bestFit="1" customWidth="1"/>
    <col min="20" max="20" width="9.140625" style="187"/>
    <col min="21" max="21" width="11.42578125" style="187" bestFit="1" customWidth="1"/>
    <col min="22" max="22" width="9.140625" style="187"/>
    <col min="23" max="23" width="14.5703125" style="187" bestFit="1" customWidth="1"/>
    <col min="24" max="24" width="5.85546875" style="187" bestFit="1" customWidth="1"/>
    <col min="25" max="25" width="14.5703125" style="187" bestFit="1" customWidth="1"/>
    <col min="26" max="26" width="9.85546875" style="187" bestFit="1" customWidth="1"/>
    <col min="27" max="16384" width="9.140625" style="187"/>
  </cols>
  <sheetData>
    <row r="1" spans="1:52" ht="26.25" thickBot="1">
      <c r="A1" s="197"/>
      <c r="B1" s="372" t="s">
        <v>320</v>
      </c>
      <c r="C1" s="373"/>
      <c r="D1" s="373"/>
      <c r="E1" s="373"/>
      <c r="F1" s="373"/>
      <c r="G1" s="373"/>
      <c r="H1" s="373"/>
      <c r="I1" s="373"/>
      <c r="J1" s="373"/>
      <c r="K1" s="373"/>
      <c r="L1" s="373"/>
      <c r="M1" s="374"/>
      <c r="O1" s="372" t="s">
        <v>321</v>
      </c>
      <c r="P1" s="373"/>
      <c r="Q1" s="373"/>
      <c r="R1" s="373"/>
      <c r="S1" s="373"/>
      <c r="T1" s="373"/>
      <c r="U1" s="373"/>
      <c r="V1" s="373"/>
      <c r="W1" s="373"/>
      <c r="X1" s="373"/>
      <c r="Y1" s="373"/>
      <c r="Z1" s="374"/>
      <c r="AB1" s="372" t="s">
        <v>327</v>
      </c>
      <c r="AC1" s="373"/>
      <c r="AD1" s="373"/>
      <c r="AE1" s="373"/>
      <c r="AF1" s="373"/>
      <c r="AG1" s="373"/>
      <c r="AH1" s="373"/>
      <c r="AI1" s="373"/>
      <c r="AJ1" s="373"/>
      <c r="AK1" s="373"/>
      <c r="AL1" s="373"/>
      <c r="AM1" s="374"/>
      <c r="AO1" s="372"/>
      <c r="AP1" s="373"/>
      <c r="AQ1" s="373"/>
      <c r="AR1" s="373"/>
      <c r="AS1" s="373"/>
      <c r="AT1" s="373"/>
      <c r="AU1" s="373"/>
      <c r="AV1" s="373"/>
      <c r="AW1" s="373"/>
      <c r="AX1" s="373"/>
      <c r="AY1" s="373"/>
      <c r="AZ1" s="374"/>
    </row>
    <row r="2" spans="1:52" s="188" customFormat="1" ht="21" thickBot="1">
      <c r="A2" s="198" t="s">
        <v>326</v>
      </c>
      <c r="B2" s="371" t="s">
        <v>110</v>
      </c>
      <c r="C2" s="370"/>
      <c r="D2" s="371" t="s">
        <v>111</v>
      </c>
      <c r="E2" s="370"/>
      <c r="F2" s="371" t="s">
        <v>112</v>
      </c>
      <c r="G2" s="370"/>
      <c r="H2" s="371" t="s">
        <v>304</v>
      </c>
      <c r="I2" s="370"/>
      <c r="J2" s="371" t="s">
        <v>301</v>
      </c>
      <c r="K2" s="370"/>
      <c r="L2" s="369" t="s">
        <v>323</v>
      </c>
      <c r="M2" s="370"/>
      <c r="O2" s="371" t="s">
        <v>110</v>
      </c>
      <c r="P2" s="370"/>
      <c r="Q2" s="371" t="s">
        <v>111</v>
      </c>
      <c r="R2" s="370"/>
      <c r="S2" s="371" t="s">
        <v>112</v>
      </c>
      <c r="T2" s="370"/>
      <c r="U2" s="371" t="s">
        <v>304</v>
      </c>
      <c r="V2" s="370"/>
      <c r="W2" s="371" t="s">
        <v>301</v>
      </c>
      <c r="X2" s="370"/>
      <c r="Y2" s="369" t="s">
        <v>323</v>
      </c>
      <c r="Z2" s="370"/>
      <c r="AB2" s="371" t="s">
        <v>110</v>
      </c>
      <c r="AC2" s="370"/>
      <c r="AD2" s="371" t="s">
        <v>111</v>
      </c>
      <c r="AE2" s="370"/>
      <c r="AF2" s="371" t="s">
        <v>112</v>
      </c>
      <c r="AG2" s="370"/>
      <c r="AH2" s="371" t="s">
        <v>304</v>
      </c>
      <c r="AI2" s="370"/>
      <c r="AJ2" s="371" t="s">
        <v>301</v>
      </c>
      <c r="AK2" s="370"/>
      <c r="AL2" s="369" t="s">
        <v>323</v>
      </c>
      <c r="AM2" s="370"/>
      <c r="AO2" s="371" t="s">
        <v>110</v>
      </c>
      <c r="AP2" s="370"/>
      <c r="AQ2" s="371" t="s">
        <v>111</v>
      </c>
      <c r="AR2" s="370"/>
      <c r="AS2" s="371" t="s">
        <v>112</v>
      </c>
      <c r="AT2" s="370"/>
      <c r="AU2" s="371" t="s">
        <v>304</v>
      </c>
      <c r="AV2" s="370"/>
      <c r="AW2" s="371" t="s">
        <v>301</v>
      </c>
      <c r="AX2" s="370"/>
      <c r="AY2" s="369" t="s">
        <v>323</v>
      </c>
      <c r="AZ2" s="370"/>
    </row>
    <row r="3" spans="1:52">
      <c r="A3" s="199" t="s">
        <v>99</v>
      </c>
      <c r="B3" s="195">
        <v>76955.62279894737</v>
      </c>
      <c r="C3" s="196">
        <f t="shared" ref="C3:C14" si="0">IFERROR((B3/$B$18),0)</f>
        <v>0.11711087568682774</v>
      </c>
      <c r="D3" s="195">
        <v>11748.00878</v>
      </c>
      <c r="E3" s="196">
        <f t="shared" ref="E3:E14" si="1">IFERROR((D3/$D$18),0)</f>
        <v>6.7186483537953035E-2</v>
      </c>
      <c r="F3" s="195"/>
      <c r="G3" s="196">
        <f>IFERROR((F3/$F$18),0)</f>
        <v>0</v>
      </c>
      <c r="H3" s="195"/>
      <c r="I3" s="196">
        <f t="shared" ref="I3:I18" si="2">IFERROR((H3/$H$18),0)</f>
        <v>0</v>
      </c>
      <c r="J3" s="195"/>
      <c r="K3" s="196">
        <f t="shared" ref="K3:K18" si="3">IFERROR((J3/$H$18),0)</f>
        <v>0</v>
      </c>
      <c r="L3" s="195">
        <f>B3+D3+H3+J3</f>
        <v>88703.631578947374</v>
      </c>
      <c r="M3" s="196">
        <f t="shared" ref="M3:M14" si="4">IFERROR((L3/$L$18),0)</f>
        <v>0.10576092007389042</v>
      </c>
      <c r="O3" s="195">
        <v>63271.22</v>
      </c>
      <c r="P3" s="196">
        <f t="shared" ref="P3:P17" si="5">IFERROR((O3/$B$18),0)</f>
        <v>9.6285985487148604E-2</v>
      </c>
      <c r="Q3" s="195">
        <v>11430.21</v>
      </c>
      <c r="R3" s="196">
        <f t="shared" ref="R3:R17" si="6">IFERROR((Q3/$D$18),0)</f>
        <v>6.5369002558776271E-2</v>
      </c>
      <c r="S3" s="195"/>
      <c r="T3" s="196">
        <f t="shared" ref="T3:T18" si="7">IFERROR((S3/$H$18),0)</f>
        <v>0</v>
      </c>
      <c r="U3" s="195"/>
      <c r="V3" s="196">
        <f t="shared" ref="V3:V18" si="8">IFERROR((U3/$H$18),0)</f>
        <v>0</v>
      </c>
      <c r="W3" s="195"/>
      <c r="X3" s="196">
        <f t="shared" ref="X3:X18" si="9">IFERROR((W3/$H$18),0)</f>
        <v>0</v>
      </c>
      <c r="Y3" s="195">
        <f>O3+Q3+U3+W3+S3</f>
        <v>74701.429999999993</v>
      </c>
      <c r="Z3" s="196">
        <f t="shared" ref="Z3:Z17" si="10">IFERROR((Y3/$L$18),0)</f>
        <v>8.9066161407425348E-2</v>
      </c>
      <c r="AB3" s="195"/>
      <c r="AC3" s="196">
        <f t="shared" ref="AC3:AC17" si="11">IFERROR((AB3/$B$18),0)</f>
        <v>0</v>
      </c>
      <c r="AD3" s="195"/>
      <c r="AE3" s="196">
        <f t="shared" ref="AE3:AE17" si="12">IFERROR((AD3/$D$18),0)</f>
        <v>0</v>
      </c>
      <c r="AF3" s="195"/>
      <c r="AG3" s="196">
        <f t="shared" ref="AG3:AG18" si="13">IFERROR((AF3/$H$18),0)</f>
        <v>0</v>
      </c>
      <c r="AH3" s="195"/>
      <c r="AI3" s="196">
        <f t="shared" ref="AI3:AI18" si="14">IFERROR((AH3/$H$18),0)</f>
        <v>0</v>
      </c>
      <c r="AJ3" s="195"/>
      <c r="AK3" s="196">
        <f t="shared" ref="AK3:AK18" si="15">IFERROR((AJ3/$H$18),0)</f>
        <v>0</v>
      </c>
      <c r="AL3" s="195">
        <f>AB3+AD3+AH3+AJ3+AF3</f>
        <v>0</v>
      </c>
      <c r="AM3" s="196">
        <f t="shared" ref="AM3:AM17" si="16">IFERROR((AL3/$L$18),0)</f>
        <v>0</v>
      </c>
      <c r="AO3" s="195"/>
      <c r="AP3" s="196">
        <f t="shared" ref="AP3:AP17" si="17">IFERROR((AO3/$B$18),0)</f>
        <v>0</v>
      </c>
      <c r="AQ3" s="195"/>
      <c r="AR3" s="196">
        <f t="shared" ref="AR3:AR17" si="18">IFERROR((AQ3/$D$18),0)</f>
        <v>0</v>
      </c>
      <c r="AS3" s="195"/>
      <c r="AT3" s="196">
        <f t="shared" ref="AT3:AT18" si="19">IFERROR((AS3/$H$18),0)</f>
        <v>0</v>
      </c>
      <c r="AU3" s="195"/>
      <c r="AV3" s="196">
        <f t="shared" ref="AV3:AV18" si="20">IFERROR((AU3/$H$18),0)</f>
        <v>0</v>
      </c>
      <c r="AW3" s="195"/>
      <c r="AX3" s="196">
        <f t="shared" ref="AX3:AX18" si="21">IFERROR((AW3/$H$18),0)</f>
        <v>0</v>
      </c>
      <c r="AY3" s="195">
        <f>AO3+AQ3+AU3+AW3+AS3</f>
        <v>0</v>
      </c>
      <c r="AZ3" s="196">
        <f t="shared" ref="AZ3:AZ17" si="22">IFERROR((AY3/$L$18),0)</f>
        <v>0</v>
      </c>
    </row>
    <row r="4" spans="1:52">
      <c r="A4" s="200" t="s">
        <v>102</v>
      </c>
      <c r="B4" s="189"/>
      <c r="C4" s="190">
        <f t="shared" si="0"/>
        <v>0</v>
      </c>
      <c r="D4" s="189"/>
      <c r="E4" s="190">
        <f t="shared" si="1"/>
        <v>0</v>
      </c>
      <c r="F4" s="195">
        <v>6744.0438596491231</v>
      </c>
      <c r="G4" s="190">
        <f t="shared" ref="G4:G18" si="23">IFERROR((F4/$H$18),0)</f>
        <v>0</v>
      </c>
      <c r="H4" s="189"/>
      <c r="I4" s="190">
        <f t="shared" si="2"/>
        <v>0</v>
      </c>
      <c r="J4" s="189"/>
      <c r="K4" s="190">
        <f t="shared" si="3"/>
        <v>0</v>
      </c>
      <c r="L4" s="189">
        <f>B4+D4+H4+J4</f>
        <v>0</v>
      </c>
      <c r="M4" s="190">
        <f t="shared" si="4"/>
        <v>0</v>
      </c>
      <c r="O4" s="189"/>
      <c r="P4" s="190">
        <f t="shared" si="5"/>
        <v>0</v>
      </c>
      <c r="Q4" s="189"/>
      <c r="R4" s="190">
        <f t="shared" si="6"/>
        <v>0</v>
      </c>
      <c r="S4" s="189"/>
      <c r="T4" s="190">
        <f t="shared" si="7"/>
        <v>0</v>
      </c>
      <c r="U4" s="189"/>
      <c r="V4" s="190">
        <f t="shared" si="8"/>
        <v>0</v>
      </c>
      <c r="W4" s="189"/>
      <c r="X4" s="190">
        <f t="shared" si="9"/>
        <v>0</v>
      </c>
      <c r="Y4" s="195">
        <f t="shared" ref="Y4:Y18" si="24">O4+Q4+U4+W4+S4</f>
        <v>0</v>
      </c>
      <c r="Z4" s="190">
        <f t="shared" si="10"/>
        <v>0</v>
      </c>
      <c r="AB4" s="189"/>
      <c r="AC4" s="190">
        <f t="shared" si="11"/>
        <v>0</v>
      </c>
      <c r="AD4" s="189"/>
      <c r="AE4" s="190">
        <f t="shared" si="12"/>
        <v>0</v>
      </c>
      <c r="AF4" s="189"/>
      <c r="AG4" s="190">
        <f t="shared" si="13"/>
        <v>0</v>
      </c>
      <c r="AH4" s="189"/>
      <c r="AI4" s="190">
        <f t="shared" si="14"/>
        <v>0</v>
      </c>
      <c r="AJ4" s="189"/>
      <c r="AK4" s="190">
        <f t="shared" si="15"/>
        <v>0</v>
      </c>
      <c r="AL4" s="195">
        <f t="shared" ref="AL4:AL18" si="25">AB4+AD4+AH4+AJ4+AF4</f>
        <v>0</v>
      </c>
      <c r="AM4" s="190">
        <f t="shared" si="16"/>
        <v>0</v>
      </c>
      <c r="AO4" s="189"/>
      <c r="AP4" s="190">
        <f t="shared" si="17"/>
        <v>0</v>
      </c>
      <c r="AQ4" s="189"/>
      <c r="AR4" s="190">
        <f t="shared" si="18"/>
        <v>0</v>
      </c>
      <c r="AS4" s="189"/>
      <c r="AT4" s="190">
        <f t="shared" si="19"/>
        <v>0</v>
      </c>
      <c r="AU4" s="189"/>
      <c r="AV4" s="190">
        <f t="shared" si="20"/>
        <v>0</v>
      </c>
      <c r="AW4" s="189"/>
      <c r="AX4" s="190">
        <f t="shared" si="21"/>
        <v>0</v>
      </c>
      <c r="AY4" s="195">
        <f t="shared" ref="AY4:AY18" si="26">AO4+AQ4+AU4+AW4+AS4</f>
        <v>0</v>
      </c>
      <c r="AZ4" s="190">
        <f t="shared" si="22"/>
        <v>0</v>
      </c>
    </row>
    <row r="5" spans="1:52">
      <c r="A5" s="200" t="s">
        <v>100</v>
      </c>
      <c r="B5" s="189">
        <v>140893.41275451594</v>
      </c>
      <c r="C5" s="190">
        <f t="shared" si="0"/>
        <v>0.21441124567719982</v>
      </c>
      <c r="D5" s="189">
        <v>6666.7714560103686</v>
      </c>
      <c r="E5" s="190">
        <f t="shared" si="1"/>
        <v>3.8127051066141254E-2</v>
      </c>
      <c r="F5" s="189"/>
      <c r="G5" s="190">
        <f t="shared" si="23"/>
        <v>0</v>
      </c>
      <c r="H5" s="189"/>
      <c r="I5" s="190">
        <f t="shared" si="2"/>
        <v>0</v>
      </c>
      <c r="J5" s="189"/>
      <c r="K5" s="190">
        <f t="shared" si="3"/>
        <v>0</v>
      </c>
      <c r="L5" s="189">
        <f>B5+D5+H5+J5</f>
        <v>147560.18421052632</v>
      </c>
      <c r="M5" s="190">
        <f t="shared" si="4"/>
        <v>0.17593530919293188</v>
      </c>
      <c r="O5" s="189">
        <v>54751.839999999997</v>
      </c>
      <c r="P5" s="190">
        <f t="shared" si="5"/>
        <v>8.3321214157632523E-2</v>
      </c>
      <c r="Q5" s="189">
        <v>7112.38</v>
      </c>
      <c r="R5" s="190">
        <f t="shared" si="6"/>
        <v>4.0675471965868452E-2</v>
      </c>
      <c r="S5" s="189"/>
      <c r="T5" s="190">
        <f t="shared" si="7"/>
        <v>0</v>
      </c>
      <c r="U5" s="189"/>
      <c r="V5" s="190">
        <f t="shared" si="8"/>
        <v>0</v>
      </c>
      <c r="W5" s="189"/>
      <c r="X5" s="190">
        <f t="shared" si="9"/>
        <v>0</v>
      </c>
      <c r="Y5" s="195">
        <f t="shared" si="24"/>
        <v>61864.219999999994</v>
      </c>
      <c r="Z5" s="190">
        <f t="shared" si="10"/>
        <v>7.3760416686326782E-2</v>
      </c>
      <c r="AB5" s="189"/>
      <c r="AC5" s="190">
        <f t="shared" si="11"/>
        <v>0</v>
      </c>
      <c r="AD5" s="189"/>
      <c r="AE5" s="190">
        <f t="shared" si="12"/>
        <v>0</v>
      </c>
      <c r="AF5" s="189"/>
      <c r="AG5" s="190">
        <f t="shared" si="13"/>
        <v>0</v>
      </c>
      <c r="AH5" s="189"/>
      <c r="AI5" s="190">
        <f t="shared" si="14"/>
        <v>0</v>
      </c>
      <c r="AJ5" s="189"/>
      <c r="AK5" s="190">
        <f t="shared" si="15"/>
        <v>0</v>
      </c>
      <c r="AL5" s="195">
        <f t="shared" si="25"/>
        <v>0</v>
      </c>
      <c r="AM5" s="190">
        <f t="shared" si="16"/>
        <v>0</v>
      </c>
      <c r="AO5" s="189"/>
      <c r="AP5" s="190">
        <f t="shared" si="17"/>
        <v>0</v>
      </c>
      <c r="AQ5" s="189"/>
      <c r="AR5" s="190">
        <f t="shared" si="18"/>
        <v>0</v>
      </c>
      <c r="AS5" s="189"/>
      <c r="AT5" s="190">
        <f t="shared" si="19"/>
        <v>0</v>
      </c>
      <c r="AU5" s="189"/>
      <c r="AV5" s="190">
        <f t="shared" si="20"/>
        <v>0</v>
      </c>
      <c r="AW5" s="189"/>
      <c r="AX5" s="190">
        <f t="shared" si="21"/>
        <v>0</v>
      </c>
      <c r="AY5" s="195">
        <f t="shared" si="26"/>
        <v>0</v>
      </c>
      <c r="AZ5" s="190">
        <f t="shared" si="22"/>
        <v>0</v>
      </c>
    </row>
    <row r="6" spans="1:52">
      <c r="A6" s="200" t="s">
        <v>103</v>
      </c>
      <c r="B6" s="189"/>
      <c r="C6" s="190">
        <f t="shared" si="0"/>
        <v>0</v>
      </c>
      <c r="D6" s="189"/>
      <c r="E6" s="190">
        <f t="shared" si="1"/>
        <v>0</v>
      </c>
      <c r="F6" s="189"/>
      <c r="G6" s="190">
        <f t="shared" si="23"/>
        <v>0</v>
      </c>
      <c r="H6" s="189"/>
      <c r="I6" s="190">
        <f t="shared" si="2"/>
        <v>0</v>
      </c>
      <c r="J6" s="189"/>
      <c r="K6" s="190">
        <f t="shared" si="3"/>
        <v>0</v>
      </c>
      <c r="L6" s="189">
        <f>B6+D6+H6+J6+F6</f>
        <v>0</v>
      </c>
      <c r="M6" s="190">
        <f t="shared" si="4"/>
        <v>0</v>
      </c>
      <c r="O6" s="189"/>
      <c r="P6" s="190">
        <f t="shared" si="5"/>
        <v>0</v>
      </c>
      <c r="Q6" s="189"/>
      <c r="R6" s="190">
        <f t="shared" si="6"/>
        <v>0</v>
      </c>
      <c r="S6" s="189"/>
      <c r="T6" s="190">
        <f t="shared" si="7"/>
        <v>0</v>
      </c>
      <c r="U6" s="189"/>
      <c r="V6" s="190">
        <f t="shared" si="8"/>
        <v>0</v>
      </c>
      <c r="W6" s="189"/>
      <c r="X6" s="190">
        <f t="shared" si="9"/>
        <v>0</v>
      </c>
      <c r="Y6" s="195">
        <f t="shared" si="24"/>
        <v>0</v>
      </c>
      <c r="Z6" s="190">
        <f t="shared" si="10"/>
        <v>0</v>
      </c>
      <c r="AB6" s="189"/>
      <c r="AC6" s="190">
        <f t="shared" si="11"/>
        <v>0</v>
      </c>
      <c r="AD6" s="189"/>
      <c r="AE6" s="190">
        <f t="shared" si="12"/>
        <v>0</v>
      </c>
      <c r="AF6" s="189"/>
      <c r="AG6" s="190">
        <f t="shared" si="13"/>
        <v>0</v>
      </c>
      <c r="AH6" s="189"/>
      <c r="AI6" s="190">
        <f t="shared" si="14"/>
        <v>0</v>
      </c>
      <c r="AJ6" s="189"/>
      <c r="AK6" s="190">
        <f t="shared" si="15"/>
        <v>0</v>
      </c>
      <c r="AL6" s="195">
        <f t="shared" si="25"/>
        <v>0</v>
      </c>
      <c r="AM6" s="190">
        <f t="shared" si="16"/>
        <v>0</v>
      </c>
      <c r="AO6" s="189"/>
      <c r="AP6" s="190">
        <f t="shared" si="17"/>
        <v>0</v>
      </c>
      <c r="AQ6" s="189"/>
      <c r="AR6" s="190">
        <f t="shared" si="18"/>
        <v>0</v>
      </c>
      <c r="AS6" s="189"/>
      <c r="AT6" s="190">
        <f t="shared" si="19"/>
        <v>0</v>
      </c>
      <c r="AU6" s="189"/>
      <c r="AV6" s="190">
        <f t="shared" si="20"/>
        <v>0</v>
      </c>
      <c r="AW6" s="189"/>
      <c r="AX6" s="190">
        <f t="shared" si="21"/>
        <v>0</v>
      </c>
      <c r="AY6" s="195">
        <f t="shared" si="26"/>
        <v>0</v>
      </c>
      <c r="AZ6" s="190">
        <f t="shared" si="22"/>
        <v>0</v>
      </c>
    </row>
    <row r="7" spans="1:52">
      <c r="A7" s="200" t="s">
        <v>101</v>
      </c>
      <c r="B7" s="189"/>
      <c r="C7" s="190">
        <f t="shared" si="0"/>
        <v>0</v>
      </c>
      <c r="D7" s="189"/>
      <c r="E7" s="190">
        <f t="shared" si="1"/>
        <v>0</v>
      </c>
      <c r="F7" s="189"/>
      <c r="G7" s="190">
        <f t="shared" si="23"/>
        <v>0</v>
      </c>
      <c r="H7" s="189"/>
      <c r="I7" s="190">
        <f t="shared" si="2"/>
        <v>0</v>
      </c>
      <c r="J7" s="189"/>
      <c r="K7" s="190">
        <f t="shared" si="3"/>
        <v>0</v>
      </c>
      <c r="L7" s="189">
        <f t="shared" ref="L7:L17" si="27">B7+D7+H7+J7+F7</f>
        <v>0</v>
      </c>
      <c r="M7" s="190">
        <f t="shared" si="4"/>
        <v>0</v>
      </c>
      <c r="O7" s="189"/>
      <c r="P7" s="190">
        <f t="shared" si="5"/>
        <v>0</v>
      </c>
      <c r="Q7" s="189"/>
      <c r="R7" s="190">
        <f t="shared" si="6"/>
        <v>0</v>
      </c>
      <c r="S7" s="189"/>
      <c r="T7" s="190">
        <f t="shared" si="7"/>
        <v>0</v>
      </c>
      <c r="U7" s="189"/>
      <c r="V7" s="190">
        <f t="shared" si="8"/>
        <v>0</v>
      </c>
      <c r="W7" s="189"/>
      <c r="X7" s="190">
        <f t="shared" si="9"/>
        <v>0</v>
      </c>
      <c r="Y7" s="195">
        <f t="shared" si="24"/>
        <v>0</v>
      </c>
      <c r="Z7" s="190">
        <f t="shared" si="10"/>
        <v>0</v>
      </c>
      <c r="AB7" s="189"/>
      <c r="AC7" s="190">
        <f t="shared" si="11"/>
        <v>0</v>
      </c>
      <c r="AD7" s="189"/>
      <c r="AE7" s="190">
        <f t="shared" si="12"/>
        <v>0</v>
      </c>
      <c r="AF7" s="189"/>
      <c r="AG7" s="190">
        <f t="shared" si="13"/>
        <v>0</v>
      </c>
      <c r="AH7" s="189"/>
      <c r="AI7" s="190">
        <f t="shared" si="14"/>
        <v>0</v>
      </c>
      <c r="AJ7" s="189"/>
      <c r="AK7" s="190">
        <f t="shared" si="15"/>
        <v>0</v>
      </c>
      <c r="AL7" s="195">
        <f t="shared" si="25"/>
        <v>0</v>
      </c>
      <c r="AM7" s="190">
        <f t="shared" si="16"/>
        <v>0</v>
      </c>
      <c r="AO7" s="189"/>
      <c r="AP7" s="190">
        <f t="shared" si="17"/>
        <v>0</v>
      </c>
      <c r="AQ7" s="189"/>
      <c r="AR7" s="190">
        <f t="shared" si="18"/>
        <v>0</v>
      </c>
      <c r="AS7" s="189"/>
      <c r="AT7" s="190">
        <f t="shared" si="19"/>
        <v>0</v>
      </c>
      <c r="AU7" s="189"/>
      <c r="AV7" s="190">
        <f t="shared" si="20"/>
        <v>0</v>
      </c>
      <c r="AW7" s="189"/>
      <c r="AX7" s="190">
        <f t="shared" si="21"/>
        <v>0</v>
      </c>
      <c r="AY7" s="195">
        <f t="shared" si="26"/>
        <v>0</v>
      </c>
      <c r="AZ7" s="190">
        <f t="shared" si="22"/>
        <v>0</v>
      </c>
    </row>
    <row r="8" spans="1:52">
      <c r="A8" s="200" t="s">
        <v>104</v>
      </c>
      <c r="B8" s="189"/>
      <c r="C8" s="190">
        <f t="shared" si="0"/>
        <v>0</v>
      </c>
      <c r="D8" s="189"/>
      <c r="E8" s="190">
        <f t="shared" si="1"/>
        <v>0</v>
      </c>
      <c r="F8" s="189"/>
      <c r="G8" s="190">
        <f t="shared" si="23"/>
        <v>0</v>
      </c>
      <c r="H8" s="189"/>
      <c r="I8" s="190">
        <f t="shared" si="2"/>
        <v>0</v>
      </c>
      <c r="J8" s="189"/>
      <c r="K8" s="190">
        <f t="shared" si="3"/>
        <v>0</v>
      </c>
      <c r="L8" s="189">
        <f t="shared" si="27"/>
        <v>0</v>
      </c>
      <c r="M8" s="190">
        <f t="shared" si="4"/>
        <v>0</v>
      </c>
      <c r="O8" s="189"/>
      <c r="P8" s="190">
        <f t="shared" si="5"/>
        <v>0</v>
      </c>
      <c r="Q8" s="189"/>
      <c r="R8" s="190">
        <f t="shared" si="6"/>
        <v>0</v>
      </c>
      <c r="S8" s="189"/>
      <c r="T8" s="190">
        <f t="shared" si="7"/>
        <v>0</v>
      </c>
      <c r="U8" s="189"/>
      <c r="V8" s="190">
        <f t="shared" si="8"/>
        <v>0</v>
      </c>
      <c r="W8" s="189"/>
      <c r="X8" s="190">
        <f t="shared" si="9"/>
        <v>0</v>
      </c>
      <c r="Y8" s="195">
        <f t="shared" si="24"/>
        <v>0</v>
      </c>
      <c r="Z8" s="190">
        <f t="shared" si="10"/>
        <v>0</v>
      </c>
      <c r="AB8" s="189"/>
      <c r="AC8" s="190">
        <f t="shared" si="11"/>
        <v>0</v>
      </c>
      <c r="AD8" s="189"/>
      <c r="AE8" s="190">
        <f t="shared" si="12"/>
        <v>0</v>
      </c>
      <c r="AF8" s="189"/>
      <c r="AG8" s="190">
        <f t="shared" si="13"/>
        <v>0</v>
      </c>
      <c r="AH8" s="189"/>
      <c r="AI8" s="190">
        <f t="shared" si="14"/>
        <v>0</v>
      </c>
      <c r="AJ8" s="189"/>
      <c r="AK8" s="190">
        <f t="shared" si="15"/>
        <v>0</v>
      </c>
      <c r="AL8" s="195">
        <f t="shared" si="25"/>
        <v>0</v>
      </c>
      <c r="AM8" s="190">
        <f t="shared" si="16"/>
        <v>0</v>
      </c>
      <c r="AO8" s="189"/>
      <c r="AP8" s="190">
        <f t="shared" si="17"/>
        <v>0</v>
      </c>
      <c r="AQ8" s="189"/>
      <c r="AR8" s="190">
        <f t="shared" si="18"/>
        <v>0</v>
      </c>
      <c r="AS8" s="189"/>
      <c r="AT8" s="190">
        <f t="shared" si="19"/>
        <v>0</v>
      </c>
      <c r="AU8" s="189"/>
      <c r="AV8" s="190">
        <f t="shared" si="20"/>
        <v>0</v>
      </c>
      <c r="AW8" s="189"/>
      <c r="AX8" s="190">
        <f t="shared" si="21"/>
        <v>0</v>
      </c>
      <c r="AY8" s="195">
        <f t="shared" si="26"/>
        <v>0</v>
      </c>
      <c r="AZ8" s="190">
        <f t="shared" si="22"/>
        <v>0</v>
      </c>
    </row>
    <row r="9" spans="1:52">
      <c r="A9" s="200" t="s">
        <v>105</v>
      </c>
      <c r="B9" s="189">
        <v>1061.0200000000002</v>
      </c>
      <c r="C9" s="190">
        <f t="shared" si="0"/>
        <v>1.6146576013798127E-3</v>
      </c>
      <c r="D9" s="189"/>
      <c r="E9" s="190">
        <f t="shared" si="1"/>
        <v>0</v>
      </c>
      <c r="F9" s="189"/>
      <c r="G9" s="190">
        <f t="shared" si="23"/>
        <v>0</v>
      </c>
      <c r="H9" s="189"/>
      <c r="I9" s="190">
        <f t="shared" si="2"/>
        <v>0</v>
      </c>
      <c r="J9" s="189"/>
      <c r="K9" s="190">
        <f t="shared" si="3"/>
        <v>0</v>
      </c>
      <c r="L9" s="189">
        <f t="shared" si="27"/>
        <v>1061.0200000000002</v>
      </c>
      <c r="M9" s="190">
        <f t="shared" si="4"/>
        <v>1.2650491239124401E-3</v>
      </c>
      <c r="O9" s="189">
        <v>344.34210526315792</v>
      </c>
      <c r="P9" s="190">
        <f t="shared" si="5"/>
        <v>5.2401896075312941E-4</v>
      </c>
      <c r="Q9" s="189"/>
      <c r="R9" s="190">
        <f t="shared" si="6"/>
        <v>0</v>
      </c>
      <c r="S9" s="189"/>
      <c r="T9" s="190">
        <f t="shared" si="7"/>
        <v>0</v>
      </c>
      <c r="U9" s="189"/>
      <c r="V9" s="190">
        <f t="shared" si="8"/>
        <v>0</v>
      </c>
      <c r="W9" s="189"/>
      <c r="X9" s="190">
        <f t="shared" si="9"/>
        <v>0</v>
      </c>
      <c r="Y9" s="195">
        <f t="shared" si="24"/>
        <v>344.34210526315792</v>
      </c>
      <c r="Z9" s="190">
        <f t="shared" si="10"/>
        <v>4.1055746224324057E-4</v>
      </c>
      <c r="AB9" s="189"/>
      <c r="AC9" s="190">
        <f t="shared" si="11"/>
        <v>0</v>
      </c>
      <c r="AD9" s="189"/>
      <c r="AE9" s="190">
        <f t="shared" si="12"/>
        <v>0</v>
      </c>
      <c r="AF9" s="189"/>
      <c r="AG9" s="190">
        <f t="shared" si="13"/>
        <v>0</v>
      </c>
      <c r="AH9" s="189"/>
      <c r="AI9" s="190">
        <f t="shared" si="14"/>
        <v>0</v>
      </c>
      <c r="AJ9" s="189"/>
      <c r="AK9" s="190">
        <f t="shared" si="15"/>
        <v>0</v>
      </c>
      <c r="AL9" s="195">
        <f t="shared" si="25"/>
        <v>0</v>
      </c>
      <c r="AM9" s="190">
        <f t="shared" si="16"/>
        <v>0</v>
      </c>
      <c r="AO9" s="189"/>
      <c r="AP9" s="190">
        <f t="shared" si="17"/>
        <v>0</v>
      </c>
      <c r="AQ9" s="189"/>
      <c r="AR9" s="190">
        <f t="shared" si="18"/>
        <v>0</v>
      </c>
      <c r="AS9" s="189"/>
      <c r="AT9" s="190">
        <f t="shared" si="19"/>
        <v>0</v>
      </c>
      <c r="AU9" s="189"/>
      <c r="AV9" s="190">
        <f t="shared" si="20"/>
        <v>0</v>
      </c>
      <c r="AW9" s="189"/>
      <c r="AX9" s="190">
        <f t="shared" si="21"/>
        <v>0</v>
      </c>
      <c r="AY9" s="195">
        <f t="shared" si="26"/>
        <v>0</v>
      </c>
      <c r="AZ9" s="190">
        <f t="shared" si="22"/>
        <v>0</v>
      </c>
    </row>
    <row r="10" spans="1:52">
      <c r="A10" s="200" t="s">
        <v>106</v>
      </c>
      <c r="B10" s="189">
        <v>283688.43359999981</v>
      </c>
      <c r="C10" s="190">
        <f t="shared" si="0"/>
        <v>0.43171635382534906</v>
      </c>
      <c r="D10" s="189">
        <v>123009.94359298272</v>
      </c>
      <c r="E10" s="190">
        <f t="shared" si="1"/>
        <v>0.70348990241514486</v>
      </c>
      <c r="F10" s="189"/>
      <c r="G10" s="190">
        <f t="shared" si="23"/>
        <v>0</v>
      </c>
      <c r="H10" s="189"/>
      <c r="I10" s="190">
        <f t="shared" si="2"/>
        <v>0</v>
      </c>
      <c r="J10" s="189"/>
      <c r="K10" s="190">
        <f t="shared" si="3"/>
        <v>0</v>
      </c>
      <c r="L10" s="189">
        <f t="shared" si="27"/>
        <v>406698.37719298253</v>
      </c>
      <c r="M10" s="190">
        <f t="shared" si="4"/>
        <v>0.48490455011648564</v>
      </c>
      <c r="O10" s="189">
        <v>40005.19</v>
      </c>
      <c r="P10" s="190">
        <f t="shared" si="5"/>
        <v>6.0879798805058963E-2</v>
      </c>
      <c r="Q10" s="189">
        <v>81951.649999999994</v>
      </c>
      <c r="R10" s="190">
        <f t="shared" si="6"/>
        <v>0.46867884479339728</v>
      </c>
      <c r="S10" s="189"/>
      <c r="T10" s="190">
        <f t="shared" si="7"/>
        <v>0</v>
      </c>
      <c r="U10" s="189"/>
      <c r="V10" s="190">
        <f t="shared" si="8"/>
        <v>0</v>
      </c>
      <c r="W10" s="189"/>
      <c r="X10" s="190">
        <f t="shared" si="9"/>
        <v>0</v>
      </c>
      <c r="Y10" s="195">
        <f t="shared" si="24"/>
        <v>121956.84</v>
      </c>
      <c r="Z10" s="190">
        <f t="shared" si="10"/>
        <v>0.14540856307810371</v>
      </c>
      <c r="AB10" s="189"/>
      <c r="AC10" s="190">
        <f t="shared" si="11"/>
        <v>0</v>
      </c>
      <c r="AD10" s="189"/>
      <c r="AE10" s="190">
        <f t="shared" si="12"/>
        <v>0</v>
      </c>
      <c r="AF10" s="189"/>
      <c r="AG10" s="190">
        <f t="shared" si="13"/>
        <v>0</v>
      </c>
      <c r="AH10" s="189"/>
      <c r="AI10" s="190">
        <f t="shared" si="14"/>
        <v>0</v>
      </c>
      <c r="AJ10" s="189"/>
      <c r="AK10" s="190">
        <f t="shared" si="15"/>
        <v>0</v>
      </c>
      <c r="AL10" s="195">
        <f t="shared" si="25"/>
        <v>0</v>
      </c>
      <c r="AM10" s="190">
        <f t="shared" si="16"/>
        <v>0</v>
      </c>
      <c r="AO10" s="189"/>
      <c r="AP10" s="190">
        <f t="shared" si="17"/>
        <v>0</v>
      </c>
      <c r="AQ10" s="189"/>
      <c r="AR10" s="190">
        <f t="shared" si="18"/>
        <v>0</v>
      </c>
      <c r="AS10" s="189"/>
      <c r="AT10" s="190">
        <f t="shared" si="19"/>
        <v>0</v>
      </c>
      <c r="AU10" s="189"/>
      <c r="AV10" s="190">
        <f t="shared" si="20"/>
        <v>0</v>
      </c>
      <c r="AW10" s="189"/>
      <c r="AX10" s="190">
        <f t="shared" si="21"/>
        <v>0</v>
      </c>
      <c r="AY10" s="195">
        <f t="shared" si="26"/>
        <v>0</v>
      </c>
      <c r="AZ10" s="190">
        <f t="shared" si="22"/>
        <v>0</v>
      </c>
    </row>
    <row r="11" spans="1:52">
      <c r="A11" s="200" t="s">
        <v>107</v>
      </c>
      <c r="B11" s="189">
        <v>81005.25</v>
      </c>
      <c r="C11" s="190">
        <f t="shared" si="0"/>
        <v>0.12327358830575488</v>
      </c>
      <c r="D11" s="189">
        <v>18945.226500000001</v>
      </c>
      <c r="E11" s="190">
        <f t="shared" si="1"/>
        <v>0.10834713968991787</v>
      </c>
      <c r="F11" s="189"/>
      <c r="G11" s="190">
        <f t="shared" si="23"/>
        <v>0</v>
      </c>
      <c r="H11" s="189"/>
      <c r="I11" s="190">
        <f t="shared" si="2"/>
        <v>0</v>
      </c>
      <c r="J11" s="189"/>
      <c r="K11" s="190">
        <f t="shared" si="3"/>
        <v>0</v>
      </c>
      <c r="L11" s="189">
        <f t="shared" si="27"/>
        <v>99950.476500000004</v>
      </c>
      <c r="M11" s="190">
        <f t="shared" si="4"/>
        <v>0.11917048003897751</v>
      </c>
      <c r="O11" s="189">
        <v>20066.756000000001</v>
      </c>
      <c r="P11" s="190">
        <f t="shared" si="5"/>
        <v>3.0537539453011214E-2</v>
      </c>
      <c r="Q11" s="189">
        <v>41885.993999999999</v>
      </c>
      <c r="R11" s="190">
        <f t="shared" si="6"/>
        <v>0.23954464957012056</v>
      </c>
      <c r="S11" s="189"/>
      <c r="T11" s="190">
        <f t="shared" si="7"/>
        <v>0</v>
      </c>
      <c r="U11" s="189"/>
      <c r="V11" s="190">
        <f t="shared" si="8"/>
        <v>0</v>
      </c>
      <c r="W11" s="189"/>
      <c r="X11" s="190">
        <f t="shared" si="9"/>
        <v>0</v>
      </c>
      <c r="Y11" s="195">
        <f t="shared" si="24"/>
        <v>61952.75</v>
      </c>
      <c r="Z11" s="190">
        <f t="shared" si="10"/>
        <v>7.3865970586290935E-2</v>
      </c>
      <c r="AB11" s="189"/>
      <c r="AC11" s="190">
        <f t="shared" si="11"/>
        <v>0</v>
      </c>
      <c r="AD11" s="189"/>
      <c r="AE11" s="190">
        <f t="shared" si="12"/>
        <v>0</v>
      </c>
      <c r="AF11" s="189"/>
      <c r="AG11" s="190">
        <f t="shared" si="13"/>
        <v>0</v>
      </c>
      <c r="AH11" s="189"/>
      <c r="AI11" s="190">
        <f t="shared" si="14"/>
        <v>0</v>
      </c>
      <c r="AJ11" s="189"/>
      <c r="AK11" s="190">
        <f t="shared" si="15"/>
        <v>0</v>
      </c>
      <c r="AL11" s="195">
        <f t="shared" si="25"/>
        <v>0</v>
      </c>
      <c r="AM11" s="190">
        <f t="shared" si="16"/>
        <v>0</v>
      </c>
      <c r="AO11" s="189"/>
      <c r="AP11" s="190">
        <f t="shared" si="17"/>
        <v>0</v>
      </c>
      <c r="AQ11" s="189"/>
      <c r="AR11" s="190">
        <f t="shared" si="18"/>
        <v>0</v>
      </c>
      <c r="AS11" s="189"/>
      <c r="AT11" s="190">
        <f t="shared" si="19"/>
        <v>0</v>
      </c>
      <c r="AU11" s="189"/>
      <c r="AV11" s="190">
        <f t="shared" si="20"/>
        <v>0</v>
      </c>
      <c r="AW11" s="189"/>
      <c r="AX11" s="190">
        <f t="shared" si="21"/>
        <v>0</v>
      </c>
      <c r="AY11" s="195">
        <f t="shared" si="26"/>
        <v>0</v>
      </c>
      <c r="AZ11" s="190">
        <f t="shared" si="22"/>
        <v>0</v>
      </c>
    </row>
    <row r="12" spans="1:52">
      <c r="A12" s="200" t="s">
        <v>108</v>
      </c>
      <c r="B12" s="189">
        <v>42995.73</v>
      </c>
      <c r="C12" s="190">
        <f t="shared" si="0"/>
        <v>6.5430795151245072E-2</v>
      </c>
      <c r="D12" s="189">
        <v>11737.56</v>
      </c>
      <c r="E12" s="190">
        <f t="shared" si="1"/>
        <v>6.7126727301929714E-2</v>
      </c>
      <c r="F12" s="189"/>
      <c r="G12" s="190">
        <f t="shared" si="23"/>
        <v>0</v>
      </c>
      <c r="H12" s="189"/>
      <c r="I12" s="190">
        <f t="shared" si="2"/>
        <v>0</v>
      </c>
      <c r="J12" s="189"/>
      <c r="K12" s="190">
        <f t="shared" si="3"/>
        <v>0</v>
      </c>
      <c r="L12" s="189">
        <f t="shared" si="27"/>
        <v>54733.29</v>
      </c>
      <c r="M12" s="190">
        <f t="shared" si="4"/>
        <v>6.5258242599899638E-2</v>
      </c>
      <c r="O12" s="189">
        <v>30877.18</v>
      </c>
      <c r="P12" s="190">
        <f t="shared" si="5"/>
        <v>4.6988815852832856E-2</v>
      </c>
      <c r="Q12" s="189">
        <v>7741.34</v>
      </c>
      <c r="R12" s="190">
        <f t="shared" si="6"/>
        <v>4.4272473932531177E-2</v>
      </c>
      <c r="S12" s="189"/>
      <c r="T12" s="190">
        <f t="shared" si="7"/>
        <v>0</v>
      </c>
      <c r="U12" s="189"/>
      <c r="V12" s="190">
        <f t="shared" si="8"/>
        <v>0</v>
      </c>
      <c r="W12" s="189"/>
      <c r="X12" s="190">
        <f t="shared" si="9"/>
        <v>0</v>
      </c>
      <c r="Y12" s="195">
        <f t="shared" si="24"/>
        <v>38618.520000000004</v>
      </c>
      <c r="Z12" s="190">
        <f t="shared" si="10"/>
        <v>4.6044678604357167E-2</v>
      </c>
      <c r="AB12" s="189"/>
      <c r="AC12" s="190">
        <f t="shared" si="11"/>
        <v>0</v>
      </c>
      <c r="AD12" s="189"/>
      <c r="AE12" s="190">
        <f t="shared" si="12"/>
        <v>0</v>
      </c>
      <c r="AF12" s="189"/>
      <c r="AG12" s="190">
        <f t="shared" si="13"/>
        <v>0</v>
      </c>
      <c r="AH12" s="189"/>
      <c r="AI12" s="190">
        <f t="shared" si="14"/>
        <v>0</v>
      </c>
      <c r="AJ12" s="189"/>
      <c r="AK12" s="190">
        <f t="shared" si="15"/>
        <v>0</v>
      </c>
      <c r="AL12" s="195">
        <f t="shared" si="25"/>
        <v>0</v>
      </c>
      <c r="AM12" s="190">
        <f t="shared" si="16"/>
        <v>0</v>
      </c>
      <c r="AO12" s="189"/>
      <c r="AP12" s="190">
        <f t="shared" si="17"/>
        <v>0</v>
      </c>
      <c r="AQ12" s="189"/>
      <c r="AR12" s="190">
        <f t="shared" si="18"/>
        <v>0</v>
      </c>
      <c r="AS12" s="189"/>
      <c r="AT12" s="190">
        <f t="shared" si="19"/>
        <v>0</v>
      </c>
      <c r="AU12" s="189"/>
      <c r="AV12" s="190">
        <f t="shared" si="20"/>
        <v>0</v>
      </c>
      <c r="AW12" s="189"/>
      <c r="AX12" s="190">
        <f t="shared" si="21"/>
        <v>0</v>
      </c>
      <c r="AY12" s="195">
        <f t="shared" si="26"/>
        <v>0</v>
      </c>
      <c r="AZ12" s="190">
        <f t="shared" si="22"/>
        <v>0</v>
      </c>
    </row>
    <row r="13" spans="1:52">
      <c r="A13" s="200" t="s">
        <v>109</v>
      </c>
      <c r="B13" s="189">
        <v>30518.175536842107</v>
      </c>
      <c r="C13" s="190">
        <f t="shared" si="0"/>
        <v>4.6442483752243635E-2</v>
      </c>
      <c r="D13" s="189">
        <v>2749.2192</v>
      </c>
      <c r="E13" s="190">
        <f t="shared" si="1"/>
        <v>1.5722695988913314E-2</v>
      </c>
      <c r="F13" s="189"/>
      <c r="G13" s="190">
        <f t="shared" si="23"/>
        <v>0</v>
      </c>
      <c r="H13" s="189"/>
      <c r="I13" s="190">
        <f t="shared" si="2"/>
        <v>0</v>
      </c>
      <c r="J13" s="189"/>
      <c r="K13" s="190">
        <f t="shared" si="3"/>
        <v>0</v>
      </c>
      <c r="L13" s="189">
        <f t="shared" si="27"/>
        <v>33267.394736842107</v>
      </c>
      <c r="M13" s="190">
        <f t="shared" si="4"/>
        <v>3.9664557281381518E-2</v>
      </c>
      <c r="O13" s="189">
        <v>39834.86</v>
      </c>
      <c r="P13" s="190">
        <f t="shared" si="5"/>
        <v>6.0620591034005612E-2</v>
      </c>
      <c r="Q13" s="189">
        <v>2400.12</v>
      </c>
      <c r="R13" s="190">
        <f t="shared" si="6"/>
        <v>1.3726208916666458E-2</v>
      </c>
      <c r="S13" s="189"/>
      <c r="T13" s="190">
        <f t="shared" si="7"/>
        <v>0</v>
      </c>
      <c r="U13" s="189"/>
      <c r="V13" s="190">
        <f t="shared" si="8"/>
        <v>0</v>
      </c>
      <c r="W13" s="189"/>
      <c r="X13" s="190">
        <f t="shared" si="9"/>
        <v>0</v>
      </c>
      <c r="Y13" s="195">
        <f t="shared" si="24"/>
        <v>42234.98</v>
      </c>
      <c r="Z13" s="190">
        <f t="shared" si="10"/>
        <v>5.0356566744697955E-2</v>
      </c>
      <c r="AB13" s="189"/>
      <c r="AC13" s="190">
        <f t="shared" si="11"/>
        <v>0</v>
      </c>
      <c r="AD13" s="189"/>
      <c r="AE13" s="190">
        <f t="shared" si="12"/>
        <v>0</v>
      </c>
      <c r="AF13" s="189"/>
      <c r="AG13" s="190">
        <f t="shared" si="13"/>
        <v>0</v>
      </c>
      <c r="AH13" s="189"/>
      <c r="AI13" s="190">
        <f t="shared" si="14"/>
        <v>0</v>
      </c>
      <c r="AJ13" s="189"/>
      <c r="AK13" s="190">
        <f t="shared" si="15"/>
        <v>0</v>
      </c>
      <c r="AL13" s="195">
        <f t="shared" si="25"/>
        <v>0</v>
      </c>
      <c r="AM13" s="190">
        <f t="shared" si="16"/>
        <v>0</v>
      </c>
      <c r="AO13" s="189"/>
      <c r="AP13" s="190">
        <f t="shared" si="17"/>
        <v>0</v>
      </c>
      <c r="AQ13" s="189"/>
      <c r="AR13" s="190">
        <f t="shared" si="18"/>
        <v>0</v>
      </c>
      <c r="AS13" s="189"/>
      <c r="AT13" s="190">
        <f t="shared" si="19"/>
        <v>0</v>
      </c>
      <c r="AU13" s="189"/>
      <c r="AV13" s="190">
        <f t="shared" si="20"/>
        <v>0</v>
      </c>
      <c r="AW13" s="189"/>
      <c r="AX13" s="190">
        <f t="shared" si="21"/>
        <v>0</v>
      </c>
      <c r="AY13" s="195">
        <f t="shared" si="26"/>
        <v>0</v>
      </c>
      <c r="AZ13" s="190">
        <f t="shared" si="22"/>
        <v>0</v>
      </c>
    </row>
    <row r="14" spans="1:52">
      <c r="A14" s="200" t="s">
        <v>340</v>
      </c>
      <c r="B14" s="189"/>
      <c r="C14" s="190">
        <f t="shared" si="0"/>
        <v>0</v>
      </c>
      <c r="D14" s="189"/>
      <c r="E14" s="190">
        <f t="shared" si="1"/>
        <v>0</v>
      </c>
      <c r="F14" s="189"/>
      <c r="G14" s="190">
        <f t="shared" si="23"/>
        <v>0</v>
      </c>
      <c r="H14" s="189"/>
      <c r="I14" s="190">
        <f t="shared" si="2"/>
        <v>0</v>
      </c>
      <c r="J14" s="189"/>
      <c r="K14" s="190">
        <f t="shared" si="3"/>
        <v>0</v>
      </c>
      <c r="L14" s="189">
        <f t="shared" si="27"/>
        <v>0</v>
      </c>
      <c r="M14" s="190">
        <f t="shared" si="4"/>
        <v>0</v>
      </c>
      <c r="O14" s="189">
        <v>3250</v>
      </c>
      <c r="P14" s="190">
        <f t="shared" si="5"/>
        <v>4.945841929920633E-3</v>
      </c>
      <c r="Q14" s="189"/>
      <c r="R14" s="190">
        <f t="shared" si="6"/>
        <v>0</v>
      </c>
      <c r="S14" s="189"/>
      <c r="T14" s="190">
        <f t="shared" si="7"/>
        <v>0</v>
      </c>
      <c r="U14" s="189"/>
      <c r="V14" s="190">
        <f t="shared" si="8"/>
        <v>0</v>
      </c>
      <c r="W14" s="189"/>
      <c r="X14" s="190">
        <f t="shared" si="9"/>
        <v>0</v>
      </c>
      <c r="Y14" s="195">
        <f t="shared" si="24"/>
        <v>3250</v>
      </c>
      <c r="Z14" s="190">
        <f t="shared" si="10"/>
        <v>3.874959616892641E-3</v>
      </c>
      <c r="AB14" s="189"/>
      <c r="AC14" s="190">
        <f t="shared" si="11"/>
        <v>0</v>
      </c>
      <c r="AD14" s="189"/>
      <c r="AE14" s="190">
        <f t="shared" si="12"/>
        <v>0</v>
      </c>
      <c r="AF14" s="189"/>
      <c r="AG14" s="190">
        <f t="shared" si="13"/>
        <v>0</v>
      </c>
      <c r="AH14" s="189"/>
      <c r="AI14" s="190">
        <f t="shared" si="14"/>
        <v>0</v>
      </c>
      <c r="AJ14" s="189"/>
      <c r="AK14" s="190">
        <f t="shared" si="15"/>
        <v>0</v>
      </c>
      <c r="AL14" s="195">
        <f t="shared" si="25"/>
        <v>0</v>
      </c>
      <c r="AM14" s="190">
        <f t="shared" si="16"/>
        <v>0</v>
      </c>
      <c r="AO14" s="189"/>
      <c r="AP14" s="190">
        <f t="shared" si="17"/>
        <v>0</v>
      </c>
      <c r="AQ14" s="189"/>
      <c r="AR14" s="190">
        <f t="shared" si="18"/>
        <v>0</v>
      </c>
      <c r="AS14" s="189"/>
      <c r="AT14" s="190">
        <f t="shared" si="19"/>
        <v>0</v>
      </c>
      <c r="AU14" s="189"/>
      <c r="AV14" s="190">
        <f t="shared" si="20"/>
        <v>0</v>
      </c>
      <c r="AW14" s="189"/>
      <c r="AX14" s="190">
        <f t="shared" si="21"/>
        <v>0</v>
      </c>
      <c r="AY14" s="195">
        <f t="shared" si="26"/>
        <v>0</v>
      </c>
      <c r="AZ14" s="190">
        <f t="shared" si="22"/>
        <v>0</v>
      </c>
    </row>
    <row r="15" spans="1:52">
      <c r="A15" s="200" t="s">
        <v>304</v>
      </c>
      <c r="B15" s="189"/>
      <c r="C15" s="190">
        <f>IFERROR((B15/$B$18),0)</f>
        <v>0</v>
      </c>
      <c r="D15" s="189"/>
      <c r="E15" s="190">
        <f>IFERROR((D15/$D$18),0)</f>
        <v>0</v>
      </c>
      <c r="F15" s="189"/>
      <c r="G15" s="190">
        <f t="shared" si="23"/>
        <v>0</v>
      </c>
      <c r="H15" s="189"/>
      <c r="I15" s="190">
        <f t="shared" si="2"/>
        <v>0</v>
      </c>
      <c r="J15" s="189"/>
      <c r="K15" s="190">
        <f t="shared" si="3"/>
        <v>0</v>
      </c>
      <c r="L15" s="189">
        <f t="shared" si="27"/>
        <v>0</v>
      </c>
      <c r="M15" s="190">
        <f>IFERROR((L15/$L$18),0)</f>
        <v>0</v>
      </c>
      <c r="O15" s="189"/>
      <c r="P15" s="190">
        <f t="shared" si="5"/>
        <v>0</v>
      </c>
      <c r="Q15" s="189"/>
      <c r="R15" s="190">
        <f t="shared" si="6"/>
        <v>0</v>
      </c>
      <c r="S15" s="189"/>
      <c r="T15" s="190">
        <f t="shared" si="7"/>
        <v>0</v>
      </c>
      <c r="U15" s="189">
        <v>3000</v>
      </c>
      <c r="V15" s="190">
        <f t="shared" si="8"/>
        <v>0</v>
      </c>
      <c r="W15" s="189"/>
      <c r="X15" s="190">
        <f t="shared" si="9"/>
        <v>0</v>
      </c>
      <c r="Y15" s="195">
        <f t="shared" si="24"/>
        <v>3000</v>
      </c>
      <c r="Z15" s="190">
        <f t="shared" si="10"/>
        <v>3.5768858002085914E-3</v>
      </c>
      <c r="AB15" s="189"/>
      <c r="AC15" s="190">
        <f t="shared" si="11"/>
        <v>0</v>
      </c>
      <c r="AD15" s="189"/>
      <c r="AE15" s="190">
        <f t="shared" si="12"/>
        <v>0</v>
      </c>
      <c r="AF15" s="189"/>
      <c r="AG15" s="190">
        <f t="shared" si="13"/>
        <v>0</v>
      </c>
      <c r="AH15" s="189"/>
      <c r="AI15" s="190">
        <f t="shared" si="14"/>
        <v>0</v>
      </c>
      <c r="AJ15" s="189"/>
      <c r="AK15" s="190">
        <f t="shared" si="15"/>
        <v>0</v>
      </c>
      <c r="AL15" s="195">
        <f t="shared" si="25"/>
        <v>0</v>
      </c>
      <c r="AM15" s="190">
        <f t="shared" si="16"/>
        <v>0</v>
      </c>
      <c r="AO15" s="189"/>
      <c r="AP15" s="190">
        <f t="shared" si="17"/>
        <v>0</v>
      </c>
      <c r="AQ15" s="189"/>
      <c r="AR15" s="190">
        <f t="shared" si="18"/>
        <v>0</v>
      </c>
      <c r="AS15" s="189"/>
      <c r="AT15" s="190">
        <f t="shared" si="19"/>
        <v>0</v>
      </c>
      <c r="AU15" s="189"/>
      <c r="AV15" s="190">
        <f t="shared" si="20"/>
        <v>0</v>
      </c>
      <c r="AW15" s="189"/>
      <c r="AX15" s="190">
        <f t="shared" si="21"/>
        <v>0</v>
      </c>
      <c r="AY15" s="195">
        <f t="shared" si="26"/>
        <v>0</v>
      </c>
      <c r="AZ15" s="190">
        <f t="shared" si="22"/>
        <v>0</v>
      </c>
    </row>
    <row r="16" spans="1:52">
      <c r="A16" s="200"/>
      <c r="B16" s="189"/>
      <c r="C16" s="190">
        <f>IFERROR((B16/$B$18),0)</f>
        <v>0</v>
      </c>
      <c r="D16" s="189"/>
      <c r="E16" s="190">
        <f>IFERROR((D16/$D$18),0)</f>
        <v>0</v>
      </c>
      <c r="F16" s="189"/>
      <c r="G16" s="190">
        <f t="shared" si="23"/>
        <v>0</v>
      </c>
      <c r="H16" s="189"/>
      <c r="I16" s="190">
        <f t="shared" si="2"/>
        <v>0</v>
      </c>
      <c r="J16" s="189"/>
      <c r="K16" s="190">
        <f t="shared" si="3"/>
        <v>0</v>
      </c>
      <c r="L16" s="189">
        <f t="shared" si="27"/>
        <v>0</v>
      </c>
      <c r="M16" s="190">
        <f>IFERROR((L16/$L$18),0)</f>
        <v>0</v>
      </c>
      <c r="O16" s="189"/>
      <c r="P16" s="190">
        <f t="shared" si="5"/>
        <v>0</v>
      </c>
      <c r="Q16" s="189"/>
      <c r="R16" s="190">
        <f t="shared" si="6"/>
        <v>0</v>
      </c>
      <c r="S16" s="189"/>
      <c r="T16" s="190">
        <f t="shared" si="7"/>
        <v>0</v>
      </c>
      <c r="U16" s="189"/>
      <c r="V16" s="190">
        <f t="shared" si="8"/>
        <v>0</v>
      </c>
      <c r="W16" s="189"/>
      <c r="X16" s="190">
        <f t="shared" si="9"/>
        <v>0</v>
      </c>
      <c r="Y16" s="195">
        <f t="shared" si="24"/>
        <v>0</v>
      </c>
      <c r="Z16" s="190">
        <f t="shared" si="10"/>
        <v>0</v>
      </c>
      <c r="AB16" s="189"/>
      <c r="AC16" s="190">
        <f t="shared" si="11"/>
        <v>0</v>
      </c>
      <c r="AD16" s="189"/>
      <c r="AE16" s="190">
        <f t="shared" si="12"/>
        <v>0</v>
      </c>
      <c r="AF16" s="189"/>
      <c r="AG16" s="190">
        <f t="shared" si="13"/>
        <v>0</v>
      </c>
      <c r="AH16" s="189"/>
      <c r="AI16" s="190">
        <f t="shared" si="14"/>
        <v>0</v>
      </c>
      <c r="AJ16" s="189"/>
      <c r="AK16" s="190">
        <f t="shared" si="15"/>
        <v>0</v>
      </c>
      <c r="AL16" s="195">
        <f t="shared" si="25"/>
        <v>0</v>
      </c>
      <c r="AM16" s="190">
        <f t="shared" si="16"/>
        <v>0</v>
      </c>
      <c r="AO16" s="189"/>
      <c r="AP16" s="190">
        <f t="shared" si="17"/>
        <v>0</v>
      </c>
      <c r="AQ16" s="189"/>
      <c r="AR16" s="190">
        <f t="shared" si="18"/>
        <v>0</v>
      </c>
      <c r="AS16" s="189"/>
      <c r="AT16" s="190">
        <f t="shared" si="19"/>
        <v>0</v>
      </c>
      <c r="AU16" s="189"/>
      <c r="AV16" s="190">
        <f t="shared" si="20"/>
        <v>0</v>
      </c>
      <c r="AW16" s="189"/>
      <c r="AX16" s="190">
        <f t="shared" si="21"/>
        <v>0</v>
      </c>
      <c r="AY16" s="195">
        <f t="shared" si="26"/>
        <v>0</v>
      </c>
      <c r="AZ16" s="190">
        <f t="shared" si="22"/>
        <v>0</v>
      </c>
    </row>
    <row r="17" spans="1:52">
      <c r="A17" s="200"/>
      <c r="B17" s="189"/>
      <c r="C17" s="190">
        <f>IFERROR((B17/$B$18),0)</f>
        <v>0</v>
      </c>
      <c r="D17" s="189"/>
      <c r="E17" s="190">
        <f>IFERROR((D17/$D$18),0)</f>
        <v>0</v>
      </c>
      <c r="F17" s="189"/>
      <c r="G17" s="190">
        <f t="shared" si="23"/>
        <v>0</v>
      </c>
      <c r="H17" s="189"/>
      <c r="I17" s="190">
        <f t="shared" si="2"/>
        <v>0</v>
      </c>
      <c r="J17" s="189"/>
      <c r="K17" s="190">
        <f t="shared" si="3"/>
        <v>0</v>
      </c>
      <c r="L17" s="189">
        <f t="shared" si="27"/>
        <v>0</v>
      </c>
      <c r="M17" s="190">
        <f>IFERROR((L17/$L$18),0)</f>
        <v>0</v>
      </c>
      <c r="O17" s="189"/>
      <c r="P17" s="190">
        <f t="shared" si="5"/>
        <v>0</v>
      </c>
      <c r="Q17" s="189"/>
      <c r="R17" s="190">
        <f t="shared" si="6"/>
        <v>0</v>
      </c>
      <c r="S17" s="189"/>
      <c r="T17" s="190">
        <f t="shared" si="7"/>
        <v>0</v>
      </c>
      <c r="U17" s="189"/>
      <c r="V17" s="190">
        <f t="shared" si="8"/>
        <v>0</v>
      </c>
      <c r="W17" s="189"/>
      <c r="X17" s="190">
        <f t="shared" si="9"/>
        <v>0</v>
      </c>
      <c r="Y17" s="195">
        <f t="shared" si="24"/>
        <v>0</v>
      </c>
      <c r="Z17" s="190">
        <f t="shared" si="10"/>
        <v>0</v>
      </c>
      <c r="AB17" s="189"/>
      <c r="AC17" s="190">
        <f t="shared" si="11"/>
        <v>0</v>
      </c>
      <c r="AD17" s="189"/>
      <c r="AE17" s="190">
        <f t="shared" si="12"/>
        <v>0</v>
      </c>
      <c r="AF17" s="189"/>
      <c r="AG17" s="190">
        <f t="shared" si="13"/>
        <v>0</v>
      </c>
      <c r="AH17" s="189"/>
      <c r="AI17" s="190">
        <f t="shared" si="14"/>
        <v>0</v>
      </c>
      <c r="AJ17" s="189"/>
      <c r="AK17" s="190">
        <f t="shared" si="15"/>
        <v>0</v>
      </c>
      <c r="AL17" s="195">
        <f t="shared" si="25"/>
        <v>0</v>
      </c>
      <c r="AM17" s="190">
        <f t="shared" si="16"/>
        <v>0</v>
      </c>
      <c r="AO17" s="189"/>
      <c r="AP17" s="190">
        <f t="shared" si="17"/>
        <v>0</v>
      </c>
      <c r="AQ17" s="189"/>
      <c r="AR17" s="190">
        <f t="shared" si="18"/>
        <v>0</v>
      </c>
      <c r="AS17" s="189"/>
      <c r="AT17" s="190">
        <f t="shared" si="19"/>
        <v>0</v>
      </c>
      <c r="AU17" s="189"/>
      <c r="AV17" s="190">
        <f t="shared" si="20"/>
        <v>0</v>
      </c>
      <c r="AW17" s="189"/>
      <c r="AX17" s="190">
        <f t="shared" si="21"/>
        <v>0</v>
      </c>
      <c r="AY17" s="195">
        <f t="shared" si="26"/>
        <v>0</v>
      </c>
      <c r="AZ17" s="190">
        <f t="shared" si="22"/>
        <v>0</v>
      </c>
    </row>
    <row r="18" spans="1:52" s="188" customFormat="1" ht="20.25">
      <c r="A18" s="201" t="s">
        <v>323</v>
      </c>
      <c r="B18" s="191">
        <f>SUM(B3:B17)</f>
        <v>657117.64469030523</v>
      </c>
      <c r="C18" s="192">
        <f>IFERROR((B18/$B$18),0)</f>
        <v>1</v>
      </c>
      <c r="D18" s="191">
        <f>SUM(D3:D17)</f>
        <v>174856.72952899308</v>
      </c>
      <c r="E18" s="192">
        <f>IFERROR((D18/$D$18),0)</f>
        <v>1</v>
      </c>
      <c r="F18" s="191">
        <f>SUM(F3:F17)</f>
        <v>6744.0438596491231</v>
      </c>
      <c r="G18" s="192">
        <f t="shared" si="23"/>
        <v>0</v>
      </c>
      <c r="H18" s="191">
        <f>SUM(H3:H17)</f>
        <v>0</v>
      </c>
      <c r="I18" s="192">
        <f t="shared" si="2"/>
        <v>0</v>
      </c>
      <c r="J18" s="191">
        <f>SUM(J3:J17)</f>
        <v>0</v>
      </c>
      <c r="K18" s="192">
        <f t="shared" si="3"/>
        <v>0</v>
      </c>
      <c r="L18" s="191">
        <f>B18+D18+H18+J18+F18</f>
        <v>838718.41807894746</v>
      </c>
      <c r="M18" s="192">
        <f>IFERROR((L18/$L$18),0)</f>
        <v>1</v>
      </c>
      <c r="O18" s="191">
        <f>SUM(O3:O17)</f>
        <v>252401.38810526312</v>
      </c>
      <c r="P18" s="192">
        <f>IFERROR((O18/$B$18),0)</f>
        <v>0.38410380568036345</v>
      </c>
      <c r="Q18" s="191">
        <f>SUM(Q3:Q17)</f>
        <v>152521.69399999999</v>
      </c>
      <c r="R18" s="192">
        <f>IFERROR((Q18/$D$18),0)</f>
        <v>0.87226665173736018</v>
      </c>
      <c r="S18" s="191">
        <f>SUM(S3:S17)</f>
        <v>0</v>
      </c>
      <c r="T18" s="192">
        <f t="shared" si="7"/>
        <v>0</v>
      </c>
      <c r="U18" s="191">
        <f>SUM(U3:U17)</f>
        <v>3000</v>
      </c>
      <c r="V18" s="192">
        <f t="shared" si="8"/>
        <v>0</v>
      </c>
      <c r="W18" s="191">
        <f>SUM(W3:W17)</f>
        <v>0</v>
      </c>
      <c r="X18" s="192">
        <f t="shared" si="9"/>
        <v>0</v>
      </c>
      <c r="Y18" s="195">
        <f t="shared" si="24"/>
        <v>407923.08210526314</v>
      </c>
      <c r="Z18" s="192">
        <f>IFERROR((Y18/$L$18),0)</f>
        <v>0.48636475998654638</v>
      </c>
      <c r="AB18" s="191">
        <f>SUM(AB3:AB17)</f>
        <v>0</v>
      </c>
      <c r="AC18" s="192">
        <f>IFERROR((AB18/$B$18),0)</f>
        <v>0</v>
      </c>
      <c r="AD18" s="191">
        <f>SUM(AD3:AD17)</f>
        <v>0</v>
      </c>
      <c r="AE18" s="192">
        <f>IFERROR((AD18/$D$18),0)</f>
        <v>0</v>
      </c>
      <c r="AF18" s="191">
        <f>SUM(AF3:AF17)</f>
        <v>0</v>
      </c>
      <c r="AG18" s="192">
        <f t="shared" si="13"/>
        <v>0</v>
      </c>
      <c r="AH18" s="191">
        <f>SUM(AH3:AH17)</f>
        <v>0</v>
      </c>
      <c r="AI18" s="192">
        <f t="shared" si="14"/>
        <v>0</v>
      </c>
      <c r="AJ18" s="191">
        <f>SUM(AJ3:AJ17)</f>
        <v>0</v>
      </c>
      <c r="AK18" s="192">
        <f t="shared" si="15"/>
        <v>0</v>
      </c>
      <c r="AL18" s="195">
        <f t="shared" si="25"/>
        <v>0</v>
      </c>
      <c r="AM18" s="192">
        <f>IFERROR((AL18/$L$18),0)</f>
        <v>0</v>
      </c>
      <c r="AO18" s="191">
        <f>SUM(AO3:AO17)</f>
        <v>0</v>
      </c>
      <c r="AP18" s="192">
        <f>IFERROR((AO18/$B$18),0)</f>
        <v>0</v>
      </c>
      <c r="AQ18" s="191">
        <f>SUM(AQ3:AQ17)</f>
        <v>0</v>
      </c>
      <c r="AR18" s="192">
        <f>IFERROR((AQ18/$D$18),0)</f>
        <v>0</v>
      </c>
      <c r="AS18" s="191">
        <f>SUM(AS3:AS17)</f>
        <v>0</v>
      </c>
      <c r="AT18" s="192">
        <f t="shared" si="19"/>
        <v>0</v>
      </c>
      <c r="AU18" s="191">
        <f>SUM(AU3:AU17)</f>
        <v>0</v>
      </c>
      <c r="AV18" s="192">
        <f t="shared" si="20"/>
        <v>0</v>
      </c>
      <c r="AW18" s="191">
        <f>SUM(AW3:AW17)</f>
        <v>0</v>
      </c>
      <c r="AX18" s="192">
        <f t="shared" si="21"/>
        <v>0</v>
      </c>
      <c r="AY18" s="195">
        <f t="shared" si="26"/>
        <v>0</v>
      </c>
      <c r="AZ18" s="192">
        <f>IFERROR((AY18/$L$18),0)</f>
        <v>0</v>
      </c>
    </row>
    <row r="19" spans="1:52" ht="15" thickBot="1">
      <c r="O19" s="193"/>
      <c r="P19" s="194"/>
      <c r="Q19" s="193"/>
      <c r="R19" s="194"/>
      <c r="S19" s="193"/>
      <c r="T19" s="194"/>
      <c r="U19" s="193"/>
      <c r="V19" s="194"/>
      <c r="W19" s="193"/>
      <c r="X19" s="194"/>
      <c r="Y19" s="193"/>
      <c r="Z19" s="194"/>
      <c r="AB19" s="193"/>
      <c r="AC19" s="194"/>
      <c r="AD19" s="193"/>
      <c r="AE19" s="194"/>
      <c r="AF19" s="193"/>
      <c r="AG19" s="194"/>
      <c r="AH19" s="193"/>
      <c r="AI19" s="194"/>
      <c r="AJ19" s="193"/>
      <c r="AK19" s="194"/>
      <c r="AL19" s="193"/>
      <c r="AM19" s="194"/>
      <c r="AO19" s="193"/>
      <c r="AP19" s="194"/>
      <c r="AQ19" s="193"/>
      <c r="AR19" s="194"/>
      <c r="AS19" s="193"/>
      <c r="AT19" s="194"/>
      <c r="AU19" s="193"/>
      <c r="AV19" s="194"/>
      <c r="AW19" s="193"/>
      <c r="AX19" s="194"/>
      <c r="AY19" s="193"/>
      <c r="AZ19" s="194"/>
    </row>
    <row r="20" spans="1:52" s="188" customFormat="1" ht="21" thickBot="1">
      <c r="A20" s="198" t="s">
        <v>4</v>
      </c>
      <c r="B20" s="371" t="str">
        <f>B2</f>
        <v xml:space="preserve">القاهرة </v>
      </c>
      <c r="C20" s="370"/>
      <c r="D20" s="371" t="str">
        <f>D2</f>
        <v xml:space="preserve">المنصورة </v>
      </c>
      <c r="E20" s="370"/>
      <c r="F20" s="371" t="str">
        <f>F2</f>
        <v xml:space="preserve">القانونيه </v>
      </c>
      <c r="G20" s="370"/>
      <c r="H20" s="371" t="str">
        <f>H2</f>
        <v>الخدمات القانونية</v>
      </c>
      <c r="I20" s="370"/>
      <c r="J20" s="371" t="str">
        <f>J2</f>
        <v xml:space="preserve">قيمه </v>
      </c>
      <c r="K20" s="370"/>
      <c r="L20" s="369" t="str">
        <f>L2</f>
        <v>الإجمالي</v>
      </c>
      <c r="M20" s="370"/>
      <c r="O20" s="371" t="str">
        <f>O2</f>
        <v xml:space="preserve">القاهرة </v>
      </c>
      <c r="P20" s="370"/>
      <c r="Q20" s="371" t="str">
        <f>Q2</f>
        <v xml:space="preserve">المنصورة </v>
      </c>
      <c r="R20" s="370"/>
      <c r="S20" s="371" t="str">
        <f>S2</f>
        <v xml:space="preserve">القانونيه </v>
      </c>
      <c r="T20" s="370"/>
      <c r="U20" s="371" t="str">
        <f>U2</f>
        <v>الخدمات القانونية</v>
      </c>
      <c r="V20" s="370"/>
      <c r="W20" s="371" t="str">
        <f>W2</f>
        <v xml:space="preserve">قيمه </v>
      </c>
      <c r="X20" s="370"/>
      <c r="Y20" s="369" t="str">
        <f>Y2</f>
        <v>الإجمالي</v>
      </c>
      <c r="Z20" s="370"/>
      <c r="AB20" s="371" t="str">
        <f>AB2</f>
        <v xml:space="preserve">القاهرة </v>
      </c>
      <c r="AC20" s="370"/>
      <c r="AD20" s="371" t="str">
        <f>AD2</f>
        <v xml:space="preserve">المنصورة </v>
      </c>
      <c r="AE20" s="370"/>
      <c r="AF20" s="371" t="str">
        <f>AF2</f>
        <v xml:space="preserve">القانونيه </v>
      </c>
      <c r="AG20" s="370"/>
      <c r="AH20" s="371" t="str">
        <f>AH2</f>
        <v>الخدمات القانونية</v>
      </c>
      <c r="AI20" s="370"/>
      <c r="AJ20" s="371" t="str">
        <f>AJ2</f>
        <v xml:space="preserve">قيمه </v>
      </c>
      <c r="AK20" s="370"/>
      <c r="AL20" s="369" t="str">
        <f>AL2</f>
        <v>الإجمالي</v>
      </c>
      <c r="AM20" s="370"/>
      <c r="AO20" s="371" t="str">
        <f>AO2</f>
        <v xml:space="preserve">القاهرة </v>
      </c>
      <c r="AP20" s="370"/>
      <c r="AQ20" s="371" t="str">
        <f>AQ2</f>
        <v xml:space="preserve">المنصورة </v>
      </c>
      <c r="AR20" s="370"/>
      <c r="AS20" s="371" t="str">
        <f>AS2</f>
        <v xml:space="preserve">القانونيه </v>
      </c>
      <c r="AT20" s="370"/>
      <c r="AU20" s="371" t="str">
        <f>AU2</f>
        <v>الخدمات القانونية</v>
      </c>
      <c r="AV20" s="370"/>
      <c r="AW20" s="371" t="str">
        <f>AW2</f>
        <v xml:space="preserve">قيمه </v>
      </c>
      <c r="AX20" s="370"/>
      <c r="AY20" s="369" t="str">
        <f>AY2</f>
        <v>الإجمالي</v>
      </c>
      <c r="AZ20" s="370"/>
    </row>
    <row r="21" spans="1:52">
      <c r="A21" s="200" t="s">
        <v>119</v>
      </c>
      <c r="B21" s="189">
        <f>SUMIFS(Table1[[المنصرف ]],Table1[[نوع المصروف ]],$A:$A,Table1[[الشهر ]],$B$1,Table1[الفرع],'تحليلات 2024'!$B$20)</f>
        <v>0</v>
      </c>
      <c r="C21" s="190">
        <f>IFERROR((B21/$B$18),0)</f>
        <v>0</v>
      </c>
      <c r="D21" s="189">
        <f>SUMIFS(Table1[[المنصرف ]],Table1[[نوع المصروف ]],$A:$A,Table1[[الشهر ]],$B$1,Table1[الفرع],'تحليلات 2024'!$D$20)</f>
        <v>0</v>
      </c>
      <c r="E21" s="190">
        <f>IFERROR((D21/$D$18),0)</f>
        <v>0</v>
      </c>
      <c r="F21" s="189">
        <f>SUMIFS(Table1[[المنصرف ]],Table1[[نوع المصروف ]],$A:$A,Table1[[الشهر ]],$B$1,Table1[الفرع],'تحليلات 2024'!$F$20)</f>
        <v>0</v>
      </c>
      <c r="G21" s="190">
        <f>IFERROR((F21/$F$18),0)</f>
        <v>0</v>
      </c>
      <c r="H21" s="189">
        <f>SUMIFS(Table1[[المنصرف ]],Table1[[نوع المصروف ]],$A:$A,Table1[[الشهر ]],$B$1,Table1[الفرع],'تحليلات 2024'!$H$20)</f>
        <v>0</v>
      </c>
      <c r="I21" s="190">
        <f t="shared" ref="I21:I66" si="28">IFERROR((H21/$H$18),0)</f>
        <v>0</v>
      </c>
      <c r="J21" s="189">
        <f>SUMIFS(Table1[[المنصرف ]],Table1[[نوع المصروف ]],$A:$A,Table1[[الشهر ]],$B$1,Table1[الفرع],'تحليلات 2024'!$J$20)</f>
        <v>0</v>
      </c>
      <c r="K21" s="190">
        <f>IFERROR((J21/$L$18),0)</f>
        <v>0</v>
      </c>
      <c r="L21" s="189">
        <f>B21+D21+H21+J21+F21</f>
        <v>0</v>
      </c>
      <c r="M21" s="190">
        <f>IFERROR((L21/$L$18),0)</f>
        <v>0</v>
      </c>
      <c r="O21" s="189">
        <f>SUMIFS(Table1[[المنصرف ]],Table1[[نوع المصروف ]],$A:$A,Table1[[الشهر ]],$O$1,Table1[الفرع],'تحليلات 2024'!$B$20)</f>
        <v>0</v>
      </c>
      <c r="P21" s="190">
        <f>IFERROR((O21/$B$18),0)</f>
        <v>0</v>
      </c>
      <c r="Q21" s="189">
        <f>SUMIFS(Table1[[المنصرف ]],Table1[[نوع المصروف ]],$A:$A,Table1[[الشهر ]],$O$1,Table1[الفرع],'تحليلات 2024'!$D$20)</f>
        <v>0</v>
      </c>
      <c r="R21" s="190">
        <f>IFERROR((Q21/$D$18),0)</f>
        <v>0</v>
      </c>
      <c r="S21" s="189">
        <f>SUMIFS(Table1[[المنصرف ]],Table1[[نوع المصروف ]],$A:$A,Table1[[الشهر ]],$O$1,Table1[الفرع],'تحليلات 2024'!$F$20)</f>
        <v>0</v>
      </c>
      <c r="T21" s="190">
        <f>IFERROR((S21/$F$18),0)</f>
        <v>0</v>
      </c>
      <c r="U21" s="189">
        <f>SUMIFS(Table1[[المنصرف ]],Table1[[نوع المصروف ]],$A:$A,Table1[[الشهر ]],$O$1,Table1[الفرع],'تحليلات 2024'!$H$20)</f>
        <v>0</v>
      </c>
      <c r="V21" s="190">
        <f t="shared" ref="V21:V33" si="29">IFERROR((U21/$H$18),0)</f>
        <v>0</v>
      </c>
      <c r="W21" s="189">
        <f>SUMIFS(Table1[[المنصرف ]],Table1[[نوع المصروف ]],$A:$A,Table1[[الشهر ]],$O$1,Table1[الفرع],'تحليلات 2024'!$J$20)</f>
        <v>0</v>
      </c>
      <c r="X21" s="190">
        <f t="shared" ref="X21:X33" si="30">IFERROR((W21/$L$18),0)</f>
        <v>0</v>
      </c>
      <c r="Y21" s="189">
        <f>O21+Q21+U21+W21+S21</f>
        <v>0</v>
      </c>
      <c r="Z21" s="190">
        <f>IFERROR((Y21/$L$18),0)</f>
        <v>0</v>
      </c>
      <c r="AB21" s="189">
        <f>SUMIFS(Table1[[المنصرف ]],Table1[[نوع المصروف ]],$A:$A,Table1[[الشهر ]],$AB$1,Table1[الفرع],'تحليلات 2024'!$B$20)</f>
        <v>0</v>
      </c>
      <c r="AC21" s="190">
        <f>IFERROR((AB21/$B$18),0)</f>
        <v>0</v>
      </c>
      <c r="AD21" s="189">
        <f>SUMIFS(Table1[[المنصرف ]],Table1[[نوع المصروف ]],$A:$A,Table1[[الشهر ]],$AB$1,Table1[الفرع],'تحليلات 2024'!$D$20)</f>
        <v>0</v>
      </c>
      <c r="AE21" s="190">
        <f>IFERROR((AD21/$D$18),0)</f>
        <v>0</v>
      </c>
      <c r="AF21" s="189">
        <f>SUMIFS(Table1[[المنصرف ]],Table1[[نوع المصروف ]],$A:$A,Table1[[الشهر ]],$AB$1,Table1[الفرع],'تحليلات 2024'!$F$20)</f>
        <v>0</v>
      </c>
      <c r="AG21" s="190">
        <f>IFERROR((AF21/$F$18),0)</f>
        <v>0</v>
      </c>
      <c r="AH21" s="189">
        <f>SUMIFS(Table1[[المنصرف ]],Table1[[نوع المصروف ]],$A:$A,Table1[[الشهر ]],$AB$1,Table1[الفرع],'تحليلات 2024'!$H$20)</f>
        <v>0</v>
      </c>
      <c r="AI21" s="190">
        <f t="shared" ref="AI21:AI33" si="31">IFERROR((AH21/$H$18),0)</f>
        <v>0</v>
      </c>
      <c r="AJ21" s="189">
        <f>SUMIFS(Table1[[المنصرف ]],Table1[[نوع المصروف ]],$A:$A,Table1[[الشهر ]],$AB$1,Table1[الفرع],'تحليلات 2024'!$J$20)</f>
        <v>0</v>
      </c>
      <c r="AK21" s="190">
        <f t="shared" ref="AK21:AK33" si="32">IFERROR((AJ21/$L$18),0)</f>
        <v>0</v>
      </c>
      <c r="AL21" s="189">
        <f>AB21+AD21+AH21+AJ21+AF21</f>
        <v>0</v>
      </c>
      <c r="AM21" s="190">
        <f>IFERROR((AL21/$L$18),0)</f>
        <v>0</v>
      </c>
      <c r="AO21" s="189">
        <f>SUMIFS(Table1[[المنصرف ]],Table1[[نوع المصروف ]],$A:$A,Table1[[الشهر ]],$AO$1,Table1[الفرع],'تحليلات 2024'!$B$20)</f>
        <v>0</v>
      </c>
      <c r="AP21" s="190">
        <f>IFERROR((AO21/$B$18),0)</f>
        <v>0</v>
      </c>
      <c r="AQ21" s="189">
        <f>SUMIFS(Table1[[المنصرف ]],Table1[[نوع المصروف ]],$A:$A,Table1[[الشهر ]],$AO$1,Table1[الفرع],'تحليلات 2024'!$D$20)</f>
        <v>0</v>
      </c>
      <c r="AR21" s="190">
        <f>IFERROR((AQ21/$D$18),0)</f>
        <v>0</v>
      </c>
      <c r="AS21" s="189">
        <f>SUMIFS(Table1[[المنصرف ]],Table1[[نوع المصروف ]],$A:$A,Table1[[الشهر ]],$AO$1,Table1[الفرع],'تحليلات 2024'!$F$20)</f>
        <v>0</v>
      </c>
      <c r="AT21" s="190">
        <f>IFERROR((AS21/$F$18),0)</f>
        <v>0</v>
      </c>
      <c r="AU21" s="189">
        <f>SUMIFS(Table1[[المنصرف ]],Table1[[نوع المصروف ]],$A:$A,Table1[[الشهر ]],$AO$1,Table1[الفرع],'تحليلات 2024'!$H$20)</f>
        <v>0</v>
      </c>
      <c r="AV21" s="190">
        <f t="shared" ref="AV21:AV33" si="33">IFERROR((AU21/$H$18),0)</f>
        <v>0</v>
      </c>
      <c r="AW21" s="189">
        <f>SUMIFS(Table1[[المنصرف ]],Table1[[نوع المصروف ]],$A:$A,Table1[[الشهر ]],$AO$1,Table1[الفرع],'تحليلات 2024'!$J$20)</f>
        <v>0</v>
      </c>
      <c r="AX21" s="190">
        <f t="shared" ref="AX21:AX33" si="34">IFERROR((AW21/$L$18),0)</f>
        <v>0</v>
      </c>
      <c r="AY21" s="189">
        <f>AO21+AQ21+AU21+AW21+AS21</f>
        <v>0</v>
      </c>
      <c r="AZ21" s="190">
        <f>IFERROR((AY21/$L$18),0)</f>
        <v>0</v>
      </c>
    </row>
    <row r="22" spans="1:52">
      <c r="A22" s="200" t="s">
        <v>313</v>
      </c>
      <c r="B22" s="189">
        <f>SUMIFS(Table1[[المنصرف ]],Table1[[نوع المصروف ]],$A:$A,Table1[[الشهر ]],$B$1,Table1[الفرع],'تحليلات 2024'!$B$20)</f>
        <v>0</v>
      </c>
      <c r="C22" s="190">
        <f t="shared" ref="C22:C66" si="35">IFERROR((B22/$B$18),0)</f>
        <v>0</v>
      </c>
      <c r="D22" s="189">
        <f>SUMIFS(Table1[[المنصرف ]],Table1[[نوع المصروف ]],$A:$A,Table1[[الشهر ]],$B$1,Table1[الفرع],'تحليلات 2024'!$D$20)</f>
        <v>0</v>
      </c>
      <c r="E22" s="190">
        <f t="shared" ref="E22:E66" si="36">IFERROR((D22/$D$18),0)</f>
        <v>0</v>
      </c>
      <c r="F22" s="189">
        <f>SUMIFS(Table1[[المنصرف ]],Table1[[نوع المصروف ]],$A:$A,Table1[[الشهر ]],$B$1,Table1[الفرع],'تحليلات 2024'!$F$20)</f>
        <v>0</v>
      </c>
      <c r="G22" s="190">
        <f t="shared" ref="G22:G66" si="37">IFERROR((F22/$H$18),0)</f>
        <v>0</v>
      </c>
      <c r="H22" s="189">
        <f>SUMIFS(Table1[[المنصرف ]],Table1[[نوع المصروف ]],$A:$A,Table1[[الشهر ]],$B$1,Table1[الفرع],'تحليلات 2024'!$H$20)</f>
        <v>0</v>
      </c>
      <c r="I22" s="190">
        <f t="shared" si="28"/>
        <v>0</v>
      </c>
      <c r="J22" s="189">
        <f>SUMIFS(Table1[[المنصرف ]],Table1[[نوع المصروف ]],$A:$A,Table1[[الشهر ]],$B$1,Table1[الفرع],'تحليلات 2024'!$J$20)</f>
        <v>0</v>
      </c>
      <c r="K22" s="190">
        <f t="shared" ref="K22:K65" si="38">IFERROR((J22/$L$18),0)</f>
        <v>0</v>
      </c>
      <c r="L22" s="189">
        <f t="shared" ref="L22:L65" si="39">B22+D22+H22+J22+F22</f>
        <v>0</v>
      </c>
      <c r="M22" s="190">
        <f t="shared" ref="M22:M66" si="40">IFERROR((L22/$L$18),0)</f>
        <v>0</v>
      </c>
      <c r="O22" s="189">
        <f>SUMIFS(Table1[[المنصرف ]],Table1[[نوع المصروف ]],$A:$A,Table1[[الشهر ]],$O$1,Table1[الفرع],'تحليلات 2024'!$B$20)</f>
        <v>0</v>
      </c>
      <c r="P22" s="190">
        <f t="shared" ref="P22:P33" si="41">IFERROR((O22/$B$18),0)</f>
        <v>0</v>
      </c>
      <c r="Q22" s="189">
        <f>SUMIFS(Table1[[المنصرف ]],Table1[[نوع المصروف ]],$A:$A,Table1[[الشهر ]],$O$1,Table1[الفرع],'تحليلات 2024'!$D$20)</f>
        <v>0</v>
      </c>
      <c r="R22" s="190">
        <f t="shared" ref="R22:R33" si="42">IFERROR((Q22/$D$18),0)</f>
        <v>0</v>
      </c>
      <c r="S22" s="189">
        <f>SUMIFS(Table1[[المنصرف ]],Table1[[نوع المصروف ]],$A:$A,Table1[[الشهر ]],$O$1,Table1[الفرع],'تحليلات 2024'!$F$20)</f>
        <v>0</v>
      </c>
      <c r="T22" s="190">
        <f t="shared" ref="T22:T33" si="43">IFERROR((S22/$H$18),0)</f>
        <v>0</v>
      </c>
      <c r="U22" s="189">
        <f>SUMIFS(Table1[[المنصرف ]],Table1[[نوع المصروف ]],$A:$A,Table1[[الشهر ]],$O$1,Table1[الفرع],'تحليلات 2024'!$H$20)</f>
        <v>0</v>
      </c>
      <c r="V22" s="190">
        <f t="shared" si="29"/>
        <v>0</v>
      </c>
      <c r="W22" s="189">
        <f>SUMIFS(Table1[[المنصرف ]],Table1[[نوع المصروف ]],$A:$A,Table1[[الشهر ]],$O$1,Table1[الفرع],'تحليلات 2024'!$J$20)</f>
        <v>0</v>
      </c>
      <c r="X22" s="190">
        <f t="shared" si="30"/>
        <v>0</v>
      </c>
      <c r="Y22" s="189">
        <f t="shared" ref="Y22:Y65" si="44">O22+Q22+U22+W22+S22</f>
        <v>0</v>
      </c>
      <c r="Z22" s="190">
        <f t="shared" ref="Z22:Z33" si="45">IFERROR((Y22/$L$18),0)</f>
        <v>0</v>
      </c>
      <c r="AB22" s="189">
        <f>SUMIFS(Table1[[المنصرف ]],Table1[[نوع المصروف ]],$A:$A,Table1[[الشهر ]],$AB$1,Table1[الفرع],'تحليلات 2024'!$B$20)</f>
        <v>0</v>
      </c>
      <c r="AC22" s="190">
        <f t="shared" ref="AC22:AC33" si="46">IFERROR((AB22/$B$18),0)</f>
        <v>0</v>
      </c>
      <c r="AD22" s="189">
        <f>SUMIFS(Table1[[المنصرف ]],Table1[[نوع المصروف ]],$A:$A,Table1[[الشهر ]],$AB$1,Table1[الفرع],'تحليلات 2024'!$D$20)</f>
        <v>0</v>
      </c>
      <c r="AE22" s="190">
        <f t="shared" ref="AE22:AE33" si="47">IFERROR((AD22/$D$18),0)</f>
        <v>0</v>
      </c>
      <c r="AF22" s="189">
        <f>SUMIFS(Table1[[المنصرف ]],Table1[[نوع المصروف ]],$A:$A,Table1[[الشهر ]],$AB$1,Table1[الفرع],'تحليلات 2024'!$F$20)</f>
        <v>0</v>
      </c>
      <c r="AG22" s="190">
        <f t="shared" ref="AG22:AG33" si="48">IFERROR((AF22/$H$18),0)</f>
        <v>0</v>
      </c>
      <c r="AH22" s="189">
        <f>SUMIFS(Table1[[المنصرف ]],Table1[[نوع المصروف ]],$A:$A,Table1[[الشهر ]],$AB$1,Table1[الفرع],'تحليلات 2024'!$H$20)</f>
        <v>0</v>
      </c>
      <c r="AI22" s="190">
        <f t="shared" si="31"/>
        <v>0</v>
      </c>
      <c r="AJ22" s="189">
        <f>SUMIFS(Table1[[المنصرف ]],Table1[[نوع المصروف ]],$A:$A,Table1[[الشهر ]],$AB$1,Table1[الفرع],'تحليلات 2024'!$J$20)</f>
        <v>0</v>
      </c>
      <c r="AK22" s="190">
        <f t="shared" si="32"/>
        <v>0</v>
      </c>
      <c r="AL22" s="189">
        <f t="shared" ref="AL22:AL65" si="49">AB22+AD22+AH22+AJ22+AF22</f>
        <v>0</v>
      </c>
      <c r="AM22" s="190">
        <f t="shared" ref="AM22:AM33" si="50">IFERROR((AL22/$L$18),0)</f>
        <v>0</v>
      </c>
      <c r="AO22" s="189">
        <f>SUMIFS(Table1[[المنصرف ]],Table1[[نوع المصروف ]],$A:$A,Table1[[الشهر ]],$AO$1,Table1[الفرع],'تحليلات 2024'!$B$20)</f>
        <v>0</v>
      </c>
      <c r="AP22" s="190">
        <f t="shared" ref="AP22:AP33" si="51">IFERROR((AO22/$B$18),0)</f>
        <v>0</v>
      </c>
      <c r="AQ22" s="189">
        <f>SUMIFS(Table1[[المنصرف ]],Table1[[نوع المصروف ]],$A:$A,Table1[[الشهر ]],$AO$1,Table1[الفرع],'تحليلات 2024'!$D$20)</f>
        <v>0</v>
      </c>
      <c r="AR22" s="190">
        <f t="shared" ref="AR22:AR33" si="52">IFERROR((AQ22/$D$18),0)</f>
        <v>0</v>
      </c>
      <c r="AS22" s="189">
        <f>SUMIFS(Table1[[المنصرف ]],Table1[[نوع المصروف ]],$A:$A,Table1[[الشهر ]],$AO$1,Table1[الفرع],'تحليلات 2024'!$F$20)</f>
        <v>0</v>
      </c>
      <c r="AT22" s="190">
        <f t="shared" ref="AT22:AT33" si="53">IFERROR((AS22/$H$18),0)</f>
        <v>0</v>
      </c>
      <c r="AU22" s="189">
        <f>SUMIFS(Table1[[المنصرف ]],Table1[[نوع المصروف ]],$A:$A,Table1[[الشهر ]],$AO$1,Table1[الفرع],'تحليلات 2024'!$H$20)</f>
        <v>0</v>
      </c>
      <c r="AV22" s="190">
        <f t="shared" si="33"/>
        <v>0</v>
      </c>
      <c r="AW22" s="189">
        <f>SUMIFS(Table1[[المنصرف ]],Table1[[نوع المصروف ]],$A:$A,Table1[[الشهر ]],$AO$1,Table1[الفرع],'تحليلات 2024'!$J$20)</f>
        <v>0</v>
      </c>
      <c r="AX22" s="190">
        <f t="shared" si="34"/>
        <v>0</v>
      </c>
      <c r="AY22" s="189">
        <f t="shared" ref="AY22:AY65" si="54">AO22+AQ22+AU22+AW22+AS22</f>
        <v>0</v>
      </c>
      <c r="AZ22" s="190">
        <f t="shared" ref="AZ22:AZ33" si="55">IFERROR((AY22/$L$18),0)</f>
        <v>0</v>
      </c>
    </row>
    <row r="23" spans="1:52">
      <c r="A23" s="200" t="s">
        <v>192</v>
      </c>
      <c r="B23" s="189">
        <f>SUMIFS(Table1[[المنصرف ]],Table1[[نوع المصروف ]],$A:$A,Table1[[الشهر ]],$B$1,Table1[الفرع],'تحليلات 2024'!$B$20)</f>
        <v>0</v>
      </c>
      <c r="C23" s="190">
        <f t="shared" si="35"/>
        <v>0</v>
      </c>
      <c r="D23" s="189">
        <f>SUMIFS(Table1[[المنصرف ]],Table1[[نوع المصروف ]],$A:$A,Table1[[الشهر ]],$B$1,Table1[الفرع],'تحليلات 2024'!$D$20)</f>
        <v>4269.21</v>
      </c>
      <c r="E23" s="190">
        <f t="shared" si="36"/>
        <v>2.4415474380081667E-2</v>
      </c>
      <c r="F23" s="189">
        <f>SUMIFS(Table1[[المنصرف ]],Table1[[نوع المصروف ]],$A:$A,Table1[[الشهر ]],$B$1,Table1[الفرع],'تحليلات 2024'!$F$20)</f>
        <v>0</v>
      </c>
      <c r="G23" s="190">
        <f t="shared" si="37"/>
        <v>0</v>
      </c>
      <c r="H23" s="189">
        <f>SUMIFS(Table1[[المنصرف ]],Table1[[نوع المصروف ]],$A:$A,Table1[[الشهر ]],$B$1,Table1[الفرع],'تحليلات 2024'!$H$20)</f>
        <v>0</v>
      </c>
      <c r="I23" s="190">
        <f t="shared" si="28"/>
        <v>0</v>
      </c>
      <c r="J23" s="189">
        <f>SUMIFS(Table1[[المنصرف ]],Table1[[نوع المصروف ]],$A:$A,Table1[[الشهر ]],$B$1,Table1[الفرع],'تحليلات 2024'!$J$20)</f>
        <v>0</v>
      </c>
      <c r="K23" s="190">
        <f t="shared" si="38"/>
        <v>0</v>
      </c>
      <c r="L23" s="189">
        <f t="shared" si="39"/>
        <v>4269.21</v>
      </c>
      <c r="M23" s="190">
        <f t="shared" si="40"/>
        <v>5.0901588757028401E-3</v>
      </c>
      <c r="O23" s="189">
        <f>SUMIFS(Table1[[المنصرف ]],Table1[[نوع المصروف ]],$A:$A,Table1[[الشهر ]],$O$1,Table1[الفرع],'تحليلات 2024'!$B$20)</f>
        <v>0</v>
      </c>
      <c r="P23" s="190">
        <f t="shared" si="41"/>
        <v>0</v>
      </c>
      <c r="Q23" s="189">
        <f>SUMIFS(Table1[[المنصرف ]],Table1[[نوع المصروف ]],$A:$A,Table1[[الشهر ]],$O$1,Table1[الفرع],'تحليلات 2024'!$D$20)</f>
        <v>0</v>
      </c>
      <c r="R23" s="190">
        <f t="shared" si="42"/>
        <v>0</v>
      </c>
      <c r="S23" s="189">
        <f>SUMIFS(Table1[[المنصرف ]],Table1[[نوع المصروف ]],$A:$A,Table1[[الشهر ]],$O$1,Table1[الفرع],'تحليلات 2024'!$F$20)</f>
        <v>0</v>
      </c>
      <c r="T23" s="190">
        <f t="shared" si="43"/>
        <v>0</v>
      </c>
      <c r="U23" s="189">
        <f>SUMIFS(Table1[[المنصرف ]],Table1[[نوع المصروف ]],$A:$A,Table1[[الشهر ]],$O$1,Table1[الفرع],'تحليلات 2024'!$H$20)</f>
        <v>0</v>
      </c>
      <c r="V23" s="190">
        <f t="shared" si="29"/>
        <v>0</v>
      </c>
      <c r="W23" s="189">
        <f>SUMIFS(Table1[[المنصرف ]],Table1[[نوع المصروف ]],$A:$A,Table1[[الشهر ]],$O$1,Table1[الفرع],'تحليلات 2024'!$J$20)</f>
        <v>0</v>
      </c>
      <c r="X23" s="190">
        <f t="shared" si="30"/>
        <v>0</v>
      </c>
      <c r="Y23" s="189">
        <f t="shared" si="44"/>
        <v>0</v>
      </c>
      <c r="Z23" s="190">
        <f t="shared" si="45"/>
        <v>0</v>
      </c>
      <c r="AB23" s="189">
        <f>SUMIFS(Table1[[المنصرف ]],Table1[[نوع المصروف ]],$A:$A,Table1[[الشهر ]],$AB$1,Table1[الفرع],'تحليلات 2024'!$B$20)</f>
        <v>0</v>
      </c>
      <c r="AC23" s="190">
        <f t="shared" si="46"/>
        <v>0</v>
      </c>
      <c r="AD23" s="189">
        <f>SUMIFS(Table1[[المنصرف ]],Table1[[نوع المصروف ]],$A:$A,Table1[[الشهر ]],$AB$1,Table1[الفرع],'تحليلات 2024'!$D$20)</f>
        <v>0</v>
      </c>
      <c r="AE23" s="190">
        <f t="shared" si="47"/>
        <v>0</v>
      </c>
      <c r="AF23" s="189">
        <f>SUMIFS(Table1[[المنصرف ]],Table1[[نوع المصروف ]],$A:$A,Table1[[الشهر ]],$AB$1,Table1[الفرع],'تحليلات 2024'!$F$20)</f>
        <v>0</v>
      </c>
      <c r="AG23" s="190">
        <f t="shared" si="48"/>
        <v>0</v>
      </c>
      <c r="AH23" s="189">
        <f>SUMIFS(Table1[[المنصرف ]],Table1[[نوع المصروف ]],$A:$A,Table1[[الشهر ]],$AB$1,Table1[الفرع],'تحليلات 2024'!$H$20)</f>
        <v>0</v>
      </c>
      <c r="AI23" s="190">
        <f t="shared" si="31"/>
        <v>0</v>
      </c>
      <c r="AJ23" s="189">
        <f>SUMIFS(Table1[[المنصرف ]],Table1[[نوع المصروف ]],$A:$A,Table1[[الشهر ]],$AB$1,Table1[الفرع],'تحليلات 2024'!$J$20)</f>
        <v>0</v>
      </c>
      <c r="AK23" s="190">
        <f t="shared" si="32"/>
        <v>0</v>
      </c>
      <c r="AL23" s="189">
        <f t="shared" si="49"/>
        <v>0</v>
      </c>
      <c r="AM23" s="190">
        <f t="shared" si="50"/>
        <v>0</v>
      </c>
      <c r="AO23" s="189">
        <f>SUMIFS(Table1[[المنصرف ]],Table1[[نوع المصروف ]],$A:$A,Table1[[الشهر ]],$AO$1,Table1[الفرع],'تحليلات 2024'!$B$20)</f>
        <v>0</v>
      </c>
      <c r="AP23" s="190">
        <f t="shared" si="51"/>
        <v>0</v>
      </c>
      <c r="AQ23" s="189">
        <f>SUMIFS(Table1[[المنصرف ]],Table1[[نوع المصروف ]],$A:$A,Table1[[الشهر ]],$AO$1,Table1[الفرع],'تحليلات 2024'!$D$20)</f>
        <v>0</v>
      </c>
      <c r="AR23" s="190">
        <f t="shared" si="52"/>
        <v>0</v>
      </c>
      <c r="AS23" s="189">
        <f>SUMIFS(Table1[[المنصرف ]],Table1[[نوع المصروف ]],$A:$A,Table1[[الشهر ]],$AO$1,Table1[الفرع],'تحليلات 2024'!$F$20)</f>
        <v>0</v>
      </c>
      <c r="AT23" s="190">
        <f t="shared" si="53"/>
        <v>0</v>
      </c>
      <c r="AU23" s="189">
        <f>SUMIFS(Table1[[المنصرف ]],Table1[[نوع المصروف ]],$A:$A,Table1[[الشهر ]],$AO$1,Table1[الفرع],'تحليلات 2024'!$H$20)</f>
        <v>0</v>
      </c>
      <c r="AV23" s="190">
        <f t="shared" si="33"/>
        <v>0</v>
      </c>
      <c r="AW23" s="189">
        <f>SUMIFS(Table1[[المنصرف ]],Table1[[نوع المصروف ]],$A:$A,Table1[[الشهر ]],$AO$1,Table1[الفرع],'تحليلات 2024'!$J$20)</f>
        <v>0</v>
      </c>
      <c r="AX23" s="190">
        <f t="shared" si="34"/>
        <v>0</v>
      </c>
      <c r="AY23" s="189">
        <f t="shared" si="54"/>
        <v>0</v>
      </c>
      <c r="AZ23" s="190">
        <f t="shared" si="55"/>
        <v>0</v>
      </c>
    </row>
    <row r="24" spans="1:52">
      <c r="A24" s="200" t="s">
        <v>189</v>
      </c>
      <c r="B24" s="189">
        <f>SUMIFS(Table1[[المنصرف ]],Table1[[نوع المصروف ]],$A:$A,Table1[[الشهر ]],$B$1,Table1[الفرع],'تحليلات 2024'!$B$20)</f>
        <v>0</v>
      </c>
      <c r="C24" s="190">
        <f t="shared" si="35"/>
        <v>0</v>
      </c>
      <c r="D24" s="189">
        <f>SUMIFS(Table1[[المنصرف ]],Table1[[نوع المصروف ]],$A:$A,Table1[[الشهر ]],$B$1,Table1[الفرع],'تحليلات 2024'!$D$20)</f>
        <v>0</v>
      </c>
      <c r="E24" s="190">
        <f t="shared" si="36"/>
        <v>0</v>
      </c>
      <c r="F24" s="189">
        <f>SUMIFS(Table1[[المنصرف ]],Table1[[نوع المصروف ]],$A:$A,Table1[[الشهر ]],$B$1,Table1[الفرع],'تحليلات 2024'!$F$20)</f>
        <v>0</v>
      </c>
      <c r="G24" s="190">
        <f t="shared" si="37"/>
        <v>0</v>
      </c>
      <c r="H24" s="189">
        <f>SUMIFS(Table1[[المنصرف ]],Table1[[نوع المصروف ]],$A:$A,Table1[[الشهر ]],$B$1,Table1[الفرع],'تحليلات 2024'!$H$20)</f>
        <v>0</v>
      </c>
      <c r="I24" s="190">
        <f t="shared" si="28"/>
        <v>0</v>
      </c>
      <c r="J24" s="189">
        <f>SUMIFS(Table1[[المنصرف ]],Table1[[نوع المصروف ]],$A:$A,Table1[[الشهر ]],$B$1,Table1[الفرع],'تحليلات 2024'!$J$20)</f>
        <v>0</v>
      </c>
      <c r="K24" s="190">
        <f t="shared" si="38"/>
        <v>0</v>
      </c>
      <c r="L24" s="189">
        <f>B24+D24+H24+J24+F24</f>
        <v>0</v>
      </c>
      <c r="M24" s="190">
        <f t="shared" si="40"/>
        <v>0</v>
      </c>
      <c r="O24" s="189">
        <f>SUMIFS(Table1[[المنصرف ]],Table1[[نوع المصروف ]],$A:$A,Table1[[الشهر ]],$O$1,Table1[الفرع],'تحليلات 2024'!$B$20)</f>
        <v>0</v>
      </c>
      <c r="P24" s="190">
        <f t="shared" si="41"/>
        <v>0</v>
      </c>
      <c r="Q24" s="189">
        <f>SUMIFS(Table1[[المنصرف ]],Table1[[نوع المصروف ]],$A:$A,Table1[[الشهر ]],$O$1,Table1[الفرع],'تحليلات 2024'!$D$20)</f>
        <v>0</v>
      </c>
      <c r="R24" s="190">
        <f t="shared" si="42"/>
        <v>0</v>
      </c>
      <c r="S24" s="189">
        <f>SUMIFS(Table1[[المنصرف ]],Table1[[نوع المصروف ]],$A:$A,Table1[[الشهر ]],$O$1,Table1[الفرع],'تحليلات 2024'!$F$20)</f>
        <v>0</v>
      </c>
      <c r="T24" s="190">
        <f t="shared" si="43"/>
        <v>0</v>
      </c>
      <c r="U24" s="189">
        <f>SUMIFS(Table1[[المنصرف ]],Table1[[نوع المصروف ]],$A:$A,Table1[[الشهر ]],$O$1,Table1[الفرع],'تحليلات 2024'!$H$20)</f>
        <v>0</v>
      </c>
      <c r="V24" s="190">
        <f t="shared" si="29"/>
        <v>0</v>
      </c>
      <c r="W24" s="189">
        <f>SUMIFS(Table1[[المنصرف ]],Table1[[نوع المصروف ]],$A:$A,Table1[[الشهر ]],$O$1,Table1[الفرع],'تحليلات 2024'!$J$20)</f>
        <v>0</v>
      </c>
      <c r="X24" s="190">
        <f t="shared" si="30"/>
        <v>0</v>
      </c>
      <c r="Y24" s="189">
        <f t="shared" si="44"/>
        <v>0</v>
      </c>
      <c r="Z24" s="190">
        <f t="shared" si="45"/>
        <v>0</v>
      </c>
      <c r="AB24" s="189">
        <f>SUMIFS(Table1[[المنصرف ]],Table1[[نوع المصروف ]],$A:$A,Table1[[الشهر ]],$AB$1,Table1[الفرع],'تحليلات 2024'!$B$20)</f>
        <v>0</v>
      </c>
      <c r="AC24" s="190">
        <f t="shared" si="46"/>
        <v>0</v>
      </c>
      <c r="AD24" s="189">
        <f>SUMIFS(Table1[[المنصرف ]],Table1[[نوع المصروف ]],$A:$A,Table1[[الشهر ]],$AB$1,Table1[الفرع],'تحليلات 2024'!$D$20)</f>
        <v>0</v>
      </c>
      <c r="AE24" s="190">
        <f t="shared" si="47"/>
        <v>0</v>
      </c>
      <c r="AF24" s="189">
        <f>SUMIFS(Table1[[المنصرف ]],Table1[[نوع المصروف ]],$A:$A,Table1[[الشهر ]],$AB$1,Table1[الفرع],'تحليلات 2024'!$F$20)</f>
        <v>0</v>
      </c>
      <c r="AG24" s="190">
        <f t="shared" si="48"/>
        <v>0</v>
      </c>
      <c r="AH24" s="189">
        <f>SUMIFS(Table1[[المنصرف ]],Table1[[نوع المصروف ]],$A:$A,Table1[[الشهر ]],$AB$1,Table1[الفرع],'تحليلات 2024'!$H$20)</f>
        <v>0</v>
      </c>
      <c r="AI24" s="190">
        <f t="shared" si="31"/>
        <v>0</v>
      </c>
      <c r="AJ24" s="189">
        <f>SUMIFS(Table1[[المنصرف ]],Table1[[نوع المصروف ]],$A:$A,Table1[[الشهر ]],$AB$1,Table1[الفرع],'تحليلات 2024'!$J$20)</f>
        <v>0</v>
      </c>
      <c r="AK24" s="190">
        <f t="shared" si="32"/>
        <v>0</v>
      </c>
      <c r="AL24" s="189">
        <f t="shared" si="49"/>
        <v>0</v>
      </c>
      <c r="AM24" s="190">
        <f t="shared" si="50"/>
        <v>0</v>
      </c>
      <c r="AO24" s="189">
        <f>SUMIFS(Table1[[المنصرف ]],Table1[[نوع المصروف ]],$A:$A,Table1[[الشهر ]],$AO$1,Table1[الفرع],'تحليلات 2024'!$B$20)</f>
        <v>0</v>
      </c>
      <c r="AP24" s="190">
        <f t="shared" si="51"/>
        <v>0</v>
      </c>
      <c r="AQ24" s="189">
        <f>SUMIFS(Table1[[المنصرف ]],Table1[[نوع المصروف ]],$A:$A,Table1[[الشهر ]],$AO$1,Table1[الفرع],'تحليلات 2024'!$D$20)</f>
        <v>0</v>
      </c>
      <c r="AR24" s="190">
        <f t="shared" si="52"/>
        <v>0</v>
      </c>
      <c r="AS24" s="189">
        <f>SUMIFS(Table1[[المنصرف ]],Table1[[نوع المصروف ]],$A:$A,Table1[[الشهر ]],$AO$1,Table1[الفرع],'تحليلات 2024'!$F$20)</f>
        <v>0</v>
      </c>
      <c r="AT24" s="190">
        <f t="shared" si="53"/>
        <v>0</v>
      </c>
      <c r="AU24" s="189">
        <f>SUMIFS(Table1[[المنصرف ]],Table1[[نوع المصروف ]],$A:$A,Table1[[الشهر ]],$AO$1,Table1[الفرع],'تحليلات 2024'!$H$20)</f>
        <v>0</v>
      </c>
      <c r="AV24" s="190">
        <f t="shared" si="33"/>
        <v>0</v>
      </c>
      <c r="AW24" s="189">
        <f>SUMIFS(Table1[[المنصرف ]],Table1[[نوع المصروف ]],$A:$A,Table1[[الشهر ]],$AO$1,Table1[الفرع],'تحليلات 2024'!$J$20)</f>
        <v>0</v>
      </c>
      <c r="AX24" s="190">
        <f t="shared" si="34"/>
        <v>0</v>
      </c>
      <c r="AY24" s="189">
        <f t="shared" si="54"/>
        <v>0</v>
      </c>
      <c r="AZ24" s="190">
        <f t="shared" si="55"/>
        <v>0</v>
      </c>
    </row>
    <row r="25" spans="1:52">
      <c r="A25" s="200" t="s">
        <v>190</v>
      </c>
      <c r="B25" s="189">
        <f>SUMIFS(Table1[[المنصرف ]],Table1[[نوع المصروف ]],$A:$A,Table1[[الشهر ]],$B$1,Table1[الفرع],'تحليلات 2024'!$B$20)</f>
        <v>0</v>
      </c>
      <c r="C25" s="190">
        <f t="shared" si="35"/>
        <v>0</v>
      </c>
      <c r="D25" s="189">
        <f>SUMIFS(Table1[[المنصرف ]],Table1[[نوع المصروف ]],$A:$A,Table1[[الشهر ]],$B$1,Table1[الفرع],'تحليلات 2024'!$D$20)</f>
        <v>0</v>
      </c>
      <c r="E25" s="190">
        <f t="shared" si="36"/>
        <v>0</v>
      </c>
      <c r="F25" s="189">
        <f>SUMIFS(Table1[[المنصرف ]],Table1[[نوع المصروف ]],$A:$A,Table1[[الشهر ]],$B$1,Table1[الفرع],'تحليلات 2024'!$F$20)</f>
        <v>0</v>
      </c>
      <c r="G25" s="190">
        <f t="shared" si="37"/>
        <v>0</v>
      </c>
      <c r="H25" s="189">
        <f>SUMIFS(Table1[[المنصرف ]],Table1[[نوع المصروف ]],$A:$A,Table1[[الشهر ]],$B$1,Table1[الفرع],'تحليلات 2024'!$H$20)</f>
        <v>0</v>
      </c>
      <c r="I25" s="190">
        <f t="shared" si="28"/>
        <v>0</v>
      </c>
      <c r="J25" s="189">
        <f>SUMIFS(Table1[[المنصرف ]],Table1[[نوع المصروف ]],$A:$A,Table1[[الشهر ]],$B$1,Table1[الفرع],'تحليلات 2024'!$J$20)</f>
        <v>0</v>
      </c>
      <c r="K25" s="190">
        <f t="shared" si="38"/>
        <v>0</v>
      </c>
      <c r="L25" s="189">
        <f t="shared" si="39"/>
        <v>0</v>
      </c>
      <c r="M25" s="190">
        <f t="shared" si="40"/>
        <v>0</v>
      </c>
      <c r="O25" s="189">
        <f>SUMIFS(Table1[[المنصرف ]],Table1[[نوع المصروف ]],$A:$A,Table1[[الشهر ]],$O$1,Table1[الفرع],'تحليلات 2024'!$B$20)</f>
        <v>0</v>
      </c>
      <c r="P25" s="190">
        <f t="shared" si="41"/>
        <v>0</v>
      </c>
      <c r="Q25" s="189">
        <f>SUMIFS(Table1[[المنصرف ]],Table1[[نوع المصروف ]],$A:$A,Table1[[الشهر ]],$O$1,Table1[الفرع],'تحليلات 2024'!$D$20)</f>
        <v>0</v>
      </c>
      <c r="R25" s="190">
        <f t="shared" si="42"/>
        <v>0</v>
      </c>
      <c r="S25" s="189">
        <f>SUMIFS(Table1[[المنصرف ]],Table1[[نوع المصروف ]],$A:$A,Table1[[الشهر ]],$O$1,Table1[الفرع],'تحليلات 2024'!$F$20)</f>
        <v>0</v>
      </c>
      <c r="T25" s="190">
        <f t="shared" si="43"/>
        <v>0</v>
      </c>
      <c r="U25" s="189">
        <f>SUMIFS(Table1[[المنصرف ]],Table1[[نوع المصروف ]],$A:$A,Table1[[الشهر ]],$O$1,Table1[الفرع],'تحليلات 2024'!$H$20)</f>
        <v>0</v>
      </c>
      <c r="V25" s="190">
        <f t="shared" si="29"/>
        <v>0</v>
      </c>
      <c r="W25" s="189">
        <f>SUMIFS(Table1[[المنصرف ]],Table1[[نوع المصروف ]],$A:$A,Table1[[الشهر ]],$O$1,Table1[الفرع],'تحليلات 2024'!$J$20)</f>
        <v>0</v>
      </c>
      <c r="X25" s="190">
        <f t="shared" si="30"/>
        <v>0</v>
      </c>
      <c r="Y25" s="189">
        <f t="shared" si="44"/>
        <v>0</v>
      </c>
      <c r="Z25" s="190">
        <f t="shared" si="45"/>
        <v>0</v>
      </c>
      <c r="AB25" s="189">
        <f>SUMIFS(Table1[[المنصرف ]],Table1[[نوع المصروف ]],$A:$A,Table1[[الشهر ]],$AB$1,Table1[الفرع],'تحليلات 2024'!$B$20)</f>
        <v>0</v>
      </c>
      <c r="AC25" s="190">
        <f t="shared" si="46"/>
        <v>0</v>
      </c>
      <c r="AD25" s="189">
        <f>SUMIFS(Table1[[المنصرف ]],Table1[[نوع المصروف ]],$A:$A,Table1[[الشهر ]],$AB$1,Table1[الفرع],'تحليلات 2024'!$D$20)</f>
        <v>0</v>
      </c>
      <c r="AE25" s="190">
        <f t="shared" si="47"/>
        <v>0</v>
      </c>
      <c r="AF25" s="189">
        <f>SUMIFS(Table1[[المنصرف ]],Table1[[نوع المصروف ]],$A:$A,Table1[[الشهر ]],$AB$1,Table1[الفرع],'تحليلات 2024'!$F$20)</f>
        <v>0</v>
      </c>
      <c r="AG25" s="190">
        <f t="shared" si="48"/>
        <v>0</v>
      </c>
      <c r="AH25" s="189">
        <f>SUMIFS(Table1[[المنصرف ]],Table1[[نوع المصروف ]],$A:$A,Table1[[الشهر ]],$AB$1,Table1[الفرع],'تحليلات 2024'!$H$20)</f>
        <v>0</v>
      </c>
      <c r="AI25" s="190">
        <f t="shared" si="31"/>
        <v>0</v>
      </c>
      <c r="AJ25" s="189">
        <f>SUMIFS(Table1[[المنصرف ]],Table1[[نوع المصروف ]],$A:$A,Table1[[الشهر ]],$AB$1,Table1[الفرع],'تحليلات 2024'!$J$20)</f>
        <v>0</v>
      </c>
      <c r="AK25" s="190">
        <f t="shared" si="32"/>
        <v>0</v>
      </c>
      <c r="AL25" s="189">
        <f t="shared" si="49"/>
        <v>0</v>
      </c>
      <c r="AM25" s="190">
        <f t="shared" si="50"/>
        <v>0</v>
      </c>
      <c r="AO25" s="189">
        <f>SUMIFS(Table1[[المنصرف ]],Table1[[نوع المصروف ]],$A:$A,Table1[[الشهر ]],$AO$1,Table1[الفرع],'تحليلات 2024'!$B$20)</f>
        <v>0</v>
      </c>
      <c r="AP25" s="190">
        <f t="shared" si="51"/>
        <v>0</v>
      </c>
      <c r="AQ25" s="189">
        <f>SUMIFS(Table1[[المنصرف ]],Table1[[نوع المصروف ]],$A:$A,Table1[[الشهر ]],$AO$1,Table1[الفرع],'تحليلات 2024'!$D$20)</f>
        <v>0</v>
      </c>
      <c r="AR25" s="190">
        <f t="shared" si="52"/>
        <v>0</v>
      </c>
      <c r="AS25" s="189">
        <f>SUMIFS(Table1[[المنصرف ]],Table1[[نوع المصروف ]],$A:$A,Table1[[الشهر ]],$AO$1,Table1[الفرع],'تحليلات 2024'!$F$20)</f>
        <v>0</v>
      </c>
      <c r="AT25" s="190">
        <f t="shared" si="53"/>
        <v>0</v>
      </c>
      <c r="AU25" s="189">
        <f>SUMIFS(Table1[[المنصرف ]],Table1[[نوع المصروف ]],$A:$A,Table1[[الشهر ]],$AO$1,Table1[الفرع],'تحليلات 2024'!$H$20)</f>
        <v>0</v>
      </c>
      <c r="AV25" s="190">
        <f t="shared" si="33"/>
        <v>0</v>
      </c>
      <c r="AW25" s="189">
        <f>SUMIFS(Table1[[المنصرف ]],Table1[[نوع المصروف ]],$A:$A,Table1[[الشهر ]],$AO$1,Table1[الفرع],'تحليلات 2024'!$J$20)</f>
        <v>0</v>
      </c>
      <c r="AX25" s="190">
        <f t="shared" si="34"/>
        <v>0</v>
      </c>
      <c r="AY25" s="189">
        <f t="shared" si="54"/>
        <v>0</v>
      </c>
      <c r="AZ25" s="190">
        <f t="shared" si="55"/>
        <v>0</v>
      </c>
    </row>
    <row r="26" spans="1:52">
      <c r="A26" s="200" t="s">
        <v>191</v>
      </c>
      <c r="B26" s="189">
        <f>SUMIFS(Table1[[المنصرف ]],Table1[[نوع المصروف ]],$A:$A,Table1[[الشهر ]],$B$1,Table1[الفرع],'تحليلات 2024'!$B$20)</f>
        <v>0</v>
      </c>
      <c r="C26" s="190">
        <f t="shared" si="35"/>
        <v>0</v>
      </c>
      <c r="D26" s="189">
        <f>SUMIFS(Table1[[المنصرف ]],Table1[[نوع المصروف ]],$A:$A,Table1[[الشهر ]],$B$1,Table1[الفرع],'تحليلات 2024'!$D$20)</f>
        <v>0</v>
      </c>
      <c r="E26" s="190">
        <f t="shared" si="36"/>
        <v>0</v>
      </c>
      <c r="F26" s="189">
        <f>SUMIFS(Table1[[المنصرف ]],Table1[[نوع المصروف ]],$A:$A,Table1[[الشهر ]],$B$1,Table1[الفرع],'تحليلات 2024'!$F$20)</f>
        <v>0</v>
      </c>
      <c r="G26" s="190">
        <f t="shared" si="37"/>
        <v>0</v>
      </c>
      <c r="H26" s="189">
        <f>SUMIFS(Table1[[المنصرف ]],Table1[[نوع المصروف ]],$A:$A,Table1[[الشهر ]],$B$1,Table1[الفرع],'تحليلات 2024'!$H$20)</f>
        <v>0</v>
      </c>
      <c r="I26" s="190">
        <f t="shared" si="28"/>
        <v>0</v>
      </c>
      <c r="J26" s="189">
        <f>SUMIFS(Table1[[المنصرف ]],Table1[[نوع المصروف ]],$A:$A,Table1[[الشهر ]],$B$1,Table1[الفرع],'تحليلات 2024'!$J$20)</f>
        <v>0</v>
      </c>
      <c r="K26" s="190">
        <f t="shared" si="38"/>
        <v>0</v>
      </c>
      <c r="L26" s="189">
        <f t="shared" si="39"/>
        <v>0</v>
      </c>
      <c r="M26" s="190">
        <f t="shared" si="40"/>
        <v>0</v>
      </c>
      <c r="O26" s="189">
        <f>SUMIFS(Table1[[المنصرف ]],Table1[[نوع المصروف ]],$A:$A,Table1[[الشهر ]],$O$1,Table1[الفرع],'تحليلات 2024'!$B$20)</f>
        <v>0</v>
      </c>
      <c r="P26" s="190">
        <f t="shared" si="41"/>
        <v>0</v>
      </c>
      <c r="Q26" s="189">
        <f>SUMIFS(Table1[[المنصرف ]],Table1[[نوع المصروف ]],$A:$A,Table1[[الشهر ]],$O$1,Table1[الفرع],'تحليلات 2024'!$D$20)</f>
        <v>0</v>
      </c>
      <c r="R26" s="190">
        <f t="shared" si="42"/>
        <v>0</v>
      </c>
      <c r="S26" s="189">
        <f>SUMIFS(Table1[[المنصرف ]],Table1[[نوع المصروف ]],$A:$A,Table1[[الشهر ]],$O$1,Table1[الفرع],'تحليلات 2024'!$F$20)</f>
        <v>0</v>
      </c>
      <c r="T26" s="190">
        <f t="shared" si="43"/>
        <v>0</v>
      </c>
      <c r="U26" s="189">
        <f>SUMIFS(Table1[[المنصرف ]],Table1[[نوع المصروف ]],$A:$A,Table1[[الشهر ]],$O$1,Table1[الفرع],'تحليلات 2024'!$H$20)</f>
        <v>0</v>
      </c>
      <c r="V26" s="190">
        <f t="shared" si="29"/>
        <v>0</v>
      </c>
      <c r="W26" s="189">
        <f>SUMIFS(Table1[[المنصرف ]],Table1[[نوع المصروف ]],$A:$A,Table1[[الشهر ]],$O$1,Table1[الفرع],'تحليلات 2024'!$J$20)</f>
        <v>0</v>
      </c>
      <c r="X26" s="190">
        <f t="shared" si="30"/>
        <v>0</v>
      </c>
      <c r="Y26" s="189">
        <f t="shared" si="44"/>
        <v>0</v>
      </c>
      <c r="Z26" s="190">
        <f t="shared" si="45"/>
        <v>0</v>
      </c>
      <c r="AB26" s="189">
        <f>SUMIFS(Table1[[المنصرف ]],Table1[[نوع المصروف ]],$A:$A,Table1[[الشهر ]],$AB$1,Table1[الفرع],'تحليلات 2024'!$B$20)</f>
        <v>0</v>
      </c>
      <c r="AC26" s="190">
        <f t="shared" si="46"/>
        <v>0</v>
      </c>
      <c r="AD26" s="189">
        <f>SUMIFS(Table1[[المنصرف ]],Table1[[نوع المصروف ]],$A:$A,Table1[[الشهر ]],$AB$1,Table1[الفرع],'تحليلات 2024'!$D$20)</f>
        <v>0</v>
      </c>
      <c r="AE26" s="190">
        <f t="shared" si="47"/>
        <v>0</v>
      </c>
      <c r="AF26" s="189">
        <f>SUMIFS(Table1[[المنصرف ]],Table1[[نوع المصروف ]],$A:$A,Table1[[الشهر ]],$AB$1,Table1[الفرع],'تحليلات 2024'!$F$20)</f>
        <v>0</v>
      </c>
      <c r="AG26" s="190">
        <f t="shared" si="48"/>
        <v>0</v>
      </c>
      <c r="AH26" s="189">
        <f>SUMIFS(Table1[[المنصرف ]],Table1[[نوع المصروف ]],$A:$A,Table1[[الشهر ]],$AB$1,Table1[الفرع],'تحليلات 2024'!$H$20)</f>
        <v>0</v>
      </c>
      <c r="AI26" s="190">
        <f t="shared" si="31"/>
        <v>0</v>
      </c>
      <c r="AJ26" s="189">
        <f>SUMIFS(Table1[[المنصرف ]],Table1[[نوع المصروف ]],$A:$A,Table1[[الشهر ]],$AB$1,Table1[الفرع],'تحليلات 2024'!$J$20)</f>
        <v>0</v>
      </c>
      <c r="AK26" s="190">
        <f t="shared" si="32"/>
        <v>0</v>
      </c>
      <c r="AL26" s="189">
        <f t="shared" si="49"/>
        <v>0</v>
      </c>
      <c r="AM26" s="190">
        <f t="shared" si="50"/>
        <v>0</v>
      </c>
      <c r="AO26" s="189">
        <f>SUMIFS(Table1[[المنصرف ]],Table1[[نوع المصروف ]],$A:$A,Table1[[الشهر ]],$AO$1,Table1[الفرع],'تحليلات 2024'!$B$20)</f>
        <v>0</v>
      </c>
      <c r="AP26" s="190">
        <f t="shared" si="51"/>
        <v>0</v>
      </c>
      <c r="AQ26" s="189">
        <f>SUMIFS(Table1[[المنصرف ]],Table1[[نوع المصروف ]],$A:$A,Table1[[الشهر ]],$AO$1,Table1[الفرع],'تحليلات 2024'!$D$20)</f>
        <v>0</v>
      </c>
      <c r="AR26" s="190">
        <f t="shared" si="52"/>
        <v>0</v>
      </c>
      <c r="AS26" s="189">
        <f>SUMIFS(Table1[[المنصرف ]],Table1[[نوع المصروف ]],$A:$A,Table1[[الشهر ]],$AO$1,Table1[الفرع],'تحليلات 2024'!$F$20)</f>
        <v>0</v>
      </c>
      <c r="AT26" s="190">
        <f t="shared" si="53"/>
        <v>0</v>
      </c>
      <c r="AU26" s="189">
        <f>SUMIFS(Table1[[المنصرف ]],Table1[[نوع المصروف ]],$A:$A,Table1[[الشهر ]],$AO$1,Table1[الفرع],'تحليلات 2024'!$H$20)</f>
        <v>0</v>
      </c>
      <c r="AV26" s="190">
        <f t="shared" si="33"/>
        <v>0</v>
      </c>
      <c r="AW26" s="189">
        <f>SUMIFS(Table1[[المنصرف ]],Table1[[نوع المصروف ]],$A:$A,Table1[[الشهر ]],$AO$1,Table1[الفرع],'تحليلات 2024'!$J$20)</f>
        <v>0</v>
      </c>
      <c r="AX26" s="190">
        <f t="shared" si="34"/>
        <v>0</v>
      </c>
      <c r="AY26" s="189">
        <f t="shared" si="54"/>
        <v>0</v>
      </c>
      <c r="AZ26" s="190">
        <f t="shared" si="55"/>
        <v>0</v>
      </c>
    </row>
    <row r="27" spans="1:52">
      <c r="A27" s="200" t="s">
        <v>132</v>
      </c>
      <c r="B27" s="189">
        <f>SUMIFS(Table1[[المنصرف ]],Table1[[نوع المصروف ]],$A:$A,Table1[[الشهر ]],$B$1,Table1[الفرع],'تحليلات 2024'!$B$20)</f>
        <v>0</v>
      </c>
      <c r="C27" s="190">
        <f t="shared" si="35"/>
        <v>0</v>
      </c>
      <c r="D27" s="189">
        <f>SUMIFS(Table1[[المنصرف ]],Table1[[نوع المصروف ]],$A:$A,Table1[[الشهر ]],$B$1,Table1[الفرع],'تحليلات 2024'!$D$20)</f>
        <v>0</v>
      </c>
      <c r="E27" s="190">
        <f t="shared" si="36"/>
        <v>0</v>
      </c>
      <c r="F27" s="189">
        <f>SUMIFS(Table1[[المنصرف ]],Table1[[نوع المصروف ]],$A:$A,Table1[[الشهر ]],$B$1,Table1[الفرع],'تحليلات 2024'!$F$20)</f>
        <v>0</v>
      </c>
      <c r="G27" s="190">
        <f t="shared" si="37"/>
        <v>0</v>
      </c>
      <c r="H27" s="189">
        <f>SUMIFS(Table1[[المنصرف ]],Table1[[نوع المصروف ]],$A:$A,Table1[[الشهر ]],$B$1,Table1[الفرع],'تحليلات 2024'!$H$20)</f>
        <v>0</v>
      </c>
      <c r="I27" s="190">
        <f t="shared" si="28"/>
        <v>0</v>
      </c>
      <c r="J27" s="189">
        <f>SUMIFS(Table1[[المنصرف ]],Table1[[نوع المصروف ]],$A:$A,Table1[[الشهر ]],$B$1,Table1[الفرع],'تحليلات 2024'!$J$20)</f>
        <v>0</v>
      </c>
      <c r="K27" s="190">
        <f t="shared" si="38"/>
        <v>0</v>
      </c>
      <c r="L27" s="189">
        <f t="shared" si="39"/>
        <v>0</v>
      </c>
      <c r="M27" s="190">
        <f t="shared" si="40"/>
        <v>0</v>
      </c>
      <c r="O27" s="189">
        <f>SUMIFS(Table1[[المنصرف ]],Table1[[نوع المصروف ]],$A:$A,Table1[[الشهر ]],$O$1,Table1[الفرع],'تحليلات 2024'!$B$20)</f>
        <v>0</v>
      </c>
      <c r="P27" s="190">
        <f t="shared" si="41"/>
        <v>0</v>
      </c>
      <c r="Q27" s="189">
        <f>SUMIFS(Table1[[المنصرف ]],Table1[[نوع المصروف ]],$A:$A,Table1[[الشهر ]],$O$1,Table1[الفرع],'تحليلات 2024'!$D$20)</f>
        <v>0</v>
      </c>
      <c r="R27" s="190">
        <f t="shared" si="42"/>
        <v>0</v>
      </c>
      <c r="S27" s="189">
        <f>SUMIFS(Table1[[المنصرف ]],Table1[[نوع المصروف ]],$A:$A,Table1[[الشهر ]],$O$1,Table1[الفرع],'تحليلات 2024'!$F$20)</f>
        <v>0</v>
      </c>
      <c r="T27" s="190">
        <f t="shared" si="43"/>
        <v>0</v>
      </c>
      <c r="U27" s="189">
        <f>SUMIFS(Table1[[المنصرف ]],Table1[[نوع المصروف ]],$A:$A,Table1[[الشهر ]],$O$1,Table1[الفرع],'تحليلات 2024'!$H$20)</f>
        <v>0</v>
      </c>
      <c r="V27" s="190">
        <f t="shared" si="29"/>
        <v>0</v>
      </c>
      <c r="W27" s="189">
        <f>SUMIFS(Table1[[المنصرف ]],Table1[[نوع المصروف ]],$A:$A,Table1[[الشهر ]],$O$1,Table1[الفرع],'تحليلات 2024'!$J$20)</f>
        <v>0</v>
      </c>
      <c r="X27" s="190">
        <f t="shared" si="30"/>
        <v>0</v>
      </c>
      <c r="Y27" s="189">
        <f t="shared" si="44"/>
        <v>0</v>
      </c>
      <c r="Z27" s="190">
        <f t="shared" si="45"/>
        <v>0</v>
      </c>
      <c r="AB27" s="189">
        <f>SUMIFS(Table1[[المنصرف ]],Table1[[نوع المصروف ]],$A:$A,Table1[[الشهر ]],$AB$1,Table1[الفرع],'تحليلات 2024'!$B$20)</f>
        <v>0</v>
      </c>
      <c r="AC27" s="190">
        <f t="shared" si="46"/>
        <v>0</v>
      </c>
      <c r="AD27" s="189">
        <f>SUMIFS(Table1[[المنصرف ]],Table1[[نوع المصروف ]],$A:$A,Table1[[الشهر ]],$AB$1,Table1[الفرع],'تحليلات 2024'!$D$20)</f>
        <v>0</v>
      </c>
      <c r="AE27" s="190">
        <f t="shared" si="47"/>
        <v>0</v>
      </c>
      <c r="AF27" s="189">
        <f>SUMIFS(Table1[[المنصرف ]],Table1[[نوع المصروف ]],$A:$A,Table1[[الشهر ]],$AB$1,Table1[الفرع],'تحليلات 2024'!$F$20)</f>
        <v>0</v>
      </c>
      <c r="AG27" s="190">
        <f t="shared" si="48"/>
        <v>0</v>
      </c>
      <c r="AH27" s="189">
        <f>SUMIFS(Table1[[المنصرف ]],Table1[[نوع المصروف ]],$A:$A,Table1[[الشهر ]],$AB$1,Table1[الفرع],'تحليلات 2024'!$H$20)</f>
        <v>0</v>
      </c>
      <c r="AI27" s="190">
        <f t="shared" si="31"/>
        <v>0</v>
      </c>
      <c r="AJ27" s="189">
        <f>SUMIFS(Table1[[المنصرف ]],Table1[[نوع المصروف ]],$A:$A,Table1[[الشهر ]],$AB$1,Table1[الفرع],'تحليلات 2024'!$J$20)</f>
        <v>0</v>
      </c>
      <c r="AK27" s="190">
        <f t="shared" si="32"/>
        <v>0</v>
      </c>
      <c r="AL27" s="189">
        <f t="shared" si="49"/>
        <v>0</v>
      </c>
      <c r="AM27" s="190">
        <f t="shared" si="50"/>
        <v>0</v>
      </c>
      <c r="AO27" s="189">
        <f>SUMIFS(Table1[[المنصرف ]],Table1[[نوع المصروف ]],$A:$A,Table1[[الشهر ]],$AO$1,Table1[الفرع],'تحليلات 2024'!$B$20)</f>
        <v>0</v>
      </c>
      <c r="AP27" s="190">
        <f t="shared" si="51"/>
        <v>0</v>
      </c>
      <c r="AQ27" s="189">
        <f>SUMIFS(Table1[[المنصرف ]],Table1[[نوع المصروف ]],$A:$A,Table1[[الشهر ]],$AO$1,Table1[الفرع],'تحليلات 2024'!$D$20)</f>
        <v>0</v>
      </c>
      <c r="AR27" s="190">
        <f t="shared" si="52"/>
        <v>0</v>
      </c>
      <c r="AS27" s="189">
        <f>SUMIFS(Table1[[المنصرف ]],Table1[[نوع المصروف ]],$A:$A,Table1[[الشهر ]],$AO$1,Table1[الفرع],'تحليلات 2024'!$F$20)</f>
        <v>0</v>
      </c>
      <c r="AT27" s="190">
        <f t="shared" si="53"/>
        <v>0</v>
      </c>
      <c r="AU27" s="189">
        <f>SUMIFS(Table1[[المنصرف ]],Table1[[نوع المصروف ]],$A:$A,Table1[[الشهر ]],$AO$1,Table1[الفرع],'تحليلات 2024'!$H$20)</f>
        <v>0</v>
      </c>
      <c r="AV27" s="190">
        <f t="shared" si="33"/>
        <v>0</v>
      </c>
      <c r="AW27" s="189">
        <f>SUMIFS(Table1[[المنصرف ]],Table1[[نوع المصروف ]],$A:$A,Table1[[الشهر ]],$AO$1,Table1[الفرع],'تحليلات 2024'!$J$20)</f>
        <v>0</v>
      </c>
      <c r="AX27" s="190">
        <f t="shared" si="34"/>
        <v>0</v>
      </c>
      <c r="AY27" s="189">
        <f t="shared" si="54"/>
        <v>0</v>
      </c>
      <c r="AZ27" s="190">
        <f t="shared" si="55"/>
        <v>0</v>
      </c>
    </row>
    <row r="28" spans="1:52">
      <c r="A28" s="200" t="s">
        <v>131</v>
      </c>
      <c r="B28" s="189">
        <f>SUMIFS(Table1[[المنصرف ]],Table1[[نوع المصروف ]],$A:$A,Table1[[الشهر ]],$B$1,Table1[الفرع],'تحليلات 2024'!$B$20)</f>
        <v>0</v>
      </c>
      <c r="C28" s="190">
        <f t="shared" si="35"/>
        <v>0</v>
      </c>
      <c r="D28" s="189">
        <f>SUMIFS(Table1[[المنصرف ]],Table1[[نوع المصروف ]],$A:$A,Table1[[الشهر ]],$B$1,Table1[الفرع],'تحليلات 2024'!$D$20)</f>
        <v>105273.5</v>
      </c>
      <c r="E28" s="190">
        <f t="shared" si="36"/>
        <v>0.60205575320762561</v>
      </c>
      <c r="F28" s="189">
        <f>SUMIFS(Table1[[المنصرف ]],Table1[[نوع المصروف ]],$A:$A,Table1[[الشهر ]],$B$1,Table1[الفرع],'تحليلات 2024'!$F$20)</f>
        <v>0</v>
      </c>
      <c r="G28" s="190">
        <f t="shared" si="37"/>
        <v>0</v>
      </c>
      <c r="H28" s="189">
        <f>SUMIFS(Table1[[المنصرف ]],Table1[[نوع المصروف ]],$A:$A,Table1[[الشهر ]],$B$1,Table1[الفرع],'تحليلات 2024'!$H$20)</f>
        <v>0</v>
      </c>
      <c r="I28" s="190">
        <f t="shared" si="28"/>
        <v>0</v>
      </c>
      <c r="J28" s="189">
        <f>SUMIFS(Table1[[المنصرف ]],Table1[[نوع المصروف ]],$A:$A,Table1[[الشهر ]],$B$1,Table1[الفرع],'تحليلات 2024'!$J$20)</f>
        <v>0</v>
      </c>
      <c r="K28" s="190">
        <f t="shared" si="38"/>
        <v>0</v>
      </c>
      <c r="L28" s="189">
        <f t="shared" si="39"/>
        <v>105273.5</v>
      </c>
      <c r="M28" s="190">
        <f t="shared" si="40"/>
        <v>0.12551709576275305</v>
      </c>
      <c r="O28" s="189">
        <f>SUMIFS(Table1[[المنصرف ]],Table1[[نوع المصروف ]],$A:$A,Table1[[الشهر ]],$O$1,Table1[الفرع],'تحليلات 2024'!$B$20)</f>
        <v>0</v>
      </c>
      <c r="P28" s="190">
        <f t="shared" si="41"/>
        <v>0</v>
      </c>
      <c r="Q28" s="189">
        <f>SUMIFS(Table1[[المنصرف ]],Table1[[نوع المصروف ]],$A:$A,Table1[[الشهر ]],$O$1,Table1[الفرع],'تحليلات 2024'!$D$20)</f>
        <v>0</v>
      </c>
      <c r="R28" s="190">
        <f t="shared" si="42"/>
        <v>0</v>
      </c>
      <c r="S28" s="189">
        <f>SUMIFS(Table1[[المنصرف ]],Table1[[نوع المصروف ]],$A:$A,Table1[[الشهر ]],$O$1,Table1[الفرع],'تحليلات 2024'!$F$20)</f>
        <v>0</v>
      </c>
      <c r="T28" s="190">
        <f t="shared" si="43"/>
        <v>0</v>
      </c>
      <c r="U28" s="189">
        <f>SUMIFS(Table1[[المنصرف ]],Table1[[نوع المصروف ]],$A:$A,Table1[[الشهر ]],$O$1,Table1[الفرع],'تحليلات 2024'!$H$20)</f>
        <v>0</v>
      </c>
      <c r="V28" s="190">
        <f t="shared" si="29"/>
        <v>0</v>
      </c>
      <c r="W28" s="189">
        <f>SUMIFS(Table1[[المنصرف ]],Table1[[نوع المصروف ]],$A:$A,Table1[[الشهر ]],$O$1,Table1[الفرع],'تحليلات 2024'!$J$20)</f>
        <v>0</v>
      </c>
      <c r="X28" s="190">
        <f t="shared" si="30"/>
        <v>0</v>
      </c>
      <c r="Y28" s="189">
        <f t="shared" si="44"/>
        <v>0</v>
      </c>
      <c r="Z28" s="190">
        <f t="shared" si="45"/>
        <v>0</v>
      </c>
      <c r="AB28" s="189">
        <f>SUMIFS(Table1[[المنصرف ]],Table1[[نوع المصروف ]],$A:$A,Table1[[الشهر ]],$AB$1,Table1[الفرع],'تحليلات 2024'!$B$20)</f>
        <v>0</v>
      </c>
      <c r="AC28" s="190">
        <f t="shared" si="46"/>
        <v>0</v>
      </c>
      <c r="AD28" s="189">
        <f>SUMIFS(Table1[[المنصرف ]],Table1[[نوع المصروف ]],$A:$A,Table1[[الشهر ]],$AB$1,Table1[الفرع],'تحليلات 2024'!$D$20)</f>
        <v>0</v>
      </c>
      <c r="AE28" s="190">
        <f t="shared" si="47"/>
        <v>0</v>
      </c>
      <c r="AF28" s="189">
        <f>SUMIFS(Table1[[المنصرف ]],Table1[[نوع المصروف ]],$A:$A,Table1[[الشهر ]],$AB$1,Table1[الفرع],'تحليلات 2024'!$F$20)</f>
        <v>0</v>
      </c>
      <c r="AG28" s="190">
        <f t="shared" si="48"/>
        <v>0</v>
      </c>
      <c r="AH28" s="189">
        <f>SUMIFS(Table1[[المنصرف ]],Table1[[نوع المصروف ]],$A:$A,Table1[[الشهر ]],$AB$1,Table1[الفرع],'تحليلات 2024'!$H$20)</f>
        <v>0</v>
      </c>
      <c r="AI28" s="190">
        <f t="shared" si="31"/>
        <v>0</v>
      </c>
      <c r="AJ28" s="189">
        <f>SUMIFS(Table1[[المنصرف ]],Table1[[نوع المصروف ]],$A:$A,Table1[[الشهر ]],$AB$1,Table1[الفرع],'تحليلات 2024'!$J$20)</f>
        <v>0</v>
      </c>
      <c r="AK28" s="190">
        <f t="shared" si="32"/>
        <v>0</v>
      </c>
      <c r="AL28" s="189">
        <f t="shared" si="49"/>
        <v>0</v>
      </c>
      <c r="AM28" s="190">
        <f t="shared" si="50"/>
        <v>0</v>
      </c>
      <c r="AO28" s="189">
        <f>SUMIFS(Table1[[المنصرف ]],Table1[[نوع المصروف ]],$A:$A,Table1[[الشهر ]],$AO$1,Table1[الفرع],'تحليلات 2024'!$B$20)</f>
        <v>0</v>
      </c>
      <c r="AP28" s="190">
        <f t="shared" si="51"/>
        <v>0</v>
      </c>
      <c r="AQ28" s="189">
        <f>SUMIFS(Table1[[المنصرف ]],Table1[[نوع المصروف ]],$A:$A,Table1[[الشهر ]],$AO$1,Table1[الفرع],'تحليلات 2024'!$D$20)</f>
        <v>0</v>
      </c>
      <c r="AR28" s="190">
        <f t="shared" si="52"/>
        <v>0</v>
      </c>
      <c r="AS28" s="189">
        <f>SUMIFS(Table1[[المنصرف ]],Table1[[نوع المصروف ]],$A:$A,Table1[[الشهر ]],$AO$1,Table1[الفرع],'تحليلات 2024'!$F$20)</f>
        <v>0</v>
      </c>
      <c r="AT28" s="190">
        <f t="shared" si="53"/>
        <v>0</v>
      </c>
      <c r="AU28" s="189">
        <f>SUMIFS(Table1[[المنصرف ]],Table1[[نوع المصروف ]],$A:$A,Table1[[الشهر ]],$AO$1,Table1[الفرع],'تحليلات 2024'!$H$20)</f>
        <v>0</v>
      </c>
      <c r="AV28" s="190">
        <f t="shared" si="33"/>
        <v>0</v>
      </c>
      <c r="AW28" s="189">
        <f>SUMIFS(Table1[[المنصرف ]],Table1[[نوع المصروف ]],$A:$A,Table1[[الشهر ]],$AO$1,Table1[الفرع],'تحليلات 2024'!$J$20)</f>
        <v>0</v>
      </c>
      <c r="AX28" s="190">
        <f t="shared" si="34"/>
        <v>0</v>
      </c>
      <c r="AY28" s="189">
        <f t="shared" si="54"/>
        <v>0</v>
      </c>
      <c r="AZ28" s="190">
        <f t="shared" si="55"/>
        <v>0</v>
      </c>
    </row>
    <row r="29" spans="1:52">
      <c r="A29" s="200" t="s">
        <v>133</v>
      </c>
      <c r="B29" s="189">
        <f>SUMIFS(Table1[[المنصرف ]],Table1[[نوع المصروف ]],$A:$A,Table1[[الشهر ]],$B$1,Table1[الفرع],'تحليلات 2024'!$B$20)</f>
        <v>0</v>
      </c>
      <c r="C29" s="190">
        <f t="shared" si="35"/>
        <v>0</v>
      </c>
      <c r="D29" s="189">
        <f>SUMIFS(Table1[[المنصرف ]],Table1[[نوع المصروف ]],$A:$A,Table1[[الشهر ]],$B$1,Table1[الفرع],'تحليلات 2024'!$D$20)</f>
        <v>36928.390000000007</v>
      </c>
      <c r="E29" s="190">
        <f t="shared" si="36"/>
        <v>0.21119227209311892</v>
      </c>
      <c r="F29" s="189">
        <f>SUMIFS(Table1[[المنصرف ]],Table1[[نوع المصروف ]],$A:$A,Table1[[الشهر ]],$B$1,Table1[الفرع],'تحليلات 2024'!$F$20)</f>
        <v>0</v>
      </c>
      <c r="G29" s="190">
        <f t="shared" si="37"/>
        <v>0</v>
      </c>
      <c r="H29" s="189">
        <f>SUMIFS(Table1[[المنصرف ]],Table1[[نوع المصروف ]],$A:$A,Table1[[الشهر ]],$B$1,Table1[الفرع],'تحليلات 2024'!$H$20)</f>
        <v>0</v>
      </c>
      <c r="I29" s="190">
        <f t="shared" si="28"/>
        <v>0</v>
      </c>
      <c r="J29" s="189">
        <f>SUMIFS(Table1[[المنصرف ]],Table1[[نوع المصروف ]],$A:$A,Table1[[الشهر ]],$B$1,Table1[الفرع],'تحليلات 2024'!$J$20)</f>
        <v>75026</v>
      </c>
      <c r="K29" s="190">
        <f t="shared" si="38"/>
        <v>8.9453144682149932E-2</v>
      </c>
      <c r="L29" s="189">
        <f t="shared" si="39"/>
        <v>111954.39000000001</v>
      </c>
      <c r="M29" s="190">
        <f t="shared" si="40"/>
        <v>0.13348268928733825</v>
      </c>
      <c r="O29" s="189">
        <f>SUMIFS(Table1[[المنصرف ]],Table1[[نوع المصروف ]],$A:$A,Table1[[الشهر ]],$O$1,Table1[الفرع],'تحليلات 2024'!$B$20)</f>
        <v>0</v>
      </c>
      <c r="P29" s="190">
        <f t="shared" si="41"/>
        <v>0</v>
      </c>
      <c r="Q29" s="189">
        <f>SUMIFS(Table1[[المنصرف ]],Table1[[نوع المصروف ]],$A:$A,Table1[[الشهر ]],$O$1,Table1[الفرع],'تحليلات 2024'!$D$20)</f>
        <v>0</v>
      </c>
      <c r="R29" s="190">
        <f t="shared" si="42"/>
        <v>0</v>
      </c>
      <c r="S29" s="189">
        <f>SUMIFS(Table1[[المنصرف ]],Table1[[نوع المصروف ]],$A:$A,Table1[[الشهر ]],$O$1,Table1[الفرع],'تحليلات 2024'!$F$20)</f>
        <v>0</v>
      </c>
      <c r="T29" s="190">
        <f t="shared" si="43"/>
        <v>0</v>
      </c>
      <c r="U29" s="189">
        <f>SUMIFS(Table1[[المنصرف ]],Table1[[نوع المصروف ]],$A:$A,Table1[[الشهر ]],$O$1,Table1[الفرع],'تحليلات 2024'!$H$20)</f>
        <v>0</v>
      </c>
      <c r="V29" s="190">
        <f t="shared" si="29"/>
        <v>0</v>
      </c>
      <c r="W29" s="189">
        <f>SUMIFS(Table1[[المنصرف ]],Table1[[نوع المصروف ]],$A:$A,Table1[[الشهر ]],$O$1,Table1[الفرع],'تحليلات 2024'!$J$20)</f>
        <v>102088.85</v>
      </c>
      <c r="X29" s="190">
        <f t="shared" si="30"/>
        <v>0.12172005264154163</v>
      </c>
      <c r="Y29" s="189">
        <f t="shared" si="44"/>
        <v>102088.85</v>
      </c>
      <c r="Z29" s="190">
        <f t="shared" si="45"/>
        <v>0.12172005264154163</v>
      </c>
      <c r="AB29" s="189">
        <f>SUMIFS(Table1[[المنصرف ]],Table1[[نوع المصروف ]],$A:$A,Table1[[الشهر ]],$AB$1,Table1[الفرع],'تحليلات 2024'!$B$20)</f>
        <v>0</v>
      </c>
      <c r="AC29" s="190">
        <f t="shared" si="46"/>
        <v>0</v>
      </c>
      <c r="AD29" s="189">
        <f>SUMIFS(Table1[[المنصرف ]],Table1[[نوع المصروف ]],$A:$A,Table1[[الشهر ]],$AB$1,Table1[الفرع],'تحليلات 2024'!$D$20)</f>
        <v>0</v>
      </c>
      <c r="AE29" s="190">
        <f t="shared" si="47"/>
        <v>0</v>
      </c>
      <c r="AF29" s="189">
        <f>SUMIFS(Table1[[المنصرف ]],Table1[[نوع المصروف ]],$A:$A,Table1[[الشهر ]],$AB$1,Table1[الفرع],'تحليلات 2024'!$F$20)</f>
        <v>0</v>
      </c>
      <c r="AG29" s="190">
        <f t="shared" si="48"/>
        <v>0</v>
      </c>
      <c r="AH29" s="189">
        <f>SUMIFS(Table1[[المنصرف ]],Table1[[نوع المصروف ]],$A:$A,Table1[[الشهر ]],$AB$1,Table1[الفرع],'تحليلات 2024'!$H$20)</f>
        <v>0</v>
      </c>
      <c r="AI29" s="190">
        <f t="shared" si="31"/>
        <v>0</v>
      </c>
      <c r="AJ29" s="189">
        <f>SUMIFS(Table1[[المنصرف ]],Table1[[نوع المصروف ]],$A:$A,Table1[[الشهر ]],$AB$1,Table1[الفرع],'تحليلات 2024'!$J$20)</f>
        <v>0</v>
      </c>
      <c r="AK29" s="190">
        <f t="shared" si="32"/>
        <v>0</v>
      </c>
      <c r="AL29" s="189">
        <f t="shared" si="49"/>
        <v>0</v>
      </c>
      <c r="AM29" s="190">
        <f t="shared" si="50"/>
        <v>0</v>
      </c>
      <c r="AO29" s="189">
        <f>SUMIFS(Table1[[المنصرف ]],Table1[[نوع المصروف ]],$A:$A,Table1[[الشهر ]],$AO$1,Table1[الفرع],'تحليلات 2024'!$B$20)</f>
        <v>0</v>
      </c>
      <c r="AP29" s="190">
        <f t="shared" si="51"/>
        <v>0</v>
      </c>
      <c r="AQ29" s="189">
        <f>SUMIFS(Table1[[المنصرف ]],Table1[[نوع المصروف ]],$A:$A,Table1[[الشهر ]],$AO$1,Table1[الفرع],'تحليلات 2024'!$D$20)</f>
        <v>0</v>
      </c>
      <c r="AR29" s="190">
        <f t="shared" si="52"/>
        <v>0</v>
      </c>
      <c r="AS29" s="189">
        <f>SUMIFS(Table1[[المنصرف ]],Table1[[نوع المصروف ]],$A:$A,Table1[[الشهر ]],$AO$1,Table1[الفرع],'تحليلات 2024'!$F$20)</f>
        <v>0</v>
      </c>
      <c r="AT29" s="190">
        <f t="shared" si="53"/>
        <v>0</v>
      </c>
      <c r="AU29" s="189">
        <f>SUMIFS(Table1[[المنصرف ]],Table1[[نوع المصروف ]],$A:$A,Table1[[الشهر ]],$AO$1,Table1[الفرع],'تحليلات 2024'!$H$20)</f>
        <v>0</v>
      </c>
      <c r="AV29" s="190">
        <f t="shared" si="33"/>
        <v>0</v>
      </c>
      <c r="AW29" s="189">
        <f>SUMIFS(Table1[[المنصرف ]],Table1[[نوع المصروف ]],$A:$A,Table1[[الشهر ]],$AO$1,Table1[الفرع],'تحليلات 2024'!$J$20)</f>
        <v>0</v>
      </c>
      <c r="AX29" s="190">
        <f t="shared" si="34"/>
        <v>0</v>
      </c>
      <c r="AY29" s="189">
        <f t="shared" si="54"/>
        <v>0</v>
      </c>
      <c r="AZ29" s="190">
        <f t="shared" si="55"/>
        <v>0</v>
      </c>
    </row>
    <row r="30" spans="1:52">
      <c r="A30" s="200" t="s">
        <v>141</v>
      </c>
      <c r="B30" s="189">
        <f>SUMIFS(Table1[[المنصرف ]],Table1[[نوع المصروف ]],$A:$A,Table1[[الشهر ]],$B$1,Table1[الفرع],'تحليلات 2024'!$B$20)</f>
        <v>0</v>
      </c>
      <c r="C30" s="190">
        <f t="shared" si="35"/>
        <v>0</v>
      </c>
      <c r="D30" s="189">
        <f>SUMIFS(Table1[[المنصرف ]],Table1[[نوع المصروف ]],$A:$A,Table1[[الشهر ]],$B$1,Table1[الفرع],'تحليلات 2024'!$D$20)</f>
        <v>600</v>
      </c>
      <c r="E30" s="190">
        <f t="shared" si="36"/>
        <v>3.4313806601336079E-3</v>
      </c>
      <c r="F30" s="189">
        <f>SUMIFS(Table1[[المنصرف ]],Table1[[نوع المصروف ]],$A:$A,Table1[[الشهر ]],$B$1,Table1[الفرع],'تحليلات 2024'!$F$20)</f>
        <v>1200</v>
      </c>
      <c r="G30" s="190">
        <f t="shared" si="37"/>
        <v>0</v>
      </c>
      <c r="H30" s="189">
        <f>SUMIFS(Table1[[المنصرف ]],Table1[[نوع المصروف ]],$A:$A,Table1[[الشهر ]],$B$1,Table1[الفرع],'تحليلات 2024'!$H$20)</f>
        <v>0</v>
      </c>
      <c r="I30" s="190">
        <f t="shared" si="28"/>
        <v>0</v>
      </c>
      <c r="J30" s="189">
        <f>SUMIFS(Table1[[المنصرف ]],Table1[[نوع المصروف ]],$A:$A,Table1[[الشهر ]],$B$1,Table1[الفرع],'تحليلات 2024'!$J$20)</f>
        <v>50</v>
      </c>
      <c r="K30" s="190">
        <f t="shared" si="38"/>
        <v>5.9614763336809861E-5</v>
      </c>
      <c r="L30" s="189">
        <f t="shared" si="39"/>
        <v>1850</v>
      </c>
      <c r="M30" s="190">
        <f t="shared" si="40"/>
        <v>2.2057462434619647E-3</v>
      </c>
      <c r="O30" s="189">
        <f>SUMIFS(Table1[[المنصرف ]],Table1[[نوع المصروف ]],$A:$A,Table1[[الشهر ]],$O$1,Table1[الفرع],'تحليلات 2024'!$B$20)</f>
        <v>0</v>
      </c>
      <c r="P30" s="190">
        <f t="shared" si="41"/>
        <v>0</v>
      </c>
      <c r="Q30" s="189">
        <f>SUMIFS(Table1[[المنصرف ]],Table1[[نوع المصروف ]],$A:$A,Table1[[الشهر ]],$O$1,Table1[الفرع],'تحليلات 2024'!$D$20)</f>
        <v>0</v>
      </c>
      <c r="R30" s="190">
        <f t="shared" si="42"/>
        <v>0</v>
      </c>
      <c r="S30" s="189">
        <f>SUMIFS(Table1[[المنصرف ]],Table1[[نوع المصروف ]],$A:$A,Table1[[الشهر ]],$O$1,Table1[الفرع],'تحليلات 2024'!$F$20)</f>
        <v>0</v>
      </c>
      <c r="T30" s="190">
        <f t="shared" si="43"/>
        <v>0</v>
      </c>
      <c r="U30" s="189">
        <f>SUMIFS(Table1[[المنصرف ]],Table1[[نوع المصروف ]],$A:$A,Table1[[الشهر ]],$O$1,Table1[الفرع],'تحليلات 2024'!$H$20)</f>
        <v>0</v>
      </c>
      <c r="V30" s="190">
        <f t="shared" si="29"/>
        <v>0</v>
      </c>
      <c r="W30" s="189">
        <f>SUMIFS(Table1[[المنصرف ]],Table1[[نوع المصروف ]],$A:$A,Table1[[الشهر ]],$O$1,Table1[الفرع],'تحليلات 2024'!$J$20)</f>
        <v>0</v>
      </c>
      <c r="X30" s="190">
        <f t="shared" si="30"/>
        <v>0</v>
      </c>
      <c r="Y30" s="189">
        <f t="shared" si="44"/>
        <v>0</v>
      </c>
      <c r="Z30" s="190">
        <f t="shared" si="45"/>
        <v>0</v>
      </c>
      <c r="AB30" s="189">
        <f>SUMIFS(Table1[[المنصرف ]],Table1[[نوع المصروف ]],$A:$A,Table1[[الشهر ]],$AB$1,Table1[الفرع],'تحليلات 2024'!$B$20)</f>
        <v>0</v>
      </c>
      <c r="AC30" s="190">
        <f t="shared" si="46"/>
        <v>0</v>
      </c>
      <c r="AD30" s="189">
        <f>SUMIFS(Table1[[المنصرف ]],Table1[[نوع المصروف ]],$A:$A,Table1[[الشهر ]],$AB$1,Table1[الفرع],'تحليلات 2024'!$D$20)</f>
        <v>0</v>
      </c>
      <c r="AE30" s="190">
        <f t="shared" si="47"/>
        <v>0</v>
      </c>
      <c r="AF30" s="189">
        <f>SUMIFS(Table1[[المنصرف ]],Table1[[نوع المصروف ]],$A:$A,Table1[[الشهر ]],$AB$1,Table1[الفرع],'تحليلات 2024'!$F$20)</f>
        <v>0</v>
      </c>
      <c r="AG30" s="190">
        <f t="shared" si="48"/>
        <v>0</v>
      </c>
      <c r="AH30" s="189">
        <f>SUMIFS(Table1[[المنصرف ]],Table1[[نوع المصروف ]],$A:$A,Table1[[الشهر ]],$AB$1,Table1[الفرع],'تحليلات 2024'!$H$20)</f>
        <v>0</v>
      </c>
      <c r="AI30" s="190">
        <f t="shared" si="31"/>
        <v>0</v>
      </c>
      <c r="AJ30" s="189">
        <f>SUMIFS(Table1[[المنصرف ]],Table1[[نوع المصروف ]],$A:$A,Table1[[الشهر ]],$AB$1,Table1[الفرع],'تحليلات 2024'!$J$20)</f>
        <v>0</v>
      </c>
      <c r="AK30" s="190">
        <f t="shared" si="32"/>
        <v>0</v>
      </c>
      <c r="AL30" s="189">
        <f t="shared" si="49"/>
        <v>0</v>
      </c>
      <c r="AM30" s="190">
        <f t="shared" si="50"/>
        <v>0</v>
      </c>
      <c r="AO30" s="189">
        <f>SUMIFS(Table1[[المنصرف ]],Table1[[نوع المصروف ]],$A:$A,Table1[[الشهر ]],$AO$1,Table1[الفرع],'تحليلات 2024'!$B$20)</f>
        <v>0</v>
      </c>
      <c r="AP30" s="190">
        <f t="shared" si="51"/>
        <v>0</v>
      </c>
      <c r="AQ30" s="189">
        <f>SUMIFS(Table1[[المنصرف ]],Table1[[نوع المصروف ]],$A:$A,Table1[[الشهر ]],$AO$1,Table1[الفرع],'تحليلات 2024'!$D$20)</f>
        <v>0</v>
      </c>
      <c r="AR30" s="190">
        <f t="shared" si="52"/>
        <v>0</v>
      </c>
      <c r="AS30" s="189">
        <f>SUMIFS(Table1[[المنصرف ]],Table1[[نوع المصروف ]],$A:$A,Table1[[الشهر ]],$AO$1,Table1[الفرع],'تحليلات 2024'!$F$20)</f>
        <v>0</v>
      </c>
      <c r="AT30" s="190">
        <f t="shared" si="53"/>
        <v>0</v>
      </c>
      <c r="AU30" s="189">
        <f>SUMIFS(Table1[[المنصرف ]],Table1[[نوع المصروف ]],$A:$A,Table1[[الشهر ]],$AO$1,Table1[الفرع],'تحليلات 2024'!$H$20)</f>
        <v>0</v>
      </c>
      <c r="AV30" s="190">
        <f t="shared" si="33"/>
        <v>0</v>
      </c>
      <c r="AW30" s="189">
        <f>SUMIFS(Table1[[المنصرف ]],Table1[[نوع المصروف ]],$A:$A,Table1[[الشهر ]],$AO$1,Table1[الفرع],'تحليلات 2024'!$J$20)</f>
        <v>0</v>
      </c>
      <c r="AX30" s="190">
        <f t="shared" si="34"/>
        <v>0</v>
      </c>
      <c r="AY30" s="189">
        <f t="shared" si="54"/>
        <v>0</v>
      </c>
      <c r="AZ30" s="190">
        <f t="shared" si="55"/>
        <v>0</v>
      </c>
    </row>
    <row r="31" spans="1:52">
      <c r="A31" s="200" t="s">
        <v>134</v>
      </c>
      <c r="B31" s="189">
        <f>SUMIFS(Table1[[المنصرف ]],Table1[[نوع المصروف ]],$A:$A,Table1[[الشهر ]],$B$1,Table1[الفرع],'تحليلات 2024'!$B$20)</f>
        <v>0</v>
      </c>
      <c r="C31" s="190">
        <f t="shared" si="35"/>
        <v>0</v>
      </c>
      <c r="D31" s="189">
        <f>SUMIFS(Table1[[المنصرف ]],Table1[[نوع المصروف ]],$A:$A,Table1[[الشهر ]],$B$1,Table1[الفرع],'تحليلات 2024'!$D$20)</f>
        <v>0</v>
      </c>
      <c r="E31" s="190">
        <f t="shared" si="36"/>
        <v>0</v>
      </c>
      <c r="F31" s="189">
        <f>SUMIFS(Table1[[المنصرف ]],Table1[[نوع المصروف ]],$A:$A,Table1[[الشهر ]],$B$1,Table1[الفرع],'تحليلات 2024'!$F$20)</f>
        <v>0</v>
      </c>
      <c r="G31" s="190">
        <f t="shared" si="37"/>
        <v>0</v>
      </c>
      <c r="H31" s="189">
        <f>SUMIFS(Table1[[المنصرف ]],Table1[[نوع المصروف ]],$A:$A,Table1[[الشهر ]],$B$1,Table1[الفرع],'تحليلات 2024'!$H$20)</f>
        <v>0</v>
      </c>
      <c r="I31" s="190">
        <f t="shared" si="28"/>
        <v>0</v>
      </c>
      <c r="J31" s="189">
        <f>SUMIFS(Table1[[المنصرف ]],Table1[[نوع المصروف ]],$A:$A,Table1[[الشهر ]],$B$1,Table1[الفرع],'تحليلات 2024'!$J$20)</f>
        <v>6500</v>
      </c>
      <c r="K31" s="190">
        <f t="shared" si="38"/>
        <v>7.749919233785282E-3</v>
      </c>
      <c r="L31" s="189">
        <f t="shared" si="39"/>
        <v>6500</v>
      </c>
      <c r="M31" s="190">
        <f t="shared" si="40"/>
        <v>7.749919233785282E-3</v>
      </c>
      <c r="O31" s="189">
        <f>SUMIFS(Table1[[المنصرف ]],Table1[[نوع المصروف ]],$A:$A,Table1[[الشهر ]],$O$1,Table1[الفرع],'تحليلات 2024'!$B$20)</f>
        <v>0</v>
      </c>
      <c r="P31" s="190">
        <f t="shared" si="41"/>
        <v>0</v>
      </c>
      <c r="Q31" s="189">
        <f>SUMIFS(Table1[[المنصرف ]],Table1[[نوع المصروف ]],$A:$A,Table1[[الشهر ]],$O$1,Table1[الفرع],'تحليلات 2024'!$D$20)</f>
        <v>0</v>
      </c>
      <c r="R31" s="190">
        <f t="shared" si="42"/>
        <v>0</v>
      </c>
      <c r="S31" s="189">
        <f>SUMIFS(Table1[[المنصرف ]],Table1[[نوع المصروف ]],$A:$A,Table1[[الشهر ]],$O$1,Table1[الفرع],'تحليلات 2024'!$F$20)</f>
        <v>0</v>
      </c>
      <c r="T31" s="190">
        <f t="shared" si="43"/>
        <v>0</v>
      </c>
      <c r="U31" s="189">
        <f>SUMIFS(Table1[[المنصرف ]],Table1[[نوع المصروف ]],$A:$A,Table1[[الشهر ]],$O$1,Table1[الفرع],'تحليلات 2024'!$H$20)</f>
        <v>0</v>
      </c>
      <c r="V31" s="190">
        <f t="shared" si="29"/>
        <v>0</v>
      </c>
      <c r="W31" s="189">
        <f>SUMIFS(Table1[[المنصرف ]],Table1[[نوع المصروف ]],$A:$A,Table1[[الشهر ]],$O$1,Table1[الفرع],'تحليلات 2024'!$J$20)</f>
        <v>6500</v>
      </c>
      <c r="X31" s="190">
        <f t="shared" si="30"/>
        <v>7.749919233785282E-3</v>
      </c>
      <c r="Y31" s="189">
        <f t="shared" si="44"/>
        <v>6500</v>
      </c>
      <c r="Z31" s="190">
        <f t="shared" si="45"/>
        <v>7.749919233785282E-3</v>
      </c>
      <c r="AB31" s="189">
        <f>SUMIFS(Table1[[المنصرف ]],Table1[[نوع المصروف ]],$A:$A,Table1[[الشهر ]],$AB$1,Table1[الفرع],'تحليلات 2024'!$B$20)</f>
        <v>0</v>
      </c>
      <c r="AC31" s="190">
        <f t="shared" si="46"/>
        <v>0</v>
      </c>
      <c r="AD31" s="189">
        <f>SUMIFS(Table1[[المنصرف ]],Table1[[نوع المصروف ]],$A:$A,Table1[[الشهر ]],$AB$1,Table1[الفرع],'تحليلات 2024'!$D$20)</f>
        <v>0</v>
      </c>
      <c r="AE31" s="190">
        <f t="shared" si="47"/>
        <v>0</v>
      </c>
      <c r="AF31" s="189">
        <f>SUMIFS(Table1[[المنصرف ]],Table1[[نوع المصروف ]],$A:$A,Table1[[الشهر ]],$AB$1,Table1[الفرع],'تحليلات 2024'!$F$20)</f>
        <v>0</v>
      </c>
      <c r="AG31" s="190">
        <f t="shared" si="48"/>
        <v>0</v>
      </c>
      <c r="AH31" s="189">
        <f>SUMIFS(Table1[[المنصرف ]],Table1[[نوع المصروف ]],$A:$A,Table1[[الشهر ]],$AB$1,Table1[الفرع],'تحليلات 2024'!$H$20)</f>
        <v>0</v>
      </c>
      <c r="AI31" s="190">
        <f t="shared" si="31"/>
        <v>0</v>
      </c>
      <c r="AJ31" s="189">
        <f>SUMIFS(Table1[[المنصرف ]],Table1[[نوع المصروف ]],$A:$A,Table1[[الشهر ]],$AB$1,Table1[الفرع],'تحليلات 2024'!$J$20)</f>
        <v>0</v>
      </c>
      <c r="AK31" s="190">
        <f t="shared" si="32"/>
        <v>0</v>
      </c>
      <c r="AL31" s="189">
        <f t="shared" si="49"/>
        <v>0</v>
      </c>
      <c r="AM31" s="190">
        <f t="shared" si="50"/>
        <v>0</v>
      </c>
      <c r="AO31" s="189">
        <f>SUMIFS(Table1[[المنصرف ]],Table1[[نوع المصروف ]],$A:$A,Table1[[الشهر ]],$AO$1,Table1[الفرع],'تحليلات 2024'!$B$20)</f>
        <v>0</v>
      </c>
      <c r="AP31" s="190">
        <f t="shared" si="51"/>
        <v>0</v>
      </c>
      <c r="AQ31" s="189">
        <f>SUMIFS(Table1[[المنصرف ]],Table1[[نوع المصروف ]],$A:$A,Table1[[الشهر ]],$AO$1,Table1[الفرع],'تحليلات 2024'!$D$20)</f>
        <v>0</v>
      </c>
      <c r="AR31" s="190">
        <f t="shared" si="52"/>
        <v>0</v>
      </c>
      <c r="AS31" s="189">
        <f>SUMIFS(Table1[[المنصرف ]],Table1[[نوع المصروف ]],$A:$A,Table1[[الشهر ]],$AO$1,Table1[الفرع],'تحليلات 2024'!$F$20)</f>
        <v>0</v>
      </c>
      <c r="AT31" s="190">
        <f t="shared" si="53"/>
        <v>0</v>
      </c>
      <c r="AU31" s="189">
        <f>SUMIFS(Table1[[المنصرف ]],Table1[[نوع المصروف ]],$A:$A,Table1[[الشهر ]],$AO$1,Table1[الفرع],'تحليلات 2024'!$H$20)</f>
        <v>0</v>
      </c>
      <c r="AV31" s="190">
        <f t="shared" si="33"/>
        <v>0</v>
      </c>
      <c r="AW31" s="189">
        <f>SUMIFS(Table1[[المنصرف ]],Table1[[نوع المصروف ]],$A:$A,Table1[[الشهر ]],$AO$1,Table1[الفرع],'تحليلات 2024'!$J$20)</f>
        <v>0</v>
      </c>
      <c r="AX31" s="190">
        <f t="shared" si="34"/>
        <v>0</v>
      </c>
      <c r="AY31" s="189">
        <f t="shared" si="54"/>
        <v>0</v>
      </c>
      <c r="AZ31" s="190">
        <f t="shared" si="55"/>
        <v>0</v>
      </c>
    </row>
    <row r="32" spans="1:52">
      <c r="A32" s="200" t="s">
        <v>264</v>
      </c>
      <c r="B32" s="189">
        <f>SUMIFS(Table1[[المنصرف ]],Table1[[نوع المصروف ]],$A:$A,Table1[[الشهر ]],$B$1,Table1[الفرع],'تحليلات 2024'!$B$20)</f>
        <v>0</v>
      </c>
      <c r="C32" s="190">
        <f t="shared" si="35"/>
        <v>0</v>
      </c>
      <c r="D32" s="189">
        <f>SUMIFS(Table1[[المنصرف ]],Table1[[نوع المصروف ]],$A:$A,Table1[[الشهر ]],$B$1,Table1[الفرع],'تحليلات 2024'!$D$20)</f>
        <v>0</v>
      </c>
      <c r="E32" s="190">
        <f t="shared" si="36"/>
        <v>0</v>
      </c>
      <c r="F32" s="189">
        <f>SUMIFS(Table1[[المنصرف ]],Table1[[نوع المصروف ]],$A:$A,Table1[[الشهر ]],$B$1,Table1[الفرع],'تحليلات 2024'!$F$20)</f>
        <v>0</v>
      </c>
      <c r="G32" s="190">
        <f t="shared" si="37"/>
        <v>0</v>
      </c>
      <c r="H32" s="189">
        <f>SUMIFS(Table1[[المنصرف ]],Table1[[نوع المصروف ]],$A:$A,Table1[[الشهر ]],$B$1,Table1[الفرع],'تحليلات 2024'!$H$20)</f>
        <v>0</v>
      </c>
      <c r="I32" s="190">
        <f t="shared" si="28"/>
        <v>0</v>
      </c>
      <c r="J32" s="189">
        <f>SUMIFS(Table1[[المنصرف ]],Table1[[نوع المصروف ]],$A:$A,Table1[[الشهر ]],$B$1,Table1[الفرع],'تحليلات 2024'!$J$20)</f>
        <v>1500</v>
      </c>
      <c r="K32" s="190">
        <f t="shared" si="38"/>
        <v>1.7884429001042957E-3</v>
      </c>
      <c r="L32" s="189">
        <f t="shared" si="39"/>
        <v>1500</v>
      </c>
      <c r="M32" s="190">
        <f t="shared" si="40"/>
        <v>1.7884429001042957E-3</v>
      </c>
      <c r="O32" s="189">
        <f>SUMIFS(Table1[[المنصرف ]],Table1[[نوع المصروف ]],$A:$A,Table1[[الشهر ]],$O$1,Table1[الفرع],'تحليلات 2024'!$B$20)</f>
        <v>0</v>
      </c>
      <c r="P32" s="190">
        <f t="shared" si="41"/>
        <v>0</v>
      </c>
      <c r="Q32" s="189">
        <f>SUMIFS(Table1[[المنصرف ]],Table1[[نوع المصروف ]],$A:$A,Table1[[الشهر ]],$O$1,Table1[الفرع],'تحليلات 2024'!$D$20)</f>
        <v>0</v>
      </c>
      <c r="R32" s="190">
        <f t="shared" si="42"/>
        <v>0</v>
      </c>
      <c r="S32" s="189">
        <f>SUMIFS(Table1[[المنصرف ]],Table1[[نوع المصروف ]],$A:$A,Table1[[الشهر ]],$O$1,Table1[الفرع],'تحليلات 2024'!$F$20)</f>
        <v>0</v>
      </c>
      <c r="T32" s="190">
        <f t="shared" si="43"/>
        <v>0</v>
      </c>
      <c r="U32" s="189">
        <f>SUMIFS(Table1[[المنصرف ]],Table1[[نوع المصروف ]],$A:$A,Table1[[الشهر ]],$O$1,Table1[الفرع],'تحليلات 2024'!$H$20)</f>
        <v>0</v>
      </c>
      <c r="V32" s="190">
        <f t="shared" si="29"/>
        <v>0</v>
      </c>
      <c r="W32" s="189">
        <f>SUMIFS(Table1[[المنصرف ]],Table1[[نوع المصروف ]],$A:$A,Table1[[الشهر ]],$O$1,Table1[الفرع],'تحليلات 2024'!$J$20)</f>
        <v>0</v>
      </c>
      <c r="X32" s="190">
        <f t="shared" si="30"/>
        <v>0</v>
      </c>
      <c r="Y32" s="189">
        <f t="shared" si="44"/>
        <v>0</v>
      </c>
      <c r="Z32" s="190">
        <f t="shared" si="45"/>
        <v>0</v>
      </c>
      <c r="AB32" s="189">
        <f>SUMIFS(Table1[[المنصرف ]],Table1[[نوع المصروف ]],$A:$A,Table1[[الشهر ]],$AB$1,Table1[الفرع],'تحليلات 2024'!$B$20)</f>
        <v>0</v>
      </c>
      <c r="AC32" s="190">
        <f t="shared" si="46"/>
        <v>0</v>
      </c>
      <c r="AD32" s="189">
        <f>SUMIFS(Table1[[المنصرف ]],Table1[[نوع المصروف ]],$A:$A,Table1[[الشهر ]],$AB$1,Table1[الفرع],'تحليلات 2024'!$D$20)</f>
        <v>0</v>
      </c>
      <c r="AE32" s="190">
        <f t="shared" si="47"/>
        <v>0</v>
      </c>
      <c r="AF32" s="189">
        <f>SUMIFS(Table1[[المنصرف ]],Table1[[نوع المصروف ]],$A:$A,Table1[[الشهر ]],$AB$1,Table1[الفرع],'تحليلات 2024'!$F$20)</f>
        <v>0</v>
      </c>
      <c r="AG32" s="190">
        <f t="shared" si="48"/>
        <v>0</v>
      </c>
      <c r="AH32" s="189">
        <f>SUMIFS(Table1[[المنصرف ]],Table1[[نوع المصروف ]],$A:$A,Table1[[الشهر ]],$AB$1,Table1[الفرع],'تحليلات 2024'!$H$20)</f>
        <v>0</v>
      </c>
      <c r="AI32" s="190">
        <f t="shared" si="31"/>
        <v>0</v>
      </c>
      <c r="AJ32" s="189">
        <f>SUMIFS(Table1[[المنصرف ]],Table1[[نوع المصروف ]],$A:$A,Table1[[الشهر ]],$AB$1,Table1[الفرع],'تحليلات 2024'!$J$20)</f>
        <v>0</v>
      </c>
      <c r="AK32" s="190">
        <f t="shared" si="32"/>
        <v>0</v>
      </c>
      <c r="AL32" s="189">
        <f t="shared" si="49"/>
        <v>0</v>
      </c>
      <c r="AM32" s="190">
        <f t="shared" si="50"/>
        <v>0</v>
      </c>
      <c r="AO32" s="189">
        <f>SUMIFS(Table1[[المنصرف ]],Table1[[نوع المصروف ]],$A:$A,Table1[[الشهر ]],$AO$1,Table1[الفرع],'تحليلات 2024'!$B$20)</f>
        <v>0</v>
      </c>
      <c r="AP32" s="190">
        <f t="shared" si="51"/>
        <v>0</v>
      </c>
      <c r="AQ32" s="189">
        <f>SUMIFS(Table1[[المنصرف ]],Table1[[نوع المصروف ]],$A:$A,Table1[[الشهر ]],$AO$1,Table1[الفرع],'تحليلات 2024'!$D$20)</f>
        <v>0</v>
      </c>
      <c r="AR32" s="190">
        <f t="shared" si="52"/>
        <v>0</v>
      </c>
      <c r="AS32" s="189">
        <f>SUMIFS(Table1[[المنصرف ]],Table1[[نوع المصروف ]],$A:$A,Table1[[الشهر ]],$AO$1,Table1[الفرع],'تحليلات 2024'!$F$20)</f>
        <v>0</v>
      </c>
      <c r="AT32" s="190">
        <f t="shared" si="53"/>
        <v>0</v>
      </c>
      <c r="AU32" s="189">
        <f>SUMIFS(Table1[[المنصرف ]],Table1[[نوع المصروف ]],$A:$A,Table1[[الشهر ]],$AO$1,Table1[الفرع],'تحليلات 2024'!$H$20)</f>
        <v>0</v>
      </c>
      <c r="AV32" s="190">
        <f t="shared" si="33"/>
        <v>0</v>
      </c>
      <c r="AW32" s="189">
        <f>SUMIFS(Table1[[المنصرف ]],Table1[[نوع المصروف ]],$A:$A,Table1[[الشهر ]],$AO$1,Table1[الفرع],'تحليلات 2024'!$J$20)</f>
        <v>0</v>
      </c>
      <c r="AX32" s="190">
        <f t="shared" si="34"/>
        <v>0</v>
      </c>
      <c r="AY32" s="189">
        <f t="shared" si="54"/>
        <v>0</v>
      </c>
      <c r="AZ32" s="190">
        <f t="shared" si="55"/>
        <v>0</v>
      </c>
    </row>
    <row r="33" spans="1:52">
      <c r="A33" s="200" t="s">
        <v>115</v>
      </c>
      <c r="B33" s="189">
        <f>SUMIFS(Table1[[المنصرف ]],Table1[[نوع المصروف ]],$A:$A,Table1[[الشهر ]],$B$1,Table1[الفرع],'تحليلات 2024'!$B$20)</f>
        <v>0</v>
      </c>
      <c r="C33" s="190">
        <f t="shared" si="35"/>
        <v>0</v>
      </c>
      <c r="D33" s="189">
        <f>SUMIFS(Table1[[المنصرف ]],Table1[[نوع المصروف ]],$A:$A,Table1[[الشهر ]],$B$1,Table1[الفرع],'تحليلات 2024'!$D$20)</f>
        <v>36.719299999999997</v>
      </c>
      <c r="E33" s="190">
        <f t="shared" si="36"/>
        <v>2.0999649312273996E-4</v>
      </c>
      <c r="F33" s="189">
        <f>SUMIFS(Table1[[المنصرف ]],Table1[[نوع المصروف ]],$A:$A,Table1[[الشهر ]],$B$1,Table1[الفرع],'تحليلات 2024'!$F$20)</f>
        <v>0</v>
      </c>
      <c r="G33" s="190">
        <f t="shared" si="37"/>
        <v>0</v>
      </c>
      <c r="H33" s="189">
        <f>SUMIFS(Table1[[المنصرف ]],Table1[[نوع المصروف ]],$A:$A,Table1[[الشهر ]],$B$1,Table1[الفرع],'تحليلات 2024'!$H$20)</f>
        <v>0</v>
      </c>
      <c r="I33" s="190">
        <f t="shared" si="28"/>
        <v>0</v>
      </c>
      <c r="J33" s="189">
        <f>SUMIFS(Table1[[المنصرف ]],Table1[[نوع المصروف ]],$A:$A,Table1[[الشهر ]],$B$1,Table1[الفرع],'تحليلات 2024'!$J$20)</f>
        <v>209693.54173999999</v>
      </c>
      <c r="K33" s="190">
        <f t="shared" si="38"/>
        <v>0.25001661728175117</v>
      </c>
      <c r="L33" s="189">
        <f t="shared" si="39"/>
        <v>209730.26103999998</v>
      </c>
      <c r="M33" s="190">
        <f t="shared" si="40"/>
        <v>0.25006039752933906</v>
      </c>
      <c r="O33" s="189">
        <f>SUMIFS(Table1[[المنصرف ]],Table1[[نوع المصروف ]],$A:$A,Table1[[الشهر ]],$O$1,Table1[الفرع],'تحليلات 2024'!$B$20)</f>
        <v>0</v>
      </c>
      <c r="P33" s="190">
        <f t="shared" si="41"/>
        <v>0</v>
      </c>
      <c r="Q33" s="189">
        <f>SUMIFS(Table1[[المنصرف ]],Table1[[نوع المصروف ]],$A:$A,Table1[[الشهر ]],$O$1,Table1[الفرع],'تحليلات 2024'!$D$20)</f>
        <v>0</v>
      </c>
      <c r="R33" s="190">
        <f t="shared" si="42"/>
        <v>0</v>
      </c>
      <c r="S33" s="189">
        <f>SUMIFS(Table1[[المنصرف ]],Table1[[نوع المصروف ]],$A:$A,Table1[[الشهر ]],$O$1,Table1[الفرع],'تحليلات 2024'!$F$20)</f>
        <v>0</v>
      </c>
      <c r="T33" s="190">
        <f t="shared" si="43"/>
        <v>0</v>
      </c>
      <c r="U33" s="189">
        <f>SUMIFS(Table1[[المنصرف ]],Table1[[نوع المصروف ]],$A:$A,Table1[[الشهر ]],$O$1,Table1[الفرع],'تحليلات 2024'!$H$20)</f>
        <v>0</v>
      </c>
      <c r="V33" s="190">
        <f t="shared" si="29"/>
        <v>0</v>
      </c>
      <c r="W33" s="189">
        <f>SUMIFS(Table1[[المنصرف ]],Table1[[نوع المصروف ]],$A:$A,Table1[[الشهر ]],$O$1,Table1[الفرع],'تحليلات 2024'!$J$20)</f>
        <v>667.1</v>
      </c>
      <c r="X33" s="190">
        <f t="shared" si="30"/>
        <v>7.9538017243971717E-4</v>
      </c>
      <c r="Y33" s="189">
        <f t="shared" si="44"/>
        <v>667.1</v>
      </c>
      <c r="Z33" s="190">
        <f t="shared" si="45"/>
        <v>7.9538017243971717E-4</v>
      </c>
      <c r="AB33" s="189">
        <f>SUMIFS(Table1[[المنصرف ]],Table1[[نوع المصروف ]],$A:$A,Table1[[الشهر ]],$AB$1,Table1[الفرع],'تحليلات 2024'!$B$20)</f>
        <v>0</v>
      </c>
      <c r="AC33" s="190">
        <f t="shared" si="46"/>
        <v>0</v>
      </c>
      <c r="AD33" s="189">
        <f>SUMIFS(Table1[[المنصرف ]],Table1[[نوع المصروف ]],$A:$A,Table1[[الشهر ]],$AB$1,Table1[الفرع],'تحليلات 2024'!$D$20)</f>
        <v>0</v>
      </c>
      <c r="AE33" s="190">
        <f t="shared" si="47"/>
        <v>0</v>
      </c>
      <c r="AF33" s="189">
        <f>SUMIFS(Table1[[المنصرف ]],Table1[[نوع المصروف ]],$A:$A,Table1[[الشهر ]],$AB$1,Table1[الفرع],'تحليلات 2024'!$F$20)</f>
        <v>0</v>
      </c>
      <c r="AG33" s="190">
        <f t="shared" si="48"/>
        <v>0</v>
      </c>
      <c r="AH33" s="189">
        <f>SUMIFS(Table1[[المنصرف ]],Table1[[نوع المصروف ]],$A:$A,Table1[[الشهر ]],$AB$1,Table1[الفرع],'تحليلات 2024'!$H$20)</f>
        <v>0</v>
      </c>
      <c r="AI33" s="190">
        <f t="shared" si="31"/>
        <v>0</v>
      </c>
      <c r="AJ33" s="189">
        <f>SUMIFS(Table1[[المنصرف ]],Table1[[نوع المصروف ]],$A:$A,Table1[[الشهر ]],$AB$1,Table1[الفرع],'تحليلات 2024'!$J$20)</f>
        <v>0</v>
      </c>
      <c r="AK33" s="190">
        <f t="shared" si="32"/>
        <v>0</v>
      </c>
      <c r="AL33" s="189">
        <f t="shared" si="49"/>
        <v>0</v>
      </c>
      <c r="AM33" s="190">
        <f t="shared" si="50"/>
        <v>0</v>
      </c>
      <c r="AO33" s="189">
        <f>SUMIFS(Table1[[المنصرف ]],Table1[[نوع المصروف ]],$A:$A,Table1[[الشهر ]],$AO$1,Table1[الفرع],'تحليلات 2024'!$B$20)</f>
        <v>0</v>
      </c>
      <c r="AP33" s="190">
        <f t="shared" si="51"/>
        <v>0</v>
      </c>
      <c r="AQ33" s="189">
        <f>SUMIFS(Table1[[المنصرف ]],Table1[[نوع المصروف ]],$A:$A,Table1[[الشهر ]],$AO$1,Table1[الفرع],'تحليلات 2024'!$D$20)</f>
        <v>0</v>
      </c>
      <c r="AR33" s="190">
        <f t="shared" si="52"/>
        <v>0</v>
      </c>
      <c r="AS33" s="189">
        <f>SUMIFS(Table1[[المنصرف ]],Table1[[نوع المصروف ]],$A:$A,Table1[[الشهر ]],$AO$1,Table1[الفرع],'تحليلات 2024'!$F$20)</f>
        <v>0</v>
      </c>
      <c r="AT33" s="190">
        <f t="shared" si="53"/>
        <v>0</v>
      </c>
      <c r="AU33" s="189">
        <f>SUMIFS(Table1[[المنصرف ]],Table1[[نوع المصروف ]],$A:$A,Table1[[الشهر ]],$AO$1,Table1[الفرع],'تحليلات 2024'!$H$20)</f>
        <v>0</v>
      </c>
      <c r="AV33" s="190">
        <f t="shared" si="33"/>
        <v>0</v>
      </c>
      <c r="AW33" s="189">
        <f>SUMIFS(Table1[[المنصرف ]],Table1[[نوع المصروف ]],$A:$A,Table1[[الشهر ]],$AO$1,Table1[الفرع],'تحليلات 2024'!$J$20)</f>
        <v>0</v>
      </c>
      <c r="AX33" s="190">
        <f t="shared" si="34"/>
        <v>0</v>
      </c>
      <c r="AY33" s="189">
        <f t="shared" si="54"/>
        <v>0</v>
      </c>
      <c r="AZ33" s="190">
        <f t="shared" si="55"/>
        <v>0</v>
      </c>
    </row>
    <row r="34" spans="1:52">
      <c r="A34" s="200" t="s">
        <v>196</v>
      </c>
      <c r="B34" s="189">
        <f>SUMIFS(Table1[[المنصرف ]],Table1[[نوع المصروف ]],$A:$A,Table1[[الشهر ]],$B$1,Table1[الفرع],'تحليلات 2024'!$B$20)</f>
        <v>0</v>
      </c>
      <c r="C34" s="190">
        <f>IFERROR((B34/$B$18),0)</f>
        <v>0</v>
      </c>
      <c r="D34" s="189">
        <f>SUMIFS(Table1[[المنصرف ]],Table1[[نوع المصروف ]],$A:$A,Table1[[الشهر ]],$B$1,Table1[الفرع],'تحليلات 2024'!$D$20)</f>
        <v>0</v>
      </c>
      <c r="E34" s="190">
        <f>IFERROR((D34/$D$18),0)</f>
        <v>0</v>
      </c>
      <c r="F34" s="189">
        <f>SUMIFS(Table1[[المنصرف ]],Table1[[نوع المصروف ]],$A:$A,Table1[[الشهر ]],$B$1,Table1[الفرع],'تحليلات 2024'!$F$20)</f>
        <v>0</v>
      </c>
      <c r="G34" s="190">
        <f>IFERROR((F34/$H$18),0)</f>
        <v>0</v>
      </c>
      <c r="H34" s="189">
        <f>SUMIFS(Table1[[المنصرف ]],Table1[[نوع المصروف ]],$A:$A,Table1[[الشهر ]],$B$1,Table1[الفرع],'تحليلات 2024'!$H$20)</f>
        <v>0</v>
      </c>
      <c r="I34" s="190">
        <f>IFERROR((H34/$H$18),0)</f>
        <v>0</v>
      </c>
      <c r="J34" s="189">
        <f>SUMIFS(Table1[[المنصرف ]],Table1[[نوع المصروف ]],$A:$A,Table1[[الشهر ]],$B$1,Table1[الفرع],'تحليلات 2024'!$J$20)</f>
        <v>27370</v>
      </c>
      <c r="K34" s="190">
        <f>IFERROR((J34/$L$18),0)</f>
        <v>3.2633121450569715E-2</v>
      </c>
      <c r="L34" s="189">
        <f t="shared" si="39"/>
        <v>27370</v>
      </c>
      <c r="M34" s="190">
        <f>IFERROR((L34/$L$18),0)</f>
        <v>3.2633121450569715E-2</v>
      </c>
      <c r="O34" s="189">
        <f>SUMIFS(Table1[[المنصرف ]],Table1[[نوع المصروف ]],$A:$A,Table1[[الشهر ]],$O$1,Table1[الفرع],'تحليلات 2024'!$B$20)</f>
        <v>0</v>
      </c>
      <c r="P34" s="190">
        <f>IFERROR((O34/$B$18),0)</f>
        <v>0</v>
      </c>
      <c r="Q34" s="189">
        <f>SUMIFS(Table1[[المنصرف ]],Table1[[نوع المصروف ]],$A:$A,Table1[[الشهر ]],$O$1,Table1[الفرع],'تحليلات 2024'!$D$20)</f>
        <v>0</v>
      </c>
      <c r="R34" s="190">
        <f>IFERROR((Q34/$D$18),0)</f>
        <v>0</v>
      </c>
      <c r="S34" s="189">
        <f>SUMIFS(Table1[[المنصرف ]],Table1[[نوع المصروف ]],$A:$A,Table1[[الشهر ]],$O$1,Table1[الفرع],'تحليلات 2024'!$F$20)</f>
        <v>0</v>
      </c>
      <c r="T34" s="190">
        <f>IFERROR((S34/$H$18),0)</f>
        <v>0</v>
      </c>
      <c r="U34" s="189">
        <f>SUMIFS(Table1[[المنصرف ]],Table1[[نوع المصروف ]],$A:$A,Table1[[الشهر ]],$O$1,Table1[الفرع],'تحليلات 2024'!$H$20)</f>
        <v>0</v>
      </c>
      <c r="V34" s="190">
        <f>IFERROR((U34/$H$18),0)</f>
        <v>0</v>
      </c>
      <c r="W34" s="189">
        <f>SUMIFS(Table1[[المنصرف ]],Table1[[نوع المصروف ]],$A:$A,Table1[[الشهر ]],$O$1,Table1[الفرع],'تحليلات 2024'!$J$20)</f>
        <v>0</v>
      </c>
      <c r="X34" s="190">
        <f>IFERROR((W34/$L$18),0)</f>
        <v>0</v>
      </c>
      <c r="Y34" s="189">
        <f t="shared" si="44"/>
        <v>0</v>
      </c>
      <c r="Z34" s="190">
        <f>IFERROR((Y34/$L$18),0)</f>
        <v>0</v>
      </c>
      <c r="AB34" s="189">
        <f>SUMIFS(Table1[[المنصرف ]],Table1[[نوع المصروف ]],$A:$A,Table1[[الشهر ]],$AB$1,Table1[الفرع],'تحليلات 2024'!$B$20)</f>
        <v>0</v>
      </c>
      <c r="AC34" s="190">
        <f>IFERROR((AB34/$B$18),0)</f>
        <v>0</v>
      </c>
      <c r="AD34" s="189">
        <f>SUMIFS(Table1[[المنصرف ]],Table1[[نوع المصروف ]],$A:$A,Table1[[الشهر ]],$AB$1,Table1[الفرع],'تحليلات 2024'!$D$20)</f>
        <v>0</v>
      </c>
      <c r="AE34" s="190">
        <f>IFERROR((AD34/$D$18),0)</f>
        <v>0</v>
      </c>
      <c r="AF34" s="189">
        <f>SUMIFS(Table1[[المنصرف ]],Table1[[نوع المصروف ]],$A:$A,Table1[[الشهر ]],$AB$1,Table1[الفرع],'تحليلات 2024'!$F$20)</f>
        <v>0</v>
      </c>
      <c r="AG34" s="190">
        <f>IFERROR((AF34/$H$18),0)</f>
        <v>0</v>
      </c>
      <c r="AH34" s="189">
        <f>SUMIFS(Table1[[المنصرف ]],Table1[[نوع المصروف ]],$A:$A,Table1[[الشهر ]],$AB$1,Table1[الفرع],'تحليلات 2024'!$H$20)</f>
        <v>0</v>
      </c>
      <c r="AI34" s="190">
        <f>IFERROR((AH34/$H$18),0)</f>
        <v>0</v>
      </c>
      <c r="AJ34" s="189">
        <f>SUMIFS(Table1[[المنصرف ]],Table1[[نوع المصروف ]],$A:$A,Table1[[الشهر ]],$AB$1,Table1[الفرع],'تحليلات 2024'!$J$20)</f>
        <v>0</v>
      </c>
      <c r="AK34" s="190">
        <f>IFERROR((AJ34/$L$18),0)</f>
        <v>0</v>
      </c>
      <c r="AL34" s="189">
        <f t="shared" si="49"/>
        <v>0</v>
      </c>
      <c r="AM34" s="190">
        <f>IFERROR((AL34/$L$18),0)</f>
        <v>0</v>
      </c>
      <c r="AO34" s="189">
        <f>SUMIFS(Table1[[المنصرف ]],Table1[[نوع المصروف ]],$A:$A,Table1[[الشهر ]],$AO$1,Table1[الفرع],'تحليلات 2024'!$B$20)</f>
        <v>0</v>
      </c>
      <c r="AP34" s="190">
        <f>IFERROR((AO34/$B$18),0)</f>
        <v>0</v>
      </c>
      <c r="AQ34" s="189">
        <f>SUMIFS(Table1[[المنصرف ]],Table1[[نوع المصروف ]],$A:$A,Table1[[الشهر ]],$AO$1,Table1[الفرع],'تحليلات 2024'!$D$20)</f>
        <v>0</v>
      </c>
      <c r="AR34" s="190">
        <f>IFERROR((AQ34/$D$18),0)</f>
        <v>0</v>
      </c>
      <c r="AS34" s="189">
        <f>SUMIFS(Table1[[المنصرف ]],Table1[[نوع المصروف ]],$A:$A,Table1[[الشهر ]],$AO$1,Table1[الفرع],'تحليلات 2024'!$F$20)</f>
        <v>0</v>
      </c>
      <c r="AT34" s="190">
        <f>IFERROR((AS34/$H$18),0)</f>
        <v>0</v>
      </c>
      <c r="AU34" s="189">
        <f>SUMIFS(Table1[[المنصرف ]],Table1[[نوع المصروف ]],$A:$A,Table1[[الشهر ]],$AO$1,Table1[الفرع],'تحليلات 2024'!$H$20)</f>
        <v>0</v>
      </c>
      <c r="AV34" s="190">
        <f>IFERROR((AU34/$H$18),0)</f>
        <v>0</v>
      </c>
      <c r="AW34" s="189">
        <f>SUMIFS(Table1[[المنصرف ]],Table1[[نوع المصروف ]],$A:$A,Table1[[الشهر ]],$AO$1,Table1[الفرع],'تحليلات 2024'!$J$20)</f>
        <v>0</v>
      </c>
      <c r="AX34" s="190">
        <f>IFERROR((AW34/$L$18),0)</f>
        <v>0</v>
      </c>
      <c r="AY34" s="189">
        <f t="shared" si="54"/>
        <v>0</v>
      </c>
      <c r="AZ34" s="190">
        <f>IFERROR((AY34/$L$18),0)</f>
        <v>0</v>
      </c>
    </row>
    <row r="35" spans="1:52">
      <c r="A35" s="200" t="s">
        <v>118</v>
      </c>
      <c r="B35" s="189">
        <f>SUMIFS(Table1[[المنصرف ]],Table1[[نوع المصروف ]],$A:$A,Table1[[الشهر ]],$B$1,Table1[الفرع],'تحليلات 2024'!$B$20)</f>
        <v>0</v>
      </c>
      <c r="C35" s="190">
        <f t="shared" si="35"/>
        <v>0</v>
      </c>
      <c r="D35" s="189">
        <f>SUMIFS(Table1[[المنصرف ]],Table1[[نوع المصروف ]],$A:$A,Table1[[الشهر ]],$B$1,Table1[الفرع],'تحليلات 2024'!$D$20)</f>
        <v>5000</v>
      </c>
      <c r="E35" s="190">
        <f t="shared" si="36"/>
        <v>2.8594838834446731E-2</v>
      </c>
      <c r="F35" s="189">
        <f>SUMIFS(Table1[[المنصرف ]],Table1[[نوع المصروف ]],$A:$A,Table1[[الشهر ]],$B$1,Table1[الفرع],'تحليلات 2024'!$F$20)</f>
        <v>0</v>
      </c>
      <c r="G35" s="190">
        <f t="shared" si="37"/>
        <v>0</v>
      </c>
      <c r="H35" s="189">
        <f>SUMIFS(Table1[[المنصرف ]],Table1[[نوع المصروف ]],$A:$A,Table1[[الشهر ]],$B$1,Table1[الفرع],'تحليلات 2024'!$H$20)</f>
        <v>0</v>
      </c>
      <c r="I35" s="190">
        <f t="shared" si="28"/>
        <v>0</v>
      </c>
      <c r="J35" s="189">
        <f>SUMIFS(Table1[[المنصرف ]],Table1[[نوع المصروف ]],$A:$A,Table1[[الشهر ]],$B$1,Table1[الفرع],'تحليلات 2024'!$J$20)</f>
        <v>14000</v>
      </c>
      <c r="K35" s="190">
        <f t="shared" si="38"/>
        <v>1.6692133734306759E-2</v>
      </c>
      <c r="L35" s="189">
        <f t="shared" si="39"/>
        <v>19000</v>
      </c>
      <c r="M35" s="190">
        <f t="shared" si="40"/>
        <v>2.2653610067987745E-2</v>
      </c>
      <c r="O35" s="189">
        <f>SUMIFS(Table1[[المنصرف ]],Table1[[نوع المصروف ]],$A:$A,Table1[[الشهر ]],$O$1,Table1[الفرع],'تحليلات 2024'!$B$20)</f>
        <v>0</v>
      </c>
      <c r="P35" s="190">
        <f t="shared" ref="P35:P66" si="56">IFERROR((O35/$B$18),0)</f>
        <v>0</v>
      </c>
      <c r="Q35" s="189">
        <f>SUMIFS(Table1[[المنصرف ]],Table1[[نوع المصروف ]],$A:$A,Table1[[الشهر ]],$O$1,Table1[الفرع],'تحليلات 2024'!$D$20)</f>
        <v>0</v>
      </c>
      <c r="R35" s="190">
        <f t="shared" ref="R35:R66" si="57">IFERROR((Q35/$D$18),0)</f>
        <v>0</v>
      </c>
      <c r="S35" s="189">
        <f>SUMIFS(Table1[[المنصرف ]],Table1[[نوع المصروف ]],$A:$A,Table1[[الشهر ]],$O$1,Table1[الفرع],'تحليلات 2024'!$F$20)</f>
        <v>0</v>
      </c>
      <c r="T35" s="190">
        <f t="shared" ref="T35:T66" si="58">IFERROR((S35/$H$18),0)</f>
        <v>0</v>
      </c>
      <c r="U35" s="189">
        <f>SUMIFS(Table1[[المنصرف ]],Table1[[نوع المصروف ]],$A:$A,Table1[[الشهر ]],$O$1,Table1[الفرع],'تحليلات 2024'!$H$20)</f>
        <v>0</v>
      </c>
      <c r="V35" s="190">
        <f t="shared" ref="V35:V66" si="59">IFERROR((U35/$H$18),0)</f>
        <v>0</v>
      </c>
      <c r="W35" s="189">
        <f>SUMIFS(Table1[[المنصرف ]],Table1[[نوع المصروف ]],$A:$A,Table1[[الشهر ]],$O$1,Table1[الفرع],'تحليلات 2024'!$J$20)</f>
        <v>17374</v>
      </c>
      <c r="X35" s="190">
        <f t="shared" ref="X35:X65" si="60">IFERROR((W35/$L$18),0)</f>
        <v>2.0714937964274691E-2</v>
      </c>
      <c r="Y35" s="189">
        <f t="shared" si="44"/>
        <v>17374</v>
      </c>
      <c r="Z35" s="190">
        <f t="shared" ref="Z35:Z66" si="61">IFERROR((Y35/$L$18),0)</f>
        <v>2.0714937964274691E-2</v>
      </c>
      <c r="AB35" s="189">
        <f>SUMIFS(Table1[[المنصرف ]],Table1[[نوع المصروف ]],$A:$A,Table1[[الشهر ]],$AB$1,Table1[الفرع],'تحليلات 2024'!$B$20)</f>
        <v>0</v>
      </c>
      <c r="AC35" s="190">
        <f t="shared" ref="AC35:AC66" si="62">IFERROR((AB35/$B$18),0)</f>
        <v>0</v>
      </c>
      <c r="AD35" s="189">
        <f>SUMIFS(Table1[[المنصرف ]],Table1[[نوع المصروف ]],$A:$A,Table1[[الشهر ]],$AB$1,Table1[الفرع],'تحليلات 2024'!$D$20)</f>
        <v>0</v>
      </c>
      <c r="AE35" s="190">
        <f t="shared" ref="AE35:AE66" si="63">IFERROR((AD35/$D$18),0)</f>
        <v>0</v>
      </c>
      <c r="AF35" s="189">
        <f>SUMIFS(Table1[[المنصرف ]],Table1[[نوع المصروف ]],$A:$A,Table1[[الشهر ]],$AB$1,Table1[الفرع],'تحليلات 2024'!$F$20)</f>
        <v>0</v>
      </c>
      <c r="AG35" s="190">
        <f t="shared" ref="AG35:AG66" si="64">IFERROR((AF35/$H$18),0)</f>
        <v>0</v>
      </c>
      <c r="AH35" s="189">
        <f>SUMIFS(Table1[[المنصرف ]],Table1[[نوع المصروف ]],$A:$A,Table1[[الشهر ]],$AB$1,Table1[الفرع],'تحليلات 2024'!$H$20)</f>
        <v>0</v>
      </c>
      <c r="AI35" s="190">
        <f t="shared" ref="AI35:AI66" si="65">IFERROR((AH35/$H$18),0)</f>
        <v>0</v>
      </c>
      <c r="AJ35" s="189">
        <f>SUMIFS(Table1[[المنصرف ]],Table1[[نوع المصروف ]],$A:$A,Table1[[الشهر ]],$AB$1,Table1[الفرع],'تحليلات 2024'!$J$20)</f>
        <v>0</v>
      </c>
      <c r="AK35" s="190">
        <f t="shared" ref="AK35:AK65" si="66">IFERROR((AJ35/$L$18),0)</f>
        <v>0</v>
      </c>
      <c r="AL35" s="189">
        <f t="shared" si="49"/>
        <v>0</v>
      </c>
      <c r="AM35" s="190">
        <f t="shared" ref="AM35:AM66" si="67">IFERROR((AL35/$L$18),0)</f>
        <v>0</v>
      </c>
      <c r="AO35" s="189">
        <f>SUMIFS(Table1[[المنصرف ]],Table1[[نوع المصروف ]],$A:$A,Table1[[الشهر ]],$AO$1,Table1[الفرع],'تحليلات 2024'!$B$20)</f>
        <v>0</v>
      </c>
      <c r="AP35" s="190">
        <f t="shared" ref="AP35:AP66" si="68">IFERROR((AO35/$B$18),0)</f>
        <v>0</v>
      </c>
      <c r="AQ35" s="189">
        <f>SUMIFS(Table1[[المنصرف ]],Table1[[نوع المصروف ]],$A:$A,Table1[[الشهر ]],$AO$1,Table1[الفرع],'تحليلات 2024'!$D$20)</f>
        <v>0</v>
      </c>
      <c r="AR35" s="190">
        <f t="shared" ref="AR35:AR66" si="69">IFERROR((AQ35/$D$18),0)</f>
        <v>0</v>
      </c>
      <c r="AS35" s="189">
        <f>SUMIFS(Table1[[المنصرف ]],Table1[[نوع المصروف ]],$A:$A,Table1[[الشهر ]],$AO$1,Table1[الفرع],'تحليلات 2024'!$F$20)</f>
        <v>0</v>
      </c>
      <c r="AT35" s="190">
        <f t="shared" ref="AT35:AT66" si="70">IFERROR((AS35/$H$18),0)</f>
        <v>0</v>
      </c>
      <c r="AU35" s="189">
        <f>SUMIFS(Table1[[المنصرف ]],Table1[[نوع المصروف ]],$A:$A,Table1[[الشهر ]],$AO$1,Table1[الفرع],'تحليلات 2024'!$H$20)</f>
        <v>0</v>
      </c>
      <c r="AV35" s="190">
        <f t="shared" ref="AV35:AV66" si="71">IFERROR((AU35/$H$18),0)</f>
        <v>0</v>
      </c>
      <c r="AW35" s="189">
        <f>SUMIFS(Table1[[المنصرف ]],Table1[[نوع المصروف ]],$A:$A,Table1[[الشهر ]],$AO$1,Table1[الفرع],'تحليلات 2024'!$J$20)</f>
        <v>0</v>
      </c>
      <c r="AX35" s="190">
        <f t="shared" ref="AX35:AX65" si="72">IFERROR((AW35/$L$18),0)</f>
        <v>0</v>
      </c>
      <c r="AY35" s="189">
        <f t="shared" si="54"/>
        <v>0</v>
      </c>
      <c r="AZ35" s="190">
        <f t="shared" ref="AZ35:AZ66" si="73">IFERROR((AY35/$L$18),0)</f>
        <v>0</v>
      </c>
    </row>
    <row r="36" spans="1:52">
      <c r="A36" s="200" t="s">
        <v>114</v>
      </c>
      <c r="B36" s="189">
        <f>SUMIFS(Table1[[المنصرف ]],Table1[[نوع المصروف ]],$A:$A,Table1[[الشهر ]],$B$1,Table1[الفرع],'تحليلات 2024'!$B$20)</f>
        <v>0</v>
      </c>
      <c r="C36" s="190">
        <f t="shared" si="35"/>
        <v>0</v>
      </c>
      <c r="D36" s="189">
        <f>SUMIFS(Table1[[المنصرف ]],Table1[[نوع المصروف ]],$A:$A,Table1[[الشهر ]],$B$1,Table1[الفرع],'تحليلات 2024'!$D$20)</f>
        <v>0</v>
      </c>
      <c r="E36" s="190">
        <f t="shared" si="36"/>
        <v>0</v>
      </c>
      <c r="F36" s="189">
        <f>SUMIFS(Table1[[المنصرف ]],Table1[[نوع المصروف ]],$A:$A,Table1[[الشهر ]],$B$1,Table1[الفرع],'تحليلات 2024'!$F$20)</f>
        <v>0</v>
      </c>
      <c r="G36" s="190">
        <f t="shared" si="37"/>
        <v>0</v>
      </c>
      <c r="H36" s="189">
        <f>SUMIFS(Table1[[المنصرف ]],Table1[[نوع المصروف ]],$A:$A,Table1[[الشهر ]],$B$1,Table1[الفرع],'تحليلات 2024'!$H$20)</f>
        <v>0</v>
      </c>
      <c r="I36" s="190">
        <f t="shared" si="28"/>
        <v>0</v>
      </c>
      <c r="J36" s="189">
        <f>SUMIFS(Table1[[المنصرف ]],Table1[[نوع المصروف ]],$A:$A,Table1[[الشهر ]],$B$1,Table1[الفرع],'تحليلات 2024'!$J$20)</f>
        <v>0</v>
      </c>
      <c r="K36" s="190">
        <f t="shared" si="38"/>
        <v>0</v>
      </c>
      <c r="L36" s="189">
        <f t="shared" si="39"/>
        <v>0</v>
      </c>
      <c r="M36" s="190">
        <f t="shared" si="40"/>
        <v>0</v>
      </c>
      <c r="O36" s="189">
        <f>SUMIFS(Table1[[المنصرف ]],Table1[[نوع المصروف ]],$A:$A,Table1[[الشهر ]],$O$1,Table1[الفرع],'تحليلات 2024'!$B$20)</f>
        <v>0</v>
      </c>
      <c r="P36" s="190">
        <f t="shared" si="56"/>
        <v>0</v>
      </c>
      <c r="Q36" s="189">
        <f>SUMIFS(Table1[[المنصرف ]],Table1[[نوع المصروف ]],$A:$A,Table1[[الشهر ]],$O$1,Table1[الفرع],'تحليلات 2024'!$D$20)</f>
        <v>0</v>
      </c>
      <c r="R36" s="190">
        <f t="shared" si="57"/>
        <v>0</v>
      </c>
      <c r="S36" s="189">
        <f>SUMIFS(Table1[[المنصرف ]],Table1[[نوع المصروف ]],$A:$A,Table1[[الشهر ]],$O$1,Table1[الفرع],'تحليلات 2024'!$F$20)</f>
        <v>0</v>
      </c>
      <c r="T36" s="190">
        <f t="shared" si="58"/>
        <v>0</v>
      </c>
      <c r="U36" s="189">
        <f>SUMIFS(Table1[[المنصرف ]],Table1[[نوع المصروف ]],$A:$A,Table1[[الشهر ]],$O$1,Table1[الفرع],'تحليلات 2024'!$H$20)</f>
        <v>0</v>
      </c>
      <c r="V36" s="190">
        <f t="shared" si="59"/>
        <v>0</v>
      </c>
      <c r="W36" s="189">
        <f>SUMIFS(Table1[[المنصرف ]],Table1[[نوع المصروف ]],$A:$A,Table1[[الشهر ]],$O$1,Table1[الفرع],'تحليلات 2024'!$J$20)</f>
        <v>0</v>
      </c>
      <c r="X36" s="190">
        <f t="shared" si="60"/>
        <v>0</v>
      </c>
      <c r="Y36" s="189">
        <f t="shared" si="44"/>
        <v>0</v>
      </c>
      <c r="Z36" s="190">
        <f t="shared" si="61"/>
        <v>0</v>
      </c>
      <c r="AB36" s="189">
        <f>SUMIFS(Table1[[المنصرف ]],Table1[[نوع المصروف ]],$A:$A,Table1[[الشهر ]],$AB$1,Table1[الفرع],'تحليلات 2024'!$B$20)</f>
        <v>0</v>
      </c>
      <c r="AC36" s="190">
        <f t="shared" si="62"/>
        <v>0</v>
      </c>
      <c r="AD36" s="189">
        <f>SUMIFS(Table1[[المنصرف ]],Table1[[نوع المصروف ]],$A:$A,Table1[[الشهر ]],$AB$1,Table1[الفرع],'تحليلات 2024'!$D$20)</f>
        <v>0</v>
      </c>
      <c r="AE36" s="190">
        <f t="shared" si="63"/>
        <v>0</v>
      </c>
      <c r="AF36" s="189">
        <f>SUMIFS(Table1[[المنصرف ]],Table1[[نوع المصروف ]],$A:$A,Table1[[الشهر ]],$AB$1,Table1[الفرع],'تحليلات 2024'!$F$20)</f>
        <v>0</v>
      </c>
      <c r="AG36" s="190">
        <f t="shared" si="64"/>
        <v>0</v>
      </c>
      <c r="AH36" s="189">
        <f>SUMIFS(Table1[[المنصرف ]],Table1[[نوع المصروف ]],$A:$A,Table1[[الشهر ]],$AB$1,Table1[الفرع],'تحليلات 2024'!$H$20)</f>
        <v>0</v>
      </c>
      <c r="AI36" s="190">
        <f t="shared" si="65"/>
        <v>0</v>
      </c>
      <c r="AJ36" s="189">
        <f>SUMIFS(Table1[[المنصرف ]],Table1[[نوع المصروف ]],$A:$A,Table1[[الشهر ]],$AB$1,Table1[الفرع],'تحليلات 2024'!$J$20)</f>
        <v>0</v>
      </c>
      <c r="AK36" s="190">
        <f t="shared" si="66"/>
        <v>0</v>
      </c>
      <c r="AL36" s="189">
        <f t="shared" si="49"/>
        <v>0</v>
      </c>
      <c r="AM36" s="190">
        <f t="shared" si="67"/>
        <v>0</v>
      </c>
      <c r="AO36" s="189">
        <f>SUMIFS(Table1[[المنصرف ]],Table1[[نوع المصروف ]],$A:$A,Table1[[الشهر ]],$AO$1,Table1[الفرع],'تحليلات 2024'!$B$20)</f>
        <v>0</v>
      </c>
      <c r="AP36" s="190">
        <f t="shared" si="68"/>
        <v>0</v>
      </c>
      <c r="AQ36" s="189">
        <f>SUMIFS(Table1[[المنصرف ]],Table1[[نوع المصروف ]],$A:$A,Table1[[الشهر ]],$AO$1,Table1[الفرع],'تحليلات 2024'!$D$20)</f>
        <v>0</v>
      </c>
      <c r="AR36" s="190">
        <f t="shared" si="69"/>
        <v>0</v>
      </c>
      <c r="AS36" s="189">
        <f>SUMIFS(Table1[[المنصرف ]],Table1[[نوع المصروف ]],$A:$A,Table1[[الشهر ]],$AO$1,Table1[الفرع],'تحليلات 2024'!$F$20)</f>
        <v>0</v>
      </c>
      <c r="AT36" s="190">
        <f t="shared" si="70"/>
        <v>0</v>
      </c>
      <c r="AU36" s="189">
        <f>SUMIFS(Table1[[المنصرف ]],Table1[[نوع المصروف ]],$A:$A,Table1[[الشهر ]],$AO$1,Table1[الفرع],'تحليلات 2024'!$H$20)</f>
        <v>0</v>
      </c>
      <c r="AV36" s="190">
        <f t="shared" si="71"/>
        <v>0</v>
      </c>
      <c r="AW36" s="189">
        <f>SUMIFS(Table1[[المنصرف ]],Table1[[نوع المصروف ]],$A:$A,Table1[[الشهر ]],$AO$1,Table1[الفرع],'تحليلات 2024'!$J$20)</f>
        <v>0</v>
      </c>
      <c r="AX36" s="190">
        <f t="shared" si="72"/>
        <v>0</v>
      </c>
      <c r="AY36" s="189">
        <f t="shared" si="54"/>
        <v>0</v>
      </c>
      <c r="AZ36" s="190">
        <f t="shared" si="73"/>
        <v>0</v>
      </c>
    </row>
    <row r="37" spans="1:52">
      <c r="A37" s="200" t="s">
        <v>116</v>
      </c>
      <c r="B37" s="189">
        <f>SUMIFS(Table1[[المنصرف ]],Table1[[نوع المصروف ]],$A:$A,Table1[[الشهر ]],$B$1,Table1[الفرع],'تحليلات 2024'!$B$20)</f>
        <v>1745</v>
      </c>
      <c r="C37" s="190">
        <f t="shared" si="35"/>
        <v>2.6555366669881553E-3</v>
      </c>
      <c r="D37" s="189">
        <f>SUMIFS(Table1[[المنصرف ]],Table1[[نوع المصروف ]],$A:$A,Table1[[الشهر ]],$B$1,Table1[الفرع],'تحليلات 2024'!$D$20)</f>
        <v>5519.5</v>
      </c>
      <c r="E37" s="190">
        <f t="shared" si="36"/>
        <v>3.1565842589345749E-2</v>
      </c>
      <c r="F37" s="189">
        <f>SUMIFS(Table1[[المنصرف ]],Table1[[نوع المصروف ]],$A:$A,Table1[[الشهر ]],$B$1,Table1[الفرع],'تحليلات 2024'!$F$20)</f>
        <v>6449</v>
      </c>
      <c r="G37" s="190">
        <f t="shared" si="37"/>
        <v>0</v>
      </c>
      <c r="H37" s="189">
        <f>SUMIFS(Table1[[المنصرف ]],Table1[[نوع المصروف ]],$A:$A,Table1[[الشهر ]],$B$1,Table1[الفرع],'تحليلات 2024'!$H$20)</f>
        <v>0</v>
      </c>
      <c r="I37" s="190">
        <f t="shared" si="28"/>
        <v>0</v>
      </c>
      <c r="J37" s="189">
        <f>SUMIFS(Table1[[المنصرف ]],Table1[[نوع المصروف ]],$A:$A,Table1[[الشهر ]],$B$1,Table1[الفرع],'تحليلات 2024'!$J$20)</f>
        <v>2093.5</v>
      </c>
      <c r="K37" s="190">
        <f t="shared" si="38"/>
        <v>2.4960701409122289E-3</v>
      </c>
      <c r="L37" s="189">
        <f t="shared" si="39"/>
        <v>15807</v>
      </c>
      <c r="M37" s="190">
        <f t="shared" si="40"/>
        <v>1.884661128129907E-2</v>
      </c>
      <c r="O37" s="189">
        <f>SUMIFS(Table1[[المنصرف ]],Table1[[نوع المصروف ]],$A:$A,Table1[[الشهر ]],$O$1,Table1[الفرع],'تحليلات 2024'!$B$20)</f>
        <v>69</v>
      </c>
      <c r="P37" s="190">
        <f t="shared" si="56"/>
        <v>1.0500402866600728E-4</v>
      </c>
      <c r="Q37" s="189">
        <f>SUMIFS(Table1[[المنصرف ]],Table1[[نوع المصروف ]],$A:$A,Table1[[الشهر ]],$O$1,Table1[الفرع],'تحليلات 2024'!$D$20)</f>
        <v>0</v>
      </c>
      <c r="R37" s="190">
        <f t="shared" si="57"/>
        <v>0</v>
      </c>
      <c r="S37" s="189">
        <f>SUMIFS(Table1[[المنصرف ]],Table1[[نوع المصروف ]],$A:$A,Table1[[الشهر ]],$O$1,Table1[الفرع],'تحليلات 2024'!$F$20)</f>
        <v>1626</v>
      </c>
      <c r="T37" s="190">
        <f t="shared" si="58"/>
        <v>0</v>
      </c>
      <c r="U37" s="189">
        <f>SUMIFS(Table1[[المنصرف ]],Table1[[نوع المصروف ]],$A:$A,Table1[[الشهر ]],$O$1,Table1[الفرع],'تحليلات 2024'!$H$20)</f>
        <v>0</v>
      </c>
      <c r="V37" s="190">
        <f t="shared" si="59"/>
        <v>0</v>
      </c>
      <c r="W37" s="189">
        <f>SUMIFS(Table1[[المنصرف ]],Table1[[نوع المصروف ]],$A:$A,Table1[[الشهر ]],$O$1,Table1[الفرع],'تحليلات 2024'!$J$20)</f>
        <v>998</v>
      </c>
      <c r="X37" s="190">
        <f t="shared" si="60"/>
        <v>1.1899106762027249E-3</v>
      </c>
      <c r="Y37" s="189">
        <f t="shared" si="44"/>
        <v>2693</v>
      </c>
      <c r="Z37" s="190">
        <f t="shared" si="61"/>
        <v>3.2108511533205791E-3</v>
      </c>
      <c r="AB37" s="189">
        <f>SUMIFS(Table1[[المنصرف ]],Table1[[نوع المصروف ]],$A:$A,Table1[[الشهر ]],$AB$1,Table1[الفرع],'تحليلات 2024'!$B$20)</f>
        <v>0</v>
      </c>
      <c r="AC37" s="190">
        <f t="shared" si="62"/>
        <v>0</v>
      </c>
      <c r="AD37" s="189">
        <f>SUMIFS(Table1[[المنصرف ]],Table1[[نوع المصروف ]],$A:$A,Table1[[الشهر ]],$AB$1,Table1[الفرع],'تحليلات 2024'!$D$20)</f>
        <v>0</v>
      </c>
      <c r="AE37" s="190">
        <f t="shared" si="63"/>
        <v>0</v>
      </c>
      <c r="AF37" s="189">
        <f>SUMIFS(Table1[[المنصرف ]],Table1[[نوع المصروف ]],$A:$A,Table1[[الشهر ]],$AB$1,Table1[الفرع],'تحليلات 2024'!$F$20)</f>
        <v>0</v>
      </c>
      <c r="AG37" s="190">
        <f t="shared" si="64"/>
        <v>0</v>
      </c>
      <c r="AH37" s="189">
        <f>SUMIFS(Table1[[المنصرف ]],Table1[[نوع المصروف ]],$A:$A,Table1[[الشهر ]],$AB$1,Table1[الفرع],'تحليلات 2024'!$H$20)</f>
        <v>0</v>
      </c>
      <c r="AI37" s="190">
        <f t="shared" si="65"/>
        <v>0</v>
      </c>
      <c r="AJ37" s="189">
        <f>SUMIFS(Table1[[المنصرف ]],Table1[[نوع المصروف ]],$A:$A,Table1[[الشهر ]],$AB$1,Table1[الفرع],'تحليلات 2024'!$J$20)</f>
        <v>0</v>
      </c>
      <c r="AK37" s="190">
        <f t="shared" si="66"/>
        <v>0</v>
      </c>
      <c r="AL37" s="189">
        <f t="shared" si="49"/>
        <v>0</v>
      </c>
      <c r="AM37" s="190">
        <f t="shared" si="67"/>
        <v>0</v>
      </c>
      <c r="AO37" s="189">
        <f>SUMIFS(Table1[[المنصرف ]],Table1[[نوع المصروف ]],$A:$A,Table1[[الشهر ]],$AO$1,Table1[الفرع],'تحليلات 2024'!$B$20)</f>
        <v>0</v>
      </c>
      <c r="AP37" s="190">
        <f t="shared" si="68"/>
        <v>0</v>
      </c>
      <c r="AQ37" s="189">
        <f>SUMIFS(Table1[[المنصرف ]],Table1[[نوع المصروف ]],$A:$A,Table1[[الشهر ]],$AO$1,Table1[الفرع],'تحليلات 2024'!$D$20)</f>
        <v>0</v>
      </c>
      <c r="AR37" s="190">
        <f t="shared" si="69"/>
        <v>0</v>
      </c>
      <c r="AS37" s="189">
        <f>SUMIFS(Table1[[المنصرف ]],Table1[[نوع المصروف ]],$A:$A,Table1[[الشهر ]],$AO$1,Table1[الفرع],'تحليلات 2024'!$F$20)</f>
        <v>0</v>
      </c>
      <c r="AT37" s="190">
        <f t="shared" si="70"/>
        <v>0</v>
      </c>
      <c r="AU37" s="189">
        <f>SUMIFS(Table1[[المنصرف ]],Table1[[نوع المصروف ]],$A:$A,Table1[[الشهر ]],$AO$1,Table1[الفرع],'تحليلات 2024'!$H$20)</f>
        <v>0</v>
      </c>
      <c r="AV37" s="190">
        <f t="shared" si="71"/>
        <v>0</v>
      </c>
      <c r="AW37" s="189">
        <f>SUMIFS(Table1[[المنصرف ]],Table1[[نوع المصروف ]],$A:$A,Table1[[الشهر ]],$AO$1,Table1[الفرع],'تحليلات 2024'!$J$20)</f>
        <v>0</v>
      </c>
      <c r="AX37" s="190">
        <f t="shared" si="72"/>
        <v>0</v>
      </c>
      <c r="AY37" s="189">
        <f t="shared" si="54"/>
        <v>0</v>
      </c>
      <c r="AZ37" s="190">
        <f t="shared" si="73"/>
        <v>0</v>
      </c>
    </row>
    <row r="38" spans="1:52">
      <c r="A38" s="200" t="s">
        <v>120</v>
      </c>
      <c r="B38" s="189">
        <f>SUMIFS(Table1[[المنصرف ]],Table1[[نوع المصروف ]],$A:$A,Table1[[الشهر ]],$B$1,Table1[الفرع],'تحليلات 2024'!$B$20)</f>
        <v>0</v>
      </c>
      <c r="C38" s="190">
        <f t="shared" si="35"/>
        <v>0</v>
      </c>
      <c r="D38" s="189">
        <f>SUMIFS(Table1[[المنصرف ]],Table1[[نوع المصروف ]],$A:$A,Table1[[الشهر ]],$B$1,Table1[الفرع],'تحليلات 2024'!$D$20)</f>
        <v>138</v>
      </c>
      <c r="E38" s="190">
        <f t="shared" si="36"/>
        <v>7.8921755183072981E-4</v>
      </c>
      <c r="F38" s="189">
        <f>SUMIFS(Table1[[المنصرف ]],Table1[[نوع المصروف ]],$A:$A,Table1[[الشهر ]],$B$1,Table1[الفرع],'تحليلات 2024'!$F$20)</f>
        <v>6779.53</v>
      </c>
      <c r="G38" s="190">
        <f t="shared" si="37"/>
        <v>0</v>
      </c>
      <c r="H38" s="189">
        <f>SUMIFS(Table1[[المنصرف ]],Table1[[نوع المصروف ]],$A:$A,Table1[[الشهر ]],$B$1,Table1[الفرع],'تحليلات 2024'!$H$20)</f>
        <v>26</v>
      </c>
      <c r="I38" s="190">
        <f t="shared" si="28"/>
        <v>0</v>
      </c>
      <c r="J38" s="189">
        <f>SUMIFS(Table1[[المنصرف ]],Table1[[نوع المصروف ]],$A:$A,Table1[[الشهر ]],$B$1,Table1[الفرع],'تحليلات 2024'!$J$20)</f>
        <v>6057.33</v>
      </c>
      <c r="K38" s="190">
        <f t="shared" si="38"/>
        <v>7.222125888059169E-3</v>
      </c>
      <c r="L38" s="189">
        <f t="shared" si="39"/>
        <v>13000.86</v>
      </c>
      <c r="M38" s="190">
        <f t="shared" si="40"/>
        <v>1.5500863841499957E-2</v>
      </c>
      <c r="O38" s="189">
        <f>SUMIFS(Table1[[المنصرف ]],Table1[[نوع المصروف ]],$A:$A,Table1[[الشهر ]],$O$1,Table1[الفرع],'تحليلات 2024'!$B$20)</f>
        <v>0</v>
      </c>
      <c r="P38" s="190">
        <f t="shared" si="56"/>
        <v>0</v>
      </c>
      <c r="Q38" s="189">
        <f>SUMIFS(Table1[[المنصرف ]],Table1[[نوع المصروف ]],$A:$A,Table1[[الشهر ]],$O$1,Table1[الفرع],'تحليلات 2024'!$D$20)</f>
        <v>0</v>
      </c>
      <c r="R38" s="190">
        <f t="shared" si="57"/>
        <v>0</v>
      </c>
      <c r="S38" s="189">
        <f>SUMIFS(Table1[[المنصرف ]],Table1[[نوع المصروف ]],$A:$A,Table1[[الشهر ]],$O$1,Table1[الفرع],'تحليلات 2024'!$F$20)</f>
        <v>1568</v>
      </c>
      <c r="T38" s="190">
        <f t="shared" si="58"/>
        <v>0</v>
      </c>
      <c r="U38" s="189">
        <f>SUMIFS(Table1[[المنصرف ]],Table1[[نوع المصروف ]],$A:$A,Table1[[الشهر ]],$O$1,Table1[الفرع],'تحليلات 2024'!$H$20)</f>
        <v>0</v>
      </c>
      <c r="V38" s="190">
        <f t="shared" si="59"/>
        <v>0</v>
      </c>
      <c r="W38" s="189">
        <f>SUMIFS(Table1[[المنصرف ]],Table1[[نوع المصروف ]],$A:$A,Table1[[الشهر ]],$O$1,Table1[الفرع],'تحليلات 2024'!$J$20)</f>
        <v>228</v>
      </c>
      <c r="X38" s="190">
        <f t="shared" si="60"/>
        <v>2.7184332081585296E-4</v>
      </c>
      <c r="Y38" s="189">
        <f t="shared" si="44"/>
        <v>1796</v>
      </c>
      <c r="Z38" s="190">
        <f t="shared" si="61"/>
        <v>2.14136229905821E-3</v>
      </c>
      <c r="AB38" s="189">
        <f>SUMIFS(Table1[[المنصرف ]],Table1[[نوع المصروف ]],$A:$A,Table1[[الشهر ]],$AB$1,Table1[الفرع],'تحليلات 2024'!$B$20)</f>
        <v>0</v>
      </c>
      <c r="AC38" s="190">
        <f t="shared" si="62"/>
        <v>0</v>
      </c>
      <c r="AD38" s="189">
        <f>SUMIFS(Table1[[المنصرف ]],Table1[[نوع المصروف ]],$A:$A,Table1[[الشهر ]],$AB$1,Table1[الفرع],'تحليلات 2024'!$D$20)</f>
        <v>0</v>
      </c>
      <c r="AE38" s="190">
        <f t="shared" si="63"/>
        <v>0</v>
      </c>
      <c r="AF38" s="189">
        <f>SUMIFS(Table1[[المنصرف ]],Table1[[نوع المصروف ]],$A:$A,Table1[[الشهر ]],$AB$1,Table1[الفرع],'تحليلات 2024'!$F$20)</f>
        <v>0</v>
      </c>
      <c r="AG38" s="190">
        <f t="shared" si="64"/>
        <v>0</v>
      </c>
      <c r="AH38" s="189">
        <f>SUMIFS(Table1[[المنصرف ]],Table1[[نوع المصروف ]],$A:$A,Table1[[الشهر ]],$AB$1,Table1[الفرع],'تحليلات 2024'!$H$20)</f>
        <v>0</v>
      </c>
      <c r="AI38" s="190">
        <f t="shared" si="65"/>
        <v>0</v>
      </c>
      <c r="AJ38" s="189">
        <f>SUMIFS(Table1[[المنصرف ]],Table1[[نوع المصروف ]],$A:$A,Table1[[الشهر ]],$AB$1,Table1[الفرع],'تحليلات 2024'!$J$20)</f>
        <v>0</v>
      </c>
      <c r="AK38" s="190">
        <f t="shared" si="66"/>
        <v>0</v>
      </c>
      <c r="AL38" s="189">
        <f t="shared" si="49"/>
        <v>0</v>
      </c>
      <c r="AM38" s="190">
        <f t="shared" si="67"/>
        <v>0</v>
      </c>
      <c r="AO38" s="189">
        <f>SUMIFS(Table1[[المنصرف ]],Table1[[نوع المصروف ]],$A:$A,Table1[[الشهر ]],$AO$1,Table1[الفرع],'تحليلات 2024'!$B$20)</f>
        <v>0</v>
      </c>
      <c r="AP38" s="190">
        <f t="shared" si="68"/>
        <v>0</v>
      </c>
      <c r="AQ38" s="189">
        <f>SUMIFS(Table1[[المنصرف ]],Table1[[نوع المصروف ]],$A:$A,Table1[[الشهر ]],$AO$1,Table1[الفرع],'تحليلات 2024'!$D$20)</f>
        <v>0</v>
      </c>
      <c r="AR38" s="190">
        <f t="shared" si="69"/>
        <v>0</v>
      </c>
      <c r="AS38" s="189">
        <f>SUMIFS(Table1[[المنصرف ]],Table1[[نوع المصروف ]],$A:$A,Table1[[الشهر ]],$AO$1,Table1[الفرع],'تحليلات 2024'!$F$20)</f>
        <v>0</v>
      </c>
      <c r="AT38" s="190">
        <f t="shared" si="70"/>
        <v>0</v>
      </c>
      <c r="AU38" s="189">
        <f>SUMIFS(Table1[[المنصرف ]],Table1[[نوع المصروف ]],$A:$A,Table1[[الشهر ]],$AO$1,Table1[الفرع],'تحليلات 2024'!$H$20)</f>
        <v>0</v>
      </c>
      <c r="AV38" s="190">
        <f t="shared" si="71"/>
        <v>0</v>
      </c>
      <c r="AW38" s="189">
        <f>SUMIFS(Table1[[المنصرف ]],Table1[[نوع المصروف ]],$A:$A,Table1[[الشهر ]],$AO$1,Table1[الفرع],'تحليلات 2024'!$J$20)</f>
        <v>0</v>
      </c>
      <c r="AX38" s="190">
        <f t="shared" si="72"/>
        <v>0</v>
      </c>
      <c r="AY38" s="189">
        <f t="shared" si="54"/>
        <v>0</v>
      </c>
      <c r="AZ38" s="190">
        <f t="shared" si="73"/>
        <v>0</v>
      </c>
    </row>
    <row r="39" spans="1:52">
      <c r="A39" s="200" t="s">
        <v>302</v>
      </c>
      <c r="B39" s="189">
        <f>SUMIFS(Table1[[المنصرف ]],Table1[[نوع المصروف ]],$A:$A,Table1[[الشهر ]],$B$1,Table1[الفرع],'تحليلات 2024'!$B$20)</f>
        <v>0</v>
      </c>
      <c r="C39" s="190">
        <f t="shared" si="35"/>
        <v>0</v>
      </c>
      <c r="D39" s="189">
        <f>SUMIFS(Table1[[المنصرف ]],Table1[[نوع المصروف ]],$A:$A,Table1[[الشهر ]],$B$1,Table1[الفرع],'تحليلات 2024'!$D$20)</f>
        <v>0</v>
      </c>
      <c r="E39" s="190">
        <f t="shared" si="36"/>
        <v>0</v>
      </c>
      <c r="F39" s="189">
        <f>SUMIFS(Table1[[المنصرف ]],Table1[[نوع المصروف ]],$A:$A,Table1[[الشهر ]],$B$1,Table1[الفرع],'تحليلات 2024'!$F$20)</f>
        <v>0</v>
      </c>
      <c r="G39" s="190">
        <f t="shared" si="37"/>
        <v>0</v>
      </c>
      <c r="H39" s="189">
        <f>SUMIFS(Table1[[المنصرف ]],Table1[[نوع المصروف ]],$A:$A,Table1[[الشهر ]],$B$1,Table1[الفرع],'تحليلات 2024'!$H$20)</f>
        <v>0</v>
      </c>
      <c r="I39" s="190">
        <f t="shared" si="28"/>
        <v>0</v>
      </c>
      <c r="J39" s="189">
        <f>SUMIFS(Table1[[المنصرف ]],Table1[[نوع المصروف ]],$A:$A,Table1[[الشهر ]],$B$1,Table1[الفرع],'تحليلات 2024'!$J$20)</f>
        <v>1337.4210600000001</v>
      </c>
      <c r="K39" s="190">
        <f t="shared" si="38"/>
        <v>1.5946007994713078E-3</v>
      </c>
      <c r="L39" s="189">
        <f t="shared" si="39"/>
        <v>1337.4210600000001</v>
      </c>
      <c r="M39" s="190">
        <f t="shared" si="40"/>
        <v>1.5946007994713078E-3</v>
      </c>
      <c r="O39" s="189">
        <f>SUMIFS(Table1[[المنصرف ]],Table1[[نوع المصروف ]],$A:$A,Table1[[الشهر ]],$O$1,Table1[الفرع],'تحليلات 2024'!$B$20)</f>
        <v>0</v>
      </c>
      <c r="P39" s="190">
        <f t="shared" si="56"/>
        <v>0</v>
      </c>
      <c r="Q39" s="189">
        <f>SUMIFS(Table1[[المنصرف ]],Table1[[نوع المصروف ]],$A:$A,Table1[[الشهر ]],$O$1,Table1[الفرع],'تحليلات 2024'!$D$20)</f>
        <v>0</v>
      </c>
      <c r="R39" s="190">
        <f t="shared" si="57"/>
        <v>0</v>
      </c>
      <c r="S39" s="189">
        <f>SUMIFS(Table1[[المنصرف ]],Table1[[نوع المصروف ]],$A:$A,Table1[[الشهر ]],$O$1,Table1[الفرع],'تحليلات 2024'!$F$20)</f>
        <v>0</v>
      </c>
      <c r="T39" s="190">
        <f t="shared" si="58"/>
        <v>0</v>
      </c>
      <c r="U39" s="189">
        <f>SUMIFS(Table1[[المنصرف ]],Table1[[نوع المصروف ]],$A:$A,Table1[[الشهر ]],$O$1,Table1[الفرع],'تحليلات 2024'!$H$20)</f>
        <v>0</v>
      </c>
      <c r="V39" s="190">
        <f t="shared" si="59"/>
        <v>0</v>
      </c>
      <c r="W39" s="189">
        <f>SUMIFS(Table1[[المنصرف ]],Table1[[نوع المصروف ]],$A:$A,Table1[[الشهر ]],$O$1,Table1[الفرع],'تحليلات 2024'!$J$20)</f>
        <v>360</v>
      </c>
      <c r="X39" s="190">
        <f t="shared" si="60"/>
        <v>4.2922629602503099E-4</v>
      </c>
      <c r="Y39" s="189">
        <f t="shared" si="44"/>
        <v>360</v>
      </c>
      <c r="Z39" s="190">
        <f t="shared" si="61"/>
        <v>4.2922629602503099E-4</v>
      </c>
      <c r="AB39" s="189">
        <f>SUMIFS(Table1[[المنصرف ]],Table1[[نوع المصروف ]],$A:$A,Table1[[الشهر ]],$AB$1,Table1[الفرع],'تحليلات 2024'!$B$20)</f>
        <v>0</v>
      </c>
      <c r="AC39" s="190">
        <f t="shared" si="62"/>
        <v>0</v>
      </c>
      <c r="AD39" s="189">
        <f>SUMIFS(Table1[[المنصرف ]],Table1[[نوع المصروف ]],$A:$A,Table1[[الشهر ]],$AB$1,Table1[الفرع],'تحليلات 2024'!$D$20)</f>
        <v>0</v>
      </c>
      <c r="AE39" s="190">
        <f t="shared" si="63"/>
        <v>0</v>
      </c>
      <c r="AF39" s="189">
        <f>SUMIFS(Table1[[المنصرف ]],Table1[[نوع المصروف ]],$A:$A,Table1[[الشهر ]],$AB$1,Table1[الفرع],'تحليلات 2024'!$F$20)</f>
        <v>0</v>
      </c>
      <c r="AG39" s="190">
        <f t="shared" si="64"/>
        <v>0</v>
      </c>
      <c r="AH39" s="189">
        <f>SUMIFS(Table1[[المنصرف ]],Table1[[نوع المصروف ]],$A:$A,Table1[[الشهر ]],$AB$1,Table1[الفرع],'تحليلات 2024'!$H$20)</f>
        <v>0</v>
      </c>
      <c r="AI39" s="190">
        <f t="shared" si="65"/>
        <v>0</v>
      </c>
      <c r="AJ39" s="189">
        <f>SUMIFS(Table1[[المنصرف ]],Table1[[نوع المصروف ]],$A:$A,Table1[[الشهر ]],$AB$1,Table1[الفرع],'تحليلات 2024'!$J$20)</f>
        <v>0</v>
      </c>
      <c r="AK39" s="190">
        <f t="shared" si="66"/>
        <v>0</v>
      </c>
      <c r="AL39" s="189">
        <f t="shared" si="49"/>
        <v>0</v>
      </c>
      <c r="AM39" s="190">
        <f t="shared" si="67"/>
        <v>0</v>
      </c>
      <c r="AO39" s="189">
        <f>SUMIFS(Table1[[المنصرف ]],Table1[[نوع المصروف ]],$A:$A,Table1[[الشهر ]],$AO$1,Table1[الفرع],'تحليلات 2024'!$B$20)</f>
        <v>0</v>
      </c>
      <c r="AP39" s="190">
        <f t="shared" si="68"/>
        <v>0</v>
      </c>
      <c r="AQ39" s="189">
        <f>SUMIFS(Table1[[المنصرف ]],Table1[[نوع المصروف ]],$A:$A,Table1[[الشهر ]],$AO$1,Table1[الفرع],'تحليلات 2024'!$D$20)</f>
        <v>0</v>
      </c>
      <c r="AR39" s="190">
        <f t="shared" si="69"/>
        <v>0</v>
      </c>
      <c r="AS39" s="189">
        <f>SUMIFS(Table1[[المنصرف ]],Table1[[نوع المصروف ]],$A:$A,Table1[[الشهر ]],$AO$1,Table1[الفرع],'تحليلات 2024'!$F$20)</f>
        <v>0</v>
      </c>
      <c r="AT39" s="190">
        <f t="shared" si="70"/>
        <v>0</v>
      </c>
      <c r="AU39" s="189">
        <f>SUMIFS(Table1[[المنصرف ]],Table1[[نوع المصروف ]],$A:$A,Table1[[الشهر ]],$AO$1,Table1[الفرع],'تحليلات 2024'!$H$20)</f>
        <v>0</v>
      </c>
      <c r="AV39" s="190">
        <f t="shared" si="71"/>
        <v>0</v>
      </c>
      <c r="AW39" s="189">
        <f>SUMIFS(Table1[[المنصرف ]],Table1[[نوع المصروف ]],$A:$A,Table1[[الشهر ]],$AO$1,Table1[الفرع],'تحليلات 2024'!$J$20)</f>
        <v>0</v>
      </c>
      <c r="AX39" s="190">
        <f t="shared" si="72"/>
        <v>0</v>
      </c>
      <c r="AY39" s="189">
        <f t="shared" si="54"/>
        <v>0</v>
      </c>
      <c r="AZ39" s="190">
        <f t="shared" si="73"/>
        <v>0</v>
      </c>
    </row>
    <row r="40" spans="1:52">
      <c r="A40" s="200" t="s">
        <v>121</v>
      </c>
      <c r="B40" s="189">
        <f>SUMIFS(Table1[[المنصرف ]],Table1[[نوع المصروف ]],$A:$A,Table1[[الشهر ]],$B$1,Table1[الفرع],'تحليلات 2024'!$B$20)</f>
        <v>0</v>
      </c>
      <c r="C40" s="190">
        <f t="shared" si="35"/>
        <v>0</v>
      </c>
      <c r="D40" s="189">
        <f>SUMIFS(Table1[[المنصرف ]],Table1[[نوع المصروف ]],$A:$A,Table1[[الشهر ]],$B$1,Table1[الفرع],'تحليلات 2024'!$D$20)</f>
        <v>110</v>
      </c>
      <c r="E40" s="190">
        <f t="shared" si="36"/>
        <v>6.2908645435782811E-4</v>
      </c>
      <c r="F40" s="189">
        <f>SUMIFS(Table1[[المنصرف ]],Table1[[نوع المصروف ]],$A:$A,Table1[[الشهر ]],$B$1,Table1[الفرع],'تحليلات 2024'!$F$20)</f>
        <v>0</v>
      </c>
      <c r="G40" s="190">
        <f t="shared" si="37"/>
        <v>0</v>
      </c>
      <c r="H40" s="189">
        <f>SUMIFS(Table1[[المنصرف ]],Table1[[نوع المصروف ]],$A:$A,Table1[[الشهر ]],$B$1,Table1[الفرع],'تحليلات 2024'!$H$20)</f>
        <v>0</v>
      </c>
      <c r="I40" s="190">
        <f t="shared" si="28"/>
        <v>0</v>
      </c>
      <c r="J40" s="189">
        <f>SUMIFS(Table1[[المنصرف ]],Table1[[نوع المصروف ]],$A:$A,Table1[[الشهر ]],$B$1,Table1[الفرع],'تحليلات 2024'!$J$20)</f>
        <v>0</v>
      </c>
      <c r="K40" s="190">
        <f t="shared" si="38"/>
        <v>0</v>
      </c>
      <c r="L40" s="189">
        <f t="shared" si="39"/>
        <v>110</v>
      </c>
      <c r="M40" s="190">
        <f t="shared" si="40"/>
        <v>1.311524793409817E-4</v>
      </c>
      <c r="O40" s="189">
        <f>SUMIFS(Table1[[المنصرف ]],Table1[[نوع المصروف ]],$A:$A,Table1[[الشهر ]],$O$1,Table1[الفرع],'تحليلات 2024'!$B$20)</f>
        <v>0</v>
      </c>
      <c r="P40" s="190">
        <f t="shared" si="56"/>
        <v>0</v>
      </c>
      <c r="Q40" s="189">
        <f>SUMIFS(Table1[[المنصرف ]],Table1[[نوع المصروف ]],$A:$A,Table1[[الشهر ]],$O$1,Table1[الفرع],'تحليلات 2024'!$D$20)</f>
        <v>0</v>
      </c>
      <c r="R40" s="190">
        <f t="shared" si="57"/>
        <v>0</v>
      </c>
      <c r="S40" s="189">
        <f>SUMIFS(Table1[[المنصرف ]],Table1[[نوع المصروف ]],$A:$A,Table1[[الشهر ]],$O$1,Table1[الفرع],'تحليلات 2024'!$F$20)</f>
        <v>0</v>
      </c>
      <c r="T40" s="190">
        <f t="shared" si="58"/>
        <v>0</v>
      </c>
      <c r="U40" s="189">
        <f>SUMIFS(Table1[[المنصرف ]],Table1[[نوع المصروف ]],$A:$A,Table1[[الشهر ]],$O$1,Table1[الفرع],'تحليلات 2024'!$H$20)</f>
        <v>0</v>
      </c>
      <c r="V40" s="190">
        <f t="shared" si="59"/>
        <v>0</v>
      </c>
      <c r="W40" s="189">
        <f>SUMIFS(Table1[[المنصرف ]],Table1[[نوع المصروف ]],$A:$A,Table1[[الشهر ]],$O$1,Table1[الفرع],'تحليلات 2024'!$J$20)</f>
        <v>0</v>
      </c>
      <c r="X40" s="190">
        <f t="shared" si="60"/>
        <v>0</v>
      </c>
      <c r="Y40" s="189">
        <f t="shared" si="44"/>
        <v>0</v>
      </c>
      <c r="Z40" s="190">
        <f t="shared" si="61"/>
        <v>0</v>
      </c>
      <c r="AB40" s="189">
        <f>SUMIFS(Table1[[المنصرف ]],Table1[[نوع المصروف ]],$A:$A,Table1[[الشهر ]],$AB$1,Table1[الفرع],'تحليلات 2024'!$B$20)</f>
        <v>0</v>
      </c>
      <c r="AC40" s="190">
        <f t="shared" si="62"/>
        <v>0</v>
      </c>
      <c r="AD40" s="189">
        <f>SUMIFS(Table1[[المنصرف ]],Table1[[نوع المصروف ]],$A:$A,Table1[[الشهر ]],$AB$1,Table1[الفرع],'تحليلات 2024'!$D$20)</f>
        <v>0</v>
      </c>
      <c r="AE40" s="190">
        <f t="shared" si="63"/>
        <v>0</v>
      </c>
      <c r="AF40" s="189">
        <f>SUMIFS(Table1[[المنصرف ]],Table1[[نوع المصروف ]],$A:$A,Table1[[الشهر ]],$AB$1,Table1[الفرع],'تحليلات 2024'!$F$20)</f>
        <v>0</v>
      </c>
      <c r="AG40" s="190">
        <f t="shared" si="64"/>
        <v>0</v>
      </c>
      <c r="AH40" s="189">
        <f>SUMIFS(Table1[[المنصرف ]],Table1[[نوع المصروف ]],$A:$A,Table1[[الشهر ]],$AB$1,Table1[الفرع],'تحليلات 2024'!$H$20)</f>
        <v>0</v>
      </c>
      <c r="AI40" s="190">
        <f t="shared" si="65"/>
        <v>0</v>
      </c>
      <c r="AJ40" s="189">
        <f>SUMIFS(Table1[[المنصرف ]],Table1[[نوع المصروف ]],$A:$A,Table1[[الشهر ]],$AB$1,Table1[الفرع],'تحليلات 2024'!$J$20)</f>
        <v>0</v>
      </c>
      <c r="AK40" s="190">
        <f t="shared" si="66"/>
        <v>0</v>
      </c>
      <c r="AL40" s="189">
        <f t="shared" si="49"/>
        <v>0</v>
      </c>
      <c r="AM40" s="190">
        <f t="shared" si="67"/>
        <v>0</v>
      </c>
      <c r="AO40" s="189">
        <f>SUMIFS(Table1[[المنصرف ]],Table1[[نوع المصروف ]],$A:$A,Table1[[الشهر ]],$AO$1,Table1[الفرع],'تحليلات 2024'!$B$20)</f>
        <v>0</v>
      </c>
      <c r="AP40" s="190">
        <f t="shared" si="68"/>
        <v>0</v>
      </c>
      <c r="AQ40" s="189">
        <f>SUMIFS(Table1[[المنصرف ]],Table1[[نوع المصروف ]],$A:$A,Table1[[الشهر ]],$AO$1,Table1[الفرع],'تحليلات 2024'!$D$20)</f>
        <v>0</v>
      </c>
      <c r="AR40" s="190">
        <f t="shared" si="69"/>
        <v>0</v>
      </c>
      <c r="AS40" s="189">
        <f>SUMIFS(Table1[[المنصرف ]],Table1[[نوع المصروف ]],$A:$A,Table1[[الشهر ]],$AO$1,Table1[الفرع],'تحليلات 2024'!$F$20)</f>
        <v>0</v>
      </c>
      <c r="AT40" s="190">
        <f t="shared" si="70"/>
        <v>0</v>
      </c>
      <c r="AU40" s="189">
        <f>SUMIFS(Table1[[المنصرف ]],Table1[[نوع المصروف ]],$A:$A,Table1[[الشهر ]],$AO$1,Table1[الفرع],'تحليلات 2024'!$H$20)</f>
        <v>0</v>
      </c>
      <c r="AV40" s="190">
        <f t="shared" si="71"/>
        <v>0</v>
      </c>
      <c r="AW40" s="189">
        <f>SUMIFS(Table1[[المنصرف ]],Table1[[نوع المصروف ]],$A:$A,Table1[[الشهر ]],$AO$1,Table1[الفرع],'تحليلات 2024'!$J$20)</f>
        <v>0</v>
      </c>
      <c r="AX40" s="190">
        <f t="shared" si="72"/>
        <v>0</v>
      </c>
      <c r="AY40" s="189">
        <f t="shared" si="54"/>
        <v>0</v>
      </c>
      <c r="AZ40" s="190">
        <f t="shared" si="73"/>
        <v>0</v>
      </c>
    </row>
    <row r="41" spans="1:52">
      <c r="A41" s="200" t="s">
        <v>122</v>
      </c>
      <c r="B41" s="189">
        <f>SUMIFS(Table1[[المنصرف ]],Table1[[نوع المصروف ]],$A:$A,Table1[[الشهر ]],$B$1,Table1[الفرع],'تحليلات 2024'!$B$20)</f>
        <v>0</v>
      </c>
      <c r="C41" s="190">
        <f t="shared" si="35"/>
        <v>0</v>
      </c>
      <c r="D41" s="189">
        <f>SUMIFS(Table1[[المنصرف ]],Table1[[نوع المصروف ]],$A:$A,Table1[[الشهر ]],$B$1,Table1[الفرع],'تحليلات 2024'!$D$20)</f>
        <v>360</v>
      </c>
      <c r="E41" s="190">
        <f t="shared" si="36"/>
        <v>2.0588283960801647E-3</v>
      </c>
      <c r="F41" s="189">
        <f>SUMIFS(Table1[[المنصرف ]],Table1[[نوع المصروف ]],$A:$A,Table1[[الشهر ]],$B$1,Table1[الفرع],'تحليلات 2024'!$F$20)</f>
        <v>0</v>
      </c>
      <c r="G41" s="190">
        <f t="shared" si="37"/>
        <v>0</v>
      </c>
      <c r="H41" s="189">
        <f>SUMIFS(Table1[[المنصرف ]],Table1[[نوع المصروف ]],$A:$A,Table1[[الشهر ]],$B$1,Table1[الفرع],'تحليلات 2024'!$H$20)</f>
        <v>0</v>
      </c>
      <c r="I41" s="190">
        <f t="shared" si="28"/>
        <v>0</v>
      </c>
      <c r="J41" s="189">
        <f>SUMIFS(Table1[[المنصرف ]],Table1[[نوع المصروف ]],$A:$A,Table1[[الشهر ]],$B$1,Table1[الفرع],'تحليلات 2024'!$J$20)</f>
        <v>365</v>
      </c>
      <c r="K41" s="190">
        <f t="shared" si="38"/>
        <v>4.3518777235871195E-4</v>
      </c>
      <c r="L41" s="189">
        <f t="shared" si="39"/>
        <v>725</v>
      </c>
      <c r="M41" s="190">
        <f t="shared" si="40"/>
        <v>8.6441406838374299E-4</v>
      </c>
      <c r="O41" s="189">
        <f>SUMIFS(Table1[[المنصرف ]],Table1[[نوع المصروف ]],$A:$A,Table1[[الشهر ]],$O$1,Table1[الفرع],'تحليلات 2024'!$B$20)</f>
        <v>0</v>
      </c>
      <c r="P41" s="190">
        <f t="shared" si="56"/>
        <v>0</v>
      </c>
      <c r="Q41" s="189">
        <f>SUMIFS(Table1[[المنصرف ]],Table1[[نوع المصروف ]],$A:$A,Table1[[الشهر ]],$O$1,Table1[الفرع],'تحليلات 2024'!$D$20)</f>
        <v>0</v>
      </c>
      <c r="R41" s="190">
        <f t="shared" si="57"/>
        <v>0</v>
      </c>
      <c r="S41" s="189">
        <f>SUMIFS(Table1[[المنصرف ]],Table1[[نوع المصروف ]],$A:$A,Table1[[الشهر ]],$O$1,Table1[الفرع],'تحليلات 2024'!$F$20)</f>
        <v>0</v>
      </c>
      <c r="T41" s="190">
        <f t="shared" si="58"/>
        <v>0</v>
      </c>
      <c r="U41" s="189">
        <f>SUMIFS(Table1[[المنصرف ]],Table1[[نوع المصروف ]],$A:$A,Table1[[الشهر ]],$O$1,Table1[الفرع],'تحليلات 2024'!$H$20)</f>
        <v>0</v>
      </c>
      <c r="V41" s="190">
        <f t="shared" si="59"/>
        <v>0</v>
      </c>
      <c r="W41" s="189">
        <f>SUMIFS(Table1[[المنصرف ]],Table1[[نوع المصروف ]],$A:$A,Table1[[الشهر ]],$O$1,Table1[الفرع],'تحليلات 2024'!$J$20)</f>
        <v>0</v>
      </c>
      <c r="X41" s="190">
        <f t="shared" si="60"/>
        <v>0</v>
      </c>
      <c r="Y41" s="189">
        <f t="shared" si="44"/>
        <v>0</v>
      </c>
      <c r="Z41" s="190">
        <f t="shared" si="61"/>
        <v>0</v>
      </c>
      <c r="AB41" s="189">
        <f>SUMIFS(Table1[[المنصرف ]],Table1[[نوع المصروف ]],$A:$A,Table1[[الشهر ]],$AB$1,Table1[الفرع],'تحليلات 2024'!$B$20)</f>
        <v>0</v>
      </c>
      <c r="AC41" s="190">
        <f t="shared" si="62"/>
        <v>0</v>
      </c>
      <c r="AD41" s="189">
        <f>SUMIFS(Table1[[المنصرف ]],Table1[[نوع المصروف ]],$A:$A,Table1[[الشهر ]],$AB$1,Table1[الفرع],'تحليلات 2024'!$D$20)</f>
        <v>0</v>
      </c>
      <c r="AE41" s="190">
        <f t="shared" si="63"/>
        <v>0</v>
      </c>
      <c r="AF41" s="189">
        <f>SUMIFS(Table1[[المنصرف ]],Table1[[نوع المصروف ]],$A:$A,Table1[[الشهر ]],$AB$1,Table1[الفرع],'تحليلات 2024'!$F$20)</f>
        <v>0</v>
      </c>
      <c r="AG41" s="190">
        <f t="shared" si="64"/>
        <v>0</v>
      </c>
      <c r="AH41" s="189">
        <f>SUMIFS(Table1[[المنصرف ]],Table1[[نوع المصروف ]],$A:$A,Table1[[الشهر ]],$AB$1,Table1[الفرع],'تحليلات 2024'!$H$20)</f>
        <v>0</v>
      </c>
      <c r="AI41" s="190">
        <f t="shared" si="65"/>
        <v>0</v>
      </c>
      <c r="AJ41" s="189">
        <f>SUMIFS(Table1[[المنصرف ]],Table1[[نوع المصروف ]],$A:$A,Table1[[الشهر ]],$AB$1,Table1[الفرع],'تحليلات 2024'!$J$20)</f>
        <v>0</v>
      </c>
      <c r="AK41" s="190">
        <f t="shared" si="66"/>
        <v>0</v>
      </c>
      <c r="AL41" s="189">
        <f t="shared" si="49"/>
        <v>0</v>
      </c>
      <c r="AM41" s="190">
        <f t="shared" si="67"/>
        <v>0</v>
      </c>
      <c r="AO41" s="189">
        <f>SUMIFS(Table1[[المنصرف ]],Table1[[نوع المصروف ]],$A:$A,Table1[[الشهر ]],$AO$1,Table1[الفرع],'تحليلات 2024'!$B$20)</f>
        <v>0</v>
      </c>
      <c r="AP41" s="190">
        <f t="shared" si="68"/>
        <v>0</v>
      </c>
      <c r="AQ41" s="189">
        <f>SUMIFS(Table1[[المنصرف ]],Table1[[نوع المصروف ]],$A:$A,Table1[[الشهر ]],$AO$1,Table1[الفرع],'تحليلات 2024'!$D$20)</f>
        <v>0</v>
      </c>
      <c r="AR41" s="190">
        <f t="shared" si="69"/>
        <v>0</v>
      </c>
      <c r="AS41" s="189">
        <f>SUMIFS(Table1[[المنصرف ]],Table1[[نوع المصروف ]],$A:$A,Table1[[الشهر ]],$AO$1,Table1[الفرع],'تحليلات 2024'!$F$20)</f>
        <v>0</v>
      </c>
      <c r="AT41" s="190">
        <f t="shared" si="70"/>
        <v>0</v>
      </c>
      <c r="AU41" s="189">
        <f>SUMIFS(Table1[[المنصرف ]],Table1[[نوع المصروف ]],$A:$A,Table1[[الشهر ]],$AO$1,Table1[الفرع],'تحليلات 2024'!$H$20)</f>
        <v>0</v>
      </c>
      <c r="AV41" s="190">
        <f t="shared" si="71"/>
        <v>0</v>
      </c>
      <c r="AW41" s="189">
        <f>SUMIFS(Table1[[المنصرف ]],Table1[[نوع المصروف ]],$A:$A,Table1[[الشهر ]],$AO$1,Table1[الفرع],'تحليلات 2024'!$J$20)</f>
        <v>0</v>
      </c>
      <c r="AX41" s="190">
        <f t="shared" si="72"/>
        <v>0</v>
      </c>
      <c r="AY41" s="189">
        <f t="shared" si="54"/>
        <v>0</v>
      </c>
      <c r="AZ41" s="190">
        <f t="shared" si="73"/>
        <v>0</v>
      </c>
    </row>
    <row r="42" spans="1:52">
      <c r="A42" s="200" t="s">
        <v>123</v>
      </c>
      <c r="B42" s="189">
        <f>SUMIFS(Table1[[المنصرف ]],Table1[[نوع المصروف ]],$A:$A,Table1[[الشهر ]],$B$1,Table1[الفرع],'تحليلات 2024'!$B$20)</f>
        <v>0</v>
      </c>
      <c r="C42" s="190">
        <f t="shared" si="35"/>
        <v>0</v>
      </c>
      <c r="D42" s="189">
        <f>SUMIFS(Table1[[المنصرف ]],Table1[[نوع المصروف ]],$A:$A,Table1[[الشهر ]],$B$1,Table1[الفرع],'تحليلات 2024'!$D$20)</f>
        <v>1229.7807</v>
      </c>
      <c r="E42" s="190">
        <f t="shared" si="36"/>
        <v>7.0330761836426177E-3</v>
      </c>
      <c r="F42" s="189">
        <f>SUMIFS(Table1[[المنصرف ]],Table1[[نوع المصروف ]],$A:$A,Table1[[الشهر ]],$B$1,Table1[الفرع],'تحليلات 2024'!$F$20)</f>
        <v>0</v>
      </c>
      <c r="G42" s="190">
        <f t="shared" si="37"/>
        <v>0</v>
      </c>
      <c r="H42" s="189">
        <f>SUMIFS(Table1[[المنصرف ]],Table1[[نوع المصروف ]],$A:$A,Table1[[الشهر ]],$B$1,Table1[الفرع],'تحليلات 2024'!$H$20)</f>
        <v>0</v>
      </c>
      <c r="I42" s="190">
        <f t="shared" si="28"/>
        <v>0</v>
      </c>
      <c r="J42" s="189">
        <f>SUMIFS(Table1[[المنصرف ]],Table1[[نوع المصروف ]],$A:$A,Table1[[الشهر ]],$B$1,Table1[الفرع],'تحليلات 2024'!$J$20)</f>
        <v>4760.8771999999999</v>
      </c>
      <c r="K42" s="190">
        <f t="shared" si="38"/>
        <v>5.6763713510722793E-3</v>
      </c>
      <c r="L42" s="189">
        <f t="shared" si="39"/>
        <v>5990.6579000000002</v>
      </c>
      <c r="M42" s="190">
        <f t="shared" si="40"/>
        <v>7.1426330588058072E-3</v>
      </c>
      <c r="O42" s="189">
        <f>SUMIFS(Table1[[المنصرف ]],Table1[[نوع المصروف ]],$A:$A,Table1[[الشهر ]],$O$1,Table1[الفرع],'تحليلات 2024'!$B$20)</f>
        <v>0</v>
      </c>
      <c r="P42" s="190">
        <f t="shared" si="56"/>
        <v>0</v>
      </c>
      <c r="Q42" s="189">
        <f>SUMIFS(Table1[[المنصرف ]],Table1[[نوع المصروف ]],$A:$A,Table1[[الشهر ]],$O$1,Table1[الفرع],'تحليلات 2024'!$D$20)</f>
        <v>0</v>
      </c>
      <c r="R42" s="190">
        <f t="shared" si="57"/>
        <v>0</v>
      </c>
      <c r="S42" s="189">
        <f>SUMIFS(Table1[[المنصرف ]],Table1[[نوع المصروف ]],$A:$A,Table1[[الشهر ]],$O$1,Table1[الفرع],'تحليلات 2024'!$F$20)</f>
        <v>0</v>
      </c>
      <c r="T42" s="190">
        <f t="shared" si="58"/>
        <v>0</v>
      </c>
      <c r="U42" s="189">
        <f>SUMIFS(Table1[[المنصرف ]],Table1[[نوع المصروف ]],$A:$A,Table1[[الشهر ]],$O$1,Table1[الفرع],'تحليلات 2024'!$H$20)</f>
        <v>0</v>
      </c>
      <c r="V42" s="190">
        <f t="shared" si="59"/>
        <v>0</v>
      </c>
      <c r="W42" s="189">
        <f>SUMIFS(Table1[[المنصرف ]],Table1[[نوع المصروف ]],$A:$A,Table1[[الشهر ]],$O$1,Table1[الفرع],'تحليلات 2024'!$J$20)</f>
        <v>3289.02</v>
      </c>
      <c r="X42" s="190">
        <f t="shared" si="60"/>
        <v>3.9214829782006876E-3</v>
      </c>
      <c r="Y42" s="189">
        <f t="shared" si="44"/>
        <v>3289.02</v>
      </c>
      <c r="Z42" s="190">
        <f t="shared" si="61"/>
        <v>3.9214829782006876E-3</v>
      </c>
      <c r="AB42" s="189">
        <f>SUMIFS(Table1[[المنصرف ]],Table1[[نوع المصروف ]],$A:$A,Table1[[الشهر ]],$AB$1,Table1[الفرع],'تحليلات 2024'!$B$20)</f>
        <v>0</v>
      </c>
      <c r="AC42" s="190">
        <f t="shared" si="62"/>
        <v>0</v>
      </c>
      <c r="AD42" s="189">
        <f>SUMIFS(Table1[[المنصرف ]],Table1[[نوع المصروف ]],$A:$A,Table1[[الشهر ]],$AB$1,Table1[الفرع],'تحليلات 2024'!$D$20)</f>
        <v>0</v>
      </c>
      <c r="AE42" s="190">
        <f t="shared" si="63"/>
        <v>0</v>
      </c>
      <c r="AF42" s="189">
        <f>SUMIFS(Table1[[المنصرف ]],Table1[[نوع المصروف ]],$A:$A,Table1[[الشهر ]],$AB$1,Table1[الفرع],'تحليلات 2024'!$F$20)</f>
        <v>0</v>
      </c>
      <c r="AG42" s="190">
        <f t="shared" si="64"/>
        <v>0</v>
      </c>
      <c r="AH42" s="189">
        <f>SUMIFS(Table1[[المنصرف ]],Table1[[نوع المصروف ]],$A:$A,Table1[[الشهر ]],$AB$1,Table1[الفرع],'تحليلات 2024'!$H$20)</f>
        <v>0</v>
      </c>
      <c r="AI42" s="190">
        <f t="shared" si="65"/>
        <v>0</v>
      </c>
      <c r="AJ42" s="189">
        <f>SUMIFS(Table1[[المنصرف ]],Table1[[نوع المصروف ]],$A:$A,Table1[[الشهر ]],$AB$1,Table1[الفرع],'تحليلات 2024'!$J$20)</f>
        <v>0</v>
      </c>
      <c r="AK42" s="190">
        <f t="shared" si="66"/>
        <v>0</v>
      </c>
      <c r="AL42" s="189">
        <f t="shared" si="49"/>
        <v>0</v>
      </c>
      <c r="AM42" s="190">
        <f t="shared" si="67"/>
        <v>0</v>
      </c>
      <c r="AO42" s="189">
        <f>SUMIFS(Table1[[المنصرف ]],Table1[[نوع المصروف ]],$A:$A,Table1[[الشهر ]],$AO$1,Table1[الفرع],'تحليلات 2024'!$B$20)</f>
        <v>0</v>
      </c>
      <c r="AP42" s="190">
        <f t="shared" si="68"/>
        <v>0</v>
      </c>
      <c r="AQ42" s="189">
        <f>SUMIFS(Table1[[المنصرف ]],Table1[[نوع المصروف ]],$A:$A,Table1[[الشهر ]],$AO$1,Table1[الفرع],'تحليلات 2024'!$D$20)</f>
        <v>0</v>
      </c>
      <c r="AR42" s="190">
        <f t="shared" si="69"/>
        <v>0</v>
      </c>
      <c r="AS42" s="189">
        <f>SUMIFS(Table1[[المنصرف ]],Table1[[نوع المصروف ]],$A:$A,Table1[[الشهر ]],$AO$1,Table1[الفرع],'تحليلات 2024'!$F$20)</f>
        <v>0</v>
      </c>
      <c r="AT42" s="190">
        <f t="shared" si="70"/>
        <v>0</v>
      </c>
      <c r="AU42" s="189">
        <f>SUMIFS(Table1[[المنصرف ]],Table1[[نوع المصروف ]],$A:$A,Table1[[الشهر ]],$AO$1,Table1[الفرع],'تحليلات 2024'!$H$20)</f>
        <v>0</v>
      </c>
      <c r="AV42" s="190">
        <f t="shared" si="71"/>
        <v>0</v>
      </c>
      <c r="AW42" s="189">
        <f>SUMIFS(Table1[[المنصرف ]],Table1[[نوع المصروف ]],$A:$A,Table1[[الشهر ]],$AO$1,Table1[الفرع],'تحليلات 2024'!$J$20)</f>
        <v>0</v>
      </c>
      <c r="AX42" s="190">
        <f t="shared" si="72"/>
        <v>0</v>
      </c>
      <c r="AY42" s="189">
        <f t="shared" si="54"/>
        <v>0</v>
      </c>
      <c r="AZ42" s="190">
        <f t="shared" si="73"/>
        <v>0</v>
      </c>
    </row>
    <row r="43" spans="1:52">
      <c r="A43" s="200" t="s">
        <v>124</v>
      </c>
      <c r="B43" s="189">
        <f>SUMIFS(Table1[[المنصرف ]],Table1[[نوع المصروف ]],$A:$A,Table1[[الشهر ]],$B$1,Table1[الفرع],'تحليلات 2024'!$B$20)</f>
        <v>0</v>
      </c>
      <c r="C43" s="190">
        <f t="shared" si="35"/>
        <v>0</v>
      </c>
      <c r="D43" s="189">
        <f>SUMIFS(Table1[[المنصرف ]],Table1[[نوع المصروف ]],$A:$A,Table1[[الشهر ]],$B$1,Table1[الفرع],'تحليلات 2024'!$D$20)</f>
        <v>100</v>
      </c>
      <c r="E43" s="190">
        <f t="shared" si="36"/>
        <v>5.7189677668893464E-4</v>
      </c>
      <c r="F43" s="189">
        <f>SUMIFS(Table1[[المنصرف ]],Table1[[نوع المصروف ]],$A:$A,Table1[[الشهر ]],$B$1,Table1[الفرع],'تحليلات 2024'!$F$20)</f>
        <v>512.5</v>
      </c>
      <c r="G43" s="190">
        <f t="shared" si="37"/>
        <v>0</v>
      </c>
      <c r="H43" s="189">
        <f>SUMIFS(Table1[[المنصرف ]],Table1[[نوع المصروف ]],$A:$A,Table1[[الشهر ]],$B$1,Table1[الفرع],'تحليلات 2024'!$H$20)</f>
        <v>0</v>
      </c>
      <c r="I43" s="190">
        <f t="shared" si="28"/>
        <v>0</v>
      </c>
      <c r="J43" s="189">
        <f>SUMIFS(Table1[[المنصرف ]],Table1[[نوع المصروف ]],$A:$A,Table1[[الشهر ]],$B$1,Table1[الفرع],'تحليلات 2024'!$J$20)</f>
        <v>400</v>
      </c>
      <c r="K43" s="190">
        <f t="shared" si="38"/>
        <v>4.7691810669447888E-4</v>
      </c>
      <c r="L43" s="189">
        <f t="shared" si="39"/>
        <v>1012.5</v>
      </c>
      <c r="M43" s="190">
        <f t="shared" si="40"/>
        <v>1.2071989575703995E-3</v>
      </c>
      <c r="O43" s="189">
        <f>SUMIFS(Table1[[المنصرف ]],Table1[[نوع المصروف ]],$A:$A,Table1[[الشهر ]],$O$1,Table1[الفرع],'تحليلات 2024'!$B$20)</f>
        <v>0</v>
      </c>
      <c r="P43" s="190">
        <f t="shared" si="56"/>
        <v>0</v>
      </c>
      <c r="Q43" s="189">
        <f>SUMIFS(Table1[[المنصرف ]],Table1[[نوع المصروف ]],$A:$A,Table1[[الشهر ]],$O$1,Table1[الفرع],'تحليلات 2024'!$D$20)</f>
        <v>0</v>
      </c>
      <c r="R43" s="190">
        <f t="shared" si="57"/>
        <v>0</v>
      </c>
      <c r="S43" s="189">
        <f>SUMIFS(Table1[[المنصرف ]],Table1[[نوع المصروف ]],$A:$A,Table1[[الشهر ]],$O$1,Table1[الفرع],'تحليلات 2024'!$F$20)</f>
        <v>2205</v>
      </c>
      <c r="T43" s="190">
        <f t="shared" si="58"/>
        <v>0</v>
      </c>
      <c r="U43" s="189">
        <f>SUMIFS(Table1[[المنصرف ]],Table1[[نوع المصروف ]],$A:$A,Table1[[الشهر ]],$O$1,Table1[الفرع],'تحليلات 2024'!$H$20)</f>
        <v>0</v>
      </c>
      <c r="V43" s="190">
        <f t="shared" si="59"/>
        <v>0</v>
      </c>
      <c r="W43" s="189">
        <f>SUMIFS(Table1[[المنصرف ]],Table1[[نوع المصروف ]],$A:$A,Table1[[الشهر ]],$O$1,Table1[الفرع],'تحليلات 2024'!$J$20)</f>
        <v>1200</v>
      </c>
      <c r="X43" s="190">
        <f t="shared" si="60"/>
        <v>1.4307543200834365E-3</v>
      </c>
      <c r="Y43" s="189">
        <f t="shared" si="44"/>
        <v>3405</v>
      </c>
      <c r="Z43" s="190">
        <f t="shared" si="61"/>
        <v>4.0597653832367513E-3</v>
      </c>
      <c r="AB43" s="189">
        <f>SUMIFS(Table1[[المنصرف ]],Table1[[نوع المصروف ]],$A:$A,Table1[[الشهر ]],$AB$1,Table1[الفرع],'تحليلات 2024'!$B$20)</f>
        <v>0</v>
      </c>
      <c r="AC43" s="190">
        <f t="shared" si="62"/>
        <v>0</v>
      </c>
      <c r="AD43" s="189">
        <f>SUMIFS(Table1[[المنصرف ]],Table1[[نوع المصروف ]],$A:$A,Table1[[الشهر ]],$AB$1,Table1[الفرع],'تحليلات 2024'!$D$20)</f>
        <v>0</v>
      </c>
      <c r="AE43" s="190">
        <f t="shared" si="63"/>
        <v>0</v>
      </c>
      <c r="AF43" s="189">
        <f>SUMIFS(Table1[[المنصرف ]],Table1[[نوع المصروف ]],$A:$A,Table1[[الشهر ]],$AB$1,Table1[الفرع],'تحليلات 2024'!$F$20)</f>
        <v>0</v>
      </c>
      <c r="AG43" s="190">
        <f t="shared" si="64"/>
        <v>0</v>
      </c>
      <c r="AH43" s="189">
        <f>SUMIFS(Table1[[المنصرف ]],Table1[[نوع المصروف ]],$A:$A,Table1[[الشهر ]],$AB$1,Table1[الفرع],'تحليلات 2024'!$H$20)</f>
        <v>0</v>
      </c>
      <c r="AI43" s="190">
        <f t="shared" si="65"/>
        <v>0</v>
      </c>
      <c r="AJ43" s="189">
        <f>SUMIFS(Table1[[المنصرف ]],Table1[[نوع المصروف ]],$A:$A,Table1[[الشهر ]],$AB$1,Table1[الفرع],'تحليلات 2024'!$J$20)</f>
        <v>0</v>
      </c>
      <c r="AK43" s="190">
        <f t="shared" si="66"/>
        <v>0</v>
      </c>
      <c r="AL43" s="189">
        <f t="shared" si="49"/>
        <v>0</v>
      </c>
      <c r="AM43" s="190">
        <f t="shared" si="67"/>
        <v>0</v>
      </c>
      <c r="AO43" s="189">
        <f>SUMIFS(Table1[[المنصرف ]],Table1[[نوع المصروف ]],$A:$A,Table1[[الشهر ]],$AO$1,Table1[الفرع],'تحليلات 2024'!$B$20)</f>
        <v>0</v>
      </c>
      <c r="AP43" s="190">
        <f t="shared" si="68"/>
        <v>0</v>
      </c>
      <c r="AQ43" s="189">
        <f>SUMIFS(Table1[[المنصرف ]],Table1[[نوع المصروف ]],$A:$A,Table1[[الشهر ]],$AO$1,Table1[الفرع],'تحليلات 2024'!$D$20)</f>
        <v>0</v>
      </c>
      <c r="AR43" s="190">
        <f t="shared" si="69"/>
        <v>0</v>
      </c>
      <c r="AS43" s="189">
        <f>SUMIFS(Table1[[المنصرف ]],Table1[[نوع المصروف ]],$A:$A,Table1[[الشهر ]],$AO$1,Table1[الفرع],'تحليلات 2024'!$F$20)</f>
        <v>0</v>
      </c>
      <c r="AT43" s="190">
        <f t="shared" si="70"/>
        <v>0</v>
      </c>
      <c r="AU43" s="189">
        <f>SUMIFS(Table1[[المنصرف ]],Table1[[نوع المصروف ]],$A:$A,Table1[[الشهر ]],$AO$1,Table1[الفرع],'تحليلات 2024'!$H$20)</f>
        <v>0</v>
      </c>
      <c r="AV43" s="190">
        <f t="shared" si="71"/>
        <v>0</v>
      </c>
      <c r="AW43" s="189">
        <f>SUMIFS(Table1[[المنصرف ]],Table1[[نوع المصروف ]],$A:$A,Table1[[الشهر ]],$AO$1,Table1[الفرع],'تحليلات 2024'!$J$20)</f>
        <v>0</v>
      </c>
      <c r="AX43" s="190">
        <f t="shared" si="72"/>
        <v>0</v>
      </c>
      <c r="AY43" s="189">
        <f t="shared" si="54"/>
        <v>0</v>
      </c>
      <c r="AZ43" s="190">
        <f t="shared" si="73"/>
        <v>0</v>
      </c>
    </row>
    <row r="44" spans="1:52">
      <c r="A44" s="200" t="s">
        <v>125</v>
      </c>
      <c r="B44" s="189">
        <f>SUMIFS(Table1[[المنصرف ]],Table1[[نوع المصروف ]],$A:$A,Table1[[الشهر ]],$B$1,Table1[الفرع],'تحليلات 2024'!$B$20)</f>
        <v>0</v>
      </c>
      <c r="C44" s="190">
        <f t="shared" si="35"/>
        <v>0</v>
      </c>
      <c r="D44" s="189">
        <f>SUMIFS(Table1[[المنصرف ]],Table1[[نوع المصروف ]],$A:$A,Table1[[الشهر ]],$B$1,Table1[الفرع],'تحليلات 2024'!$D$20)</f>
        <v>0</v>
      </c>
      <c r="E44" s="190">
        <f t="shared" si="36"/>
        <v>0</v>
      </c>
      <c r="F44" s="189">
        <f>SUMIFS(Table1[[المنصرف ]],Table1[[نوع المصروف ]],$A:$A,Table1[[الشهر ]],$B$1,Table1[الفرع],'تحليلات 2024'!$F$20)</f>
        <v>0</v>
      </c>
      <c r="G44" s="190">
        <f t="shared" si="37"/>
        <v>0</v>
      </c>
      <c r="H44" s="189">
        <f>SUMIFS(Table1[[المنصرف ]],Table1[[نوع المصروف ]],$A:$A,Table1[[الشهر ]],$B$1,Table1[الفرع],'تحليلات 2024'!$H$20)</f>
        <v>0</v>
      </c>
      <c r="I44" s="190">
        <f t="shared" si="28"/>
        <v>0</v>
      </c>
      <c r="J44" s="189">
        <f>SUMIFS(Table1[[المنصرف ]],Table1[[نوع المصروف ]],$A:$A,Table1[[الشهر ]],$B$1,Table1[الفرع],'تحليلات 2024'!$J$20)</f>
        <v>12203.01</v>
      </c>
      <c r="K44" s="190">
        <f t="shared" si="38"/>
        <v>1.4549591062934481E-2</v>
      </c>
      <c r="L44" s="189">
        <f t="shared" si="39"/>
        <v>12203.01</v>
      </c>
      <c r="M44" s="190">
        <f t="shared" si="40"/>
        <v>1.4549591062934481E-2</v>
      </c>
      <c r="O44" s="189">
        <f>SUMIFS(Table1[[المنصرف ]],Table1[[نوع المصروف ]],$A:$A,Table1[[الشهر ]],$O$1,Table1[الفرع],'تحليلات 2024'!$B$20)</f>
        <v>0</v>
      </c>
      <c r="P44" s="190">
        <f t="shared" si="56"/>
        <v>0</v>
      </c>
      <c r="Q44" s="189">
        <f>SUMIFS(Table1[[المنصرف ]],Table1[[نوع المصروف ]],$A:$A,Table1[[الشهر ]],$O$1,Table1[الفرع],'تحليلات 2024'!$D$20)</f>
        <v>0</v>
      </c>
      <c r="R44" s="190">
        <f t="shared" si="57"/>
        <v>0</v>
      </c>
      <c r="S44" s="189">
        <f>SUMIFS(Table1[[المنصرف ]],Table1[[نوع المصروف ]],$A:$A,Table1[[الشهر ]],$O$1,Table1[الفرع],'تحليلات 2024'!$F$20)</f>
        <v>0</v>
      </c>
      <c r="T44" s="190">
        <f t="shared" si="58"/>
        <v>0</v>
      </c>
      <c r="U44" s="189">
        <f>SUMIFS(Table1[[المنصرف ]],Table1[[نوع المصروف ]],$A:$A,Table1[[الشهر ]],$O$1,Table1[الفرع],'تحليلات 2024'!$H$20)</f>
        <v>0</v>
      </c>
      <c r="V44" s="190">
        <f t="shared" si="59"/>
        <v>0</v>
      </c>
      <c r="W44" s="189">
        <f>SUMIFS(Table1[[المنصرف ]],Table1[[نوع المصروف ]],$A:$A,Table1[[الشهر ]],$O$1,Table1[الفرع],'تحليلات 2024'!$J$20)</f>
        <v>6759.8</v>
      </c>
      <c r="X44" s="190">
        <f t="shared" si="60"/>
        <v>8.0596775440833456E-3</v>
      </c>
      <c r="Y44" s="189">
        <f t="shared" si="44"/>
        <v>6759.8</v>
      </c>
      <c r="Z44" s="190">
        <f t="shared" si="61"/>
        <v>8.0596775440833456E-3</v>
      </c>
      <c r="AB44" s="189">
        <f>SUMIFS(Table1[[المنصرف ]],Table1[[نوع المصروف ]],$A:$A,Table1[[الشهر ]],$AB$1,Table1[الفرع],'تحليلات 2024'!$B$20)</f>
        <v>0</v>
      </c>
      <c r="AC44" s="190">
        <f t="shared" si="62"/>
        <v>0</v>
      </c>
      <c r="AD44" s="189">
        <f>SUMIFS(Table1[[المنصرف ]],Table1[[نوع المصروف ]],$A:$A,Table1[[الشهر ]],$AB$1,Table1[الفرع],'تحليلات 2024'!$D$20)</f>
        <v>0</v>
      </c>
      <c r="AE44" s="190">
        <f t="shared" si="63"/>
        <v>0</v>
      </c>
      <c r="AF44" s="189">
        <f>SUMIFS(Table1[[المنصرف ]],Table1[[نوع المصروف ]],$A:$A,Table1[[الشهر ]],$AB$1,Table1[الفرع],'تحليلات 2024'!$F$20)</f>
        <v>0</v>
      </c>
      <c r="AG44" s="190">
        <f t="shared" si="64"/>
        <v>0</v>
      </c>
      <c r="AH44" s="189">
        <f>SUMIFS(Table1[[المنصرف ]],Table1[[نوع المصروف ]],$A:$A,Table1[[الشهر ]],$AB$1,Table1[الفرع],'تحليلات 2024'!$H$20)</f>
        <v>0</v>
      </c>
      <c r="AI44" s="190">
        <f t="shared" si="65"/>
        <v>0</v>
      </c>
      <c r="AJ44" s="189">
        <f>SUMIFS(Table1[[المنصرف ]],Table1[[نوع المصروف ]],$A:$A,Table1[[الشهر ]],$AB$1,Table1[الفرع],'تحليلات 2024'!$J$20)</f>
        <v>0</v>
      </c>
      <c r="AK44" s="190">
        <f t="shared" si="66"/>
        <v>0</v>
      </c>
      <c r="AL44" s="189">
        <f t="shared" si="49"/>
        <v>0</v>
      </c>
      <c r="AM44" s="190">
        <f t="shared" si="67"/>
        <v>0</v>
      </c>
      <c r="AO44" s="189">
        <f>SUMIFS(Table1[[المنصرف ]],Table1[[نوع المصروف ]],$A:$A,Table1[[الشهر ]],$AO$1,Table1[الفرع],'تحليلات 2024'!$B$20)</f>
        <v>0</v>
      </c>
      <c r="AP44" s="190">
        <f t="shared" si="68"/>
        <v>0</v>
      </c>
      <c r="AQ44" s="189">
        <f>SUMIFS(Table1[[المنصرف ]],Table1[[نوع المصروف ]],$A:$A,Table1[[الشهر ]],$AO$1,Table1[الفرع],'تحليلات 2024'!$D$20)</f>
        <v>0</v>
      </c>
      <c r="AR44" s="190">
        <f t="shared" si="69"/>
        <v>0</v>
      </c>
      <c r="AS44" s="189">
        <f>SUMIFS(Table1[[المنصرف ]],Table1[[نوع المصروف ]],$A:$A,Table1[[الشهر ]],$AO$1,Table1[الفرع],'تحليلات 2024'!$F$20)</f>
        <v>0</v>
      </c>
      <c r="AT44" s="190">
        <f t="shared" si="70"/>
        <v>0</v>
      </c>
      <c r="AU44" s="189">
        <f>SUMIFS(Table1[[المنصرف ]],Table1[[نوع المصروف ]],$A:$A,Table1[[الشهر ]],$AO$1,Table1[الفرع],'تحليلات 2024'!$H$20)</f>
        <v>0</v>
      </c>
      <c r="AV44" s="190">
        <f t="shared" si="71"/>
        <v>0</v>
      </c>
      <c r="AW44" s="189">
        <f>SUMIFS(Table1[[المنصرف ]],Table1[[نوع المصروف ]],$A:$A,Table1[[الشهر ]],$AO$1,Table1[الفرع],'تحليلات 2024'!$J$20)</f>
        <v>0</v>
      </c>
      <c r="AX44" s="190">
        <f t="shared" si="72"/>
        <v>0</v>
      </c>
      <c r="AY44" s="189">
        <f t="shared" si="54"/>
        <v>0</v>
      </c>
      <c r="AZ44" s="190">
        <f t="shared" si="73"/>
        <v>0</v>
      </c>
    </row>
    <row r="45" spans="1:52">
      <c r="A45" s="200" t="s">
        <v>127</v>
      </c>
      <c r="B45" s="189">
        <f>SUMIFS(Table1[[المنصرف ]],Table1[[نوع المصروف ]],$A:$A,Table1[[الشهر ]],$B$1,Table1[الفرع],'تحليلات 2024'!$B$20)</f>
        <v>0</v>
      </c>
      <c r="C45" s="190">
        <f t="shared" si="35"/>
        <v>0</v>
      </c>
      <c r="D45" s="189">
        <f>SUMIFS(Table1[[المنصرف ]],Table1[[نوع المصروف ]],$A:$A,Table1[[الشهر ]],$B$1,Table1[الفرع],'تحليلات 2024'!$D$20)</f>
        <v>185</v>
      </c>
      <c r="E45" s="190">
        <f t="shared" si="36"/>
        <v>1.0580090368745292E-3</v>
      </c>
      <c r="F45" s="189">
        <f>SUMIFS(Table1[[المنصرف ]],Table1[[نوع المصروف ]],$A:$A,Table1[[الشهر ]],$B$1,Table1[الفرع],'تحليلات 2024'!$F$20)</f>
        <v>185</v>
      </c>
      <c r="G45" s="190">
        <f t="shared" si="37"/>
        <v>0</v>
      </c>
      <c r="H45" s="189">
        <f>SUMIFS(Table1[[المنصرف ]],Table1[[نوع المصروف ]],$A:$A,Table1[[الشهر ]],$B$1,Table1[الفرع],'تحليلات 2024'!$H$20)</f>
        <v>0</v>
      </c>
      <c r="I45" s="190">
        <f t="shared" si="28"/>
        <v>0</v>
      </c>
      <c r="J45" s="189">
        <f>SUMIFS(Table1[[المنصرف ]],Table1[[نوع المصروف ]],$A:$A,Table1[[الشهر ]],$B$1,Table1[الفرع],'تحليلات 2024'!$J$20)</f>
        <v>3306</v>
      </c>
      <c r="K45" s="190">
        <f t="shared" si="38"/>
        <v>3.9417281518298675E-3</v>
      </c>
      <c r="L45" s="189">
        <f t="shared" si="39"/>
        <v>3676</v>
      </c>
      <c r="M45" s="190">
        <f t="shared" si="40"/>
        <v>4.3828774005222606E-3</v>
      </c>
      <c r="O45" s="189">
        <f>SUMIFS(Table1[[المنصرف ]],Table1[[نوع المصروف ]],$A:$A,Table1[[الشهر ]],$O$1,Table1[الفرع],'تحليلات 2024'!$B$20)</f>
        <v>0</v>
      </c>
      <c r="P45" s="190">
        <f t="shared" si="56"/>
        <v>0</v>
      </c>
      <c r="Q45" s="189">
        <f>SUMIFS(Table1[[المنصرف ]],Table1[[نوع المصروف ]],$A:$A,Table1[[الشهر ]],$O$1,Table1[الفرع],'تحليلات 2024'!$D$20)</f>
        <v>0</v>
      </c>
      <c r="R45" s="190">
        <f t="shared" si="57"/>
        <v>0</v>
      </c>
      <c r="S45" s="189">
        <f>SUMIFS(Table1[[المنصرف ]],Table1[[نوع المصروف ]],$A:$A,Table1[[الشهر ]],$O$1,Table1[الفرع],'تحليلات 2024'!$F$20)</f>
        <v>526</v>
      </c>
      <c r="T45" s="190">
        <f t="shared" si="58"/>
        <v>0</v>
      </c>
      <c r="U45" s="189">
        <f>SUMIFS(Table1[[المنصرف ]],Table1[[نوع المصروف ]],$A:$A,Table1[[الشهر ]],$O$1,Table1[الفرع],'تحليلات 2024'!$H$20)</f>
        <v>0</v>
      </c>
      <c r="V45" s="190">
        <f t="shared" si="59"/>
        <v>0</v>
      </c>
      <c r="W45" s="189">
        <f>SUMIFS(Table1[[المنصرف ]],Table1[[نوع المصروف ]],$A:$A,Table1[[الشهر ]],$O$1,Table1[الفرع],'تحليلات 2024'!$J$20)</f>
        <v>4235.0000000000009</v>
      </c>
      <c r="X45" s="190">
        <f t="shared" si="60"/>
        <v>5.0493704546277964E-3</v>
      </c>
      <c r="Y45" s="189">
        <f t="shared" si="44"/>
        <v>4761.0000000000009</v>
      </c>
      <c r="Z45" s="190">
        <f t="shared" si="61"/>
        <v>5.6765177649310359E-3</v>
      </c>
      <c r="AB45" s="189">
        <f>SUMIFS(Table1[[المنصرف ]],Table1[[نوع المصروف ]],$A:$A,Table1[[الشهر ]],$AB$1,Table1[الفرع],'تحليلات 2024'!$B$20)</f>
        <v>0</v>
      </c>
      <c r="AC45" s="190">
        <f t="shared" si="62"/>
        <v>0</v>
      </c>
      <c r="AD45" s="189">
        <f>SUMIFS(Table1[[المنصرف ]],Table1[[نوع المصروف ]],$A:$A,Table1[[الشهر ]],$AB$1,Table1[الفرع],'تحليلات 2024'!$D$20)</f>
        <v>0</v>
      </c>
      <c r="AE45" s="190">
        <f t="shared" si="63"/>
        <v>0</v>
      </c>
      <c r="AF45" s="189">
        <f>SUMIFS(Table1[[المنصرف ]],Table1[[نوع المصروف ]],$A:$A,Table1[[الشهر ]],$AB$1,Table1[الفرع],'تحليلات 2024'!$F$20)</f>
        <v>0</v>
      </c>
      <c r="AG45" s="190">
        <f t="shared" si="64"/>
        <v>0</v>
      </c>
      <c r="AH45" s="189">
        <f>SUMIFS(Table1[[المنصرف ]],Table1[[نوع المصروف ]],$A:$A,Table1[[الشهر ]],$AB$1,Table1[الفرع],'تحليلات 2024'!$H$20)</f>
        <v>0</v>
      </c>
      <c r="AI45" s="190">
        <f t="shared" si="65"/>
        <v>0</v>
      </c>
      <c r="AJ45" s="189">
        <f>SUMIFS(Table1[[المنصرف ]],Table1[[نوع المصروف ]],$A:$A,Table1[[الشهر ]],$AB$1,Table1[الفرع],'تحليلات 2024'!$J$20)</f>
        <v>0</v>
      </c>
      <c r="AK45" s="190">
        <f t="shared" si="66"/>
        <v>0</v>
      </c>
      <c r="AL45" s="189">
        <f t="shared" si="49"/>
        <v>0</v>
      </c>
      <c r="AM45" s="190">
        <f t="shared" si="67"/>
        <v>0</v>
      </c>
      <c r="AO45" s="189">
        <f>SUMIFS(Table1[[المنصرف ]],Table1[[نوع المصروف ]],$A:$A,Table1[[الشهر ]],$AO$1,Table1[الفرع],'تحليلات 2024'!$B$20)</f>
        <v>0</v>
      </c>
      <c r="AP45" s="190">
        <f t="shared" si="68"/>
        <v>0</v>
      </c>
      <c r="AQ45" s="189">
        <f>SUMIFS(Table1[[المنصرف ]],Table1[[نوع المصروف ]],$A:$A,Table1[[الشهر ]],$AO$1,Table1[الفرع],'تحليلات 2024'!$D$20)</f>
        <v>0</v>
      </c>
      <c r="AR45" s="190">
        <f t="shared" si="69"/>
        <v>0</v>
      </c>
      <c r="AS45" s="189">
        <f>SUMIFS(Table1[[المنصرف ]],Table1[[نوع المصروف ]],$A:$A,Table1[[الشهر ]],$AO$1,Table1[الفرع],'تحليلات 2024'!$F$20)</f>
        <v>0</v>
      </c>
      <c r="AT45" s="190">
        <f t="shared" si="70"/>
        <v>0</v>
      </c>
      <c r="AU45" s="189">
        <f>SUMIFS(Table1[[المنصرف ]],Table1[[نوع المصروف ]],$A:$A,Table1[[الشهر ]],$AO$1,Table1[الفرع],'تحليلات 2024'!$H$20)</f>
        <v>0</v>
      </c>
      <c r="AV45" s="190">
        <f t="shared" si="71"/>
        <v>0</v>
      </c>
      <c r="AW45" s="189">
        <f>SUMIFS(Table1[[المنصرف ]],Table1[[نوع المصروف ]],$A:$A,Table1[[الشهر ]],$AO$1,Table1[الفرع],'تحليلات 2024'!$J$20)</f>
        <v>0</v>
      </c>
      <c r="AX45" s="190">
        <f t="shared" si="72"/>
        <v>0</v>
      </c>
      <c r="AY45" s="189">
        <f t="shared" si="54"/>
        <v>0</v>
      </c>
      <c r="AZ45" s="190">
        <f t="shared" si="73"/>
        <v>0</v>
      </c>
    </row>
    <row r="46" spans="1:52">
      <c r="A46" s="200" t="s">
        <v>128</v>
      </c>
      <c r="B46" s="189">
        <f>SUMIFS(Table1[[المنصرف ]],Table1[[نوع المصروف ]],$A:$A,Table1[[الشهر ]],$B$1,Table1[الفرع],'تحليلات 2024'!$B$20)</f>
        <v>2578.96</v>
      </c>
      <c r="C46" s="190">
        <f t="shared" si="35"/>
        <v>3.9246549241809588E-3</v>
      </c>
      <c r="D46" s="189">
        <f>SUMIFS(Table1[[المنصرف ]],Table1[[نوع المصروف ]],$A:$A,Table1[[الشهر ]],$B$1,Table1[الفرع],'تحليلات 2024'!$D$20)</f>
        <v>802</v>
      </c>
      <c r="E46" s="190">
        <f t="shared" si="36"/>
        <v>4.5866121490452556E-3</v>
      </c>
      <c r="F46" s="189">
        <f>SUMIFS(Table1[[المنصرف ]],Table1[[نوع المصروف ]],$A:$A,Table1[[الشهر ]],$B$1,Table1[الفرع],'تحليلات 2024'!$F$20)</f>
        <v>140</v>
      </c>
      <c r="G46" s="190">
        <f t="shared" si="37"/>
        <v>0</v>
      </c>
      <c r="H46" s="189">
        <f>SUMIFS(Table1[[المنصرف ]],Table1[[نوع المصروف ]],$A:$A,Table1[[الشهر ]],$B$1,Table1[الفرع],'تحليلات 2024'!$H$20)</f>
        <v>0</v>
      </c>
      <c r="I46" s="190">
        <f t="shared" si="28"/>
        <v>0</v>
      </c>
      <c r="J46" s="189">
        <f>SUMIFS(Table1[[المنصرف ]],Table1[[نوع المصروف ]],$A:$A,Table1[[الشهر ]],$B$1,Table1[الفرع],'تحليلات 2024'!$J$20)</f>
        <v>22401.903599999998</v>
      </c>
      <c r="K46" s="190">
        <f t="shared" si="38"/>
        <v>2.6709683628160574E-2</v>
      </c>
      <c r="L46" s="189">
        <f t="shared" si="39"/>
        <v>25922.863599999997</v>
      </c>
      <c r="M46" s="190">
        <f t="shared" si="40"/>
        <v>3.0907707570528051E-2</v>
      </c>
      <c r="O46" s="189">
        <f>SUMIFS(Table1[[المنصرف ]],Table1[[نوع المصروف ]],$A:$A,Table1[[الشهر ]],$O$1,Table1[الفرع],'تحليلات 2024'!$B$20)</f>
        <v>0</v>
      </c>
      <c r="P46" s="190">
        <f t="shared" si="56"/>
        <v>0</v>
      </c>
      <c r="Q46" s="189">
        <f>SUMIFS(Table1[[المنصرف ]],Table1[[نوع المصروف ]],$A:$A,Table1[[الشهر ]],$O$1,Table1[الفرع],'تحليلات 2024'!$D$20)</f>
        <v>0</v>
      </c>
      <c r="R46" s="190">
        <f t="shared" si="57"/>
        <v>0</v>
      </c>
      <c r="S46" s="189">
        <f>SUMIFS(Table1[[المنصرف ]],Table1[[نوع المصروف ]],$A:$A,Table1[[الشهر ]],$O$1,Table1[الفرع],'تحليلات 2024'!$F$20)</f>
        <v>250</v>
      </c>
      <c r="T46" s="190">
        <f t="shared" si="58"/>
        <v>0</v>
      </c>
      <c r="U46" s="189">
        <f>SUMIFS(Table1[[المنصرف ]],Table1[[نوع المصروف ]],$A:$A,Table1[[الشهر ]],$O$1,Table1[الفرع],'تحليلات 2024'!$H$20)</f>
        <v>0</v>
      </c>
      <c r="V46" s="190">
        <f t="shared" si="59"/>
        <v>0</v>
      </c>
      <c r="W46" s="189">
        <f>SUMIFS(Table1[[المنصرف ]],Table1[[نوع المصروف ]],$A:$A,Table1[[الشهر ]],$O$1,Table1[الفرع],'تحليلات 2024'!$J$20)</f>
        <v>48995.419999999991</v>
      </c>
      <c r="X46" s="190">
        <f t="shared" si="60"/>
        <v>5.8417007357752002E-2</v>
      </c>
      <c r="Y46" s="189">
        <f t="shared" si="44"/>
        <v>49245.419999999991</v>
      </c>
      <c r="Z46" s="190">
        <f t="shared" si="61"/>
        <v>5.8715081174436051E-2</v>
      </c>
      <c r="AB46" s="189">
        <f>SUMIFS(Table1[[المنصرف ]],Table1[[نوع المصروف ]],$A:$A,Table1[[الشهر ]],$AB$1,Table1[الفرع],'تحليلات 2024'!$B$20)</f>
        <v>0</v>
      </c>
      <c r="AC46" s="190">
        <f t="shared" si="62"/>
        <v>0</v>
      </c>
      <c r="AD46" s="189">
        <f>SUMIFS(Table1[[المنصرف ]],Table1[[نوع المصروف ]],$A:$A,Table1[[الشهر ]],$AB$1,Table1[الفرع],'تحليلات 2024'!$D$20)</f>
        <v>0</v>
      </c>
      <c r="AE46" s="190">
        <f t="shared" si="63"/>
        <v>0</v>
      </c>
      <c r="AF46" s="189">
        <f>SUMIFS(Table1[[المنصرف ]],Table1[[نوع المصروف ]],$A:$A,Table1[[الشهر ]],$AB$1,Table1[الفرع],'تحليلات 2024'!$F$20)</f>
        <v>0</v>
      </c>
      <c r="AG46" s="190">
        <f t="shared" si="64"/>
        <v>0</v>
      </c>
      <c r="AH46" s="189">
        <f>SUMIFS(Table1[[المنصرف ]],Table1[[نوع المصروف ]],$A:$A,Table1[[الشهر ]],$AB$1,Table1[الفرع],'تحليلات 2024'!$H$20)</f>
        <v>0</v>
      </c>
      <c r="AI46" s="190">
        <f t="shared" si="65"/>
        <v>0</v>
      </c>
      <c r="AJ46" s="189">
        <f>SUMIFS(Table1[[المنصرف ]],Table1[[نوع المصروف ]],$A:$A,Table1[[الشهر ]],$AB$1,Table1[الفرع],'تحليلات 2024'!$J$20)</f>
        <v>0</v>
      </c>
      <c r="AK46" s="190">
        <f t="shared" si="66"/>
        <v>0</v>
      </c>
      <c r="AL46" s="189">
        <f t="shared" si="49"/>
        <v>0</v>
      </c>
      <c r="AM46" s="190">
        <f t="shared" si="67"/>
        <v>0</v>
      </c>
      <c r="AO46" s="189">
        <f>SUMIFS(Table1[[المنصرف ]],Table1[[نوع المصروف ]],$A:$A,Table1[[الشهر ]],$AO$1,Table1[الفرع],'تحليلات 2024'!$B$20)</f>
        <v>0</v>
      </c>
      <c r="AP46" s="190">
        <f t="shared" si="68"/>
        <v>0</v>
      </c>
      <c r="AQ46" s="189">
        <f>SUMIFS(Table1[[المنصرف ]],Table1[[نوع المصروف ]],$A:$A,Table1[[الشهر ]],$AO$1,Table1[الفرع],'تحليلات 2024'!$D$20)</f>
        <v>0</v>
      </c>
      <c r="AR46" s="190">
        <f t="shared" si="69"/>
        <v>0</v>
      </c>
      <c r="AS46" s="189">
        <f>SUMIFS(Table1[[المنصرف ]],Table1[[نوع المصروف ]],$A:$A,Table1[[الشهر ]],$AO$1,Table1[الفرع],'تحليلات 2024'!$F$20)</f>
        <v>0</v>
      </c>
      <c r="AT46" s="190">
        <f t="shared" si="70"/>
        <v>0</v>
      </c>
      <c r="AU46" s="189">
        <f>SUMIFS(Table1[[المنصرف ]],Table1[[نوع المصروف ]],$A:$A,Table1[[الشهر ]],$AO$1,Table1[الفرع],'تحليلات 2024'!$H$20)</f>
        <v>0</v>
      </c>
      <c r="AV46" s="190">
        <f t="shared" si="71"/>
        <v>0</v>
      </c>
      <c r="AW46" s="189">
        <f>SUMIFS(Table1[[المنصرف ]],Table1[[نوع المصروف ]],$A:$A,Table1[[الشهر ]],$AO$1,Table1[الفرع],'تحليلات 2024'!$J$20)</f>
        <v>0</v>
      </c>
      <c r="AX46" s="190">
        <f t="shared" si="72"/>
        <v>0</v>
      </c>
      <c r="AY46" s="189">
        <f t="shared" si="54"/>
        <v>0</v>
      </c>
      <c r="AZ46" s="190">
        <f t="shared" si="73"/>
        <v>0</v>
      </c>
    </row>
    <row r="47" spans="1:52">
      <c r="A47" s="200" t="s">
        <v>129</v>
      </c>
      <c r="B47" s="189">
        <f>SUMIFS(Table1[[المنصرف ]],Table1[[نوع المصروف ]],$A:$A,Table1[[الشهر ]],$B$1,Table1[الفرع],'تحليلات 2024'!$B$20)</f>
        <v>0</v>
      </c>
      <c r="C47" s="190">
        <f t="shared" si="35"/>
        <v>0</v>
      </c>
      <c r="D47" s="189">
        <f>SUMIFS(Table1[[المنصرف ]],Table1[[نوع المصروف ]],$A:$A,Table1[[الشهر ]],$B$1,Table1[الفرع],'تحليلات 2024'!$D$20)</f>
        <v>400</v>
      </c>
      <c r="E47" s="190">
        <f t="shared" si="36"/>
        <v>2.2875871067557386E-3</v>
      </c>
      <c r="F47" s="189">
        <f>SUMIFS(Table1[[المنصرف ]],Table1[[نوع المصروف ]],$A:$A,Table1[[الشهر ]],$B$1,Table1[الفرع],'تحليلات 2024'!$F$20)</f>
        <v>0</v>
      </c>
      <c r="G47" s="190">
        <f t="shared" si="37"/>
        <v>0</v>
      </c>
      <c r="H47" s="189">
        <f>SUMIFS(Table1[[المنصرف ]],Table1[[نوع المصروف ]],$A:$A,Table1[[الشهر ]],$B$1,Table1[الفرع],'تحليلات 2024'!$H$20)</f>
        <v>0</v>
      </c>
      <c r="I47" s="190">
        <f t="shared" si="28"/>
        <v>0</v>
      </c>
      <c r="J47" s="189">
        <f>SUMIFS(Table1[[المنصرف ]],Table1[[نوع المصروف ]],$A:$A,Table1[[الشهر ]],$B$1,Table1[الفرع],'تحليلات 2024'!$J$20)</f>
        <v>2132</v>
      </c>
      <c r="K47" s="190">
        <f t="shared" si="38"/>
        <v>2.5419735086815724E-3</v>
      </c>
      <c r="L47" s="189">
        <f t="shared" si="39"/>
        <v>2532</v>
      </c>
      <c r="M47" s="190">
        <f t="shared" si="40"/>
        <v>3.0188916153760514E-3</v>
      </c>
      <c r="O47" s="189">
        <f>SUMIFS(Table1[[المنصرف ]],Table1[[نوع المصروف ]],$A:$A,Table1[[الشهر ]],$O$1,Table1[الفرع],'تحليلات 2024'!$B$20)</f>
        <v>0</v>
      </c>
      <c r="P47" s="190">
        <f t="shared" si="56"/>
        <v>0</v>
      </c>
      <c r="Q47" s="189">
        <f>SUMIFS(Table1[[المنصرف ]],Table1[[نوع المصروف ]],$A:$A,Table1[[الشهر ]],$O$1,Table1[الفرع],'تحليلات 2024'!$D$20)</f>
        <v>0</v>
      </c>
      <c r="R47" s="190">
        <f t="shared" si="57"/>
        <v>0</v>
      </c>
      <c r="S47" s="189">
        <f>SUMIFS(Table1[[المنصرف ]],Table1[[نوع المصروف ]],$A:$A,Table1[[الشهر ]],$O$1,Table1[الفرع],'تحليلات 2024'!$F$20)</f>
        <v>0</v>
      </c>
      <c r="T47" s="190">
        <f t="shared" si="58"/>
        <v>0</v>
      </c>
      <c r="U47" s="189">
        <f>SUMIFS(Table1[[المنصرف ]],Table1[[نوع المصروف ]],$A:$A,Table1[[الشهر ]],$O$1,Table1[الفرع],'تحليلات 2024'!$H$20)</f>
        <v>0</v>
      </c>
      <c r="V47" s="190">
        <f t="shared" si="59"/>
        <v>0</v>
      </c>
      <c r="W47" s="189">
        <f>SUMIFS(Table1[[المنصرف ]],Table1[[نوع المصروف ]],$A:$A,Table1[[الشهر ]],$O$1,Table1[الفرع],'تحليلات 2024'!$J$20)</f>
        <v>0</v>
      </c>
      <c r="X47" s="190">
        <f t="shared" si="60"/>
        <v>0</v>
      </c>
      <c r="Y47" s="189">
        <f t="shared" si="44"/>
        <v>0</v>
      </c>
      <c r="Z47" s="190">
        <f t="shared" si="61"/>
        <v>0</v>
      </c>
      <c r="AB47" s="189">
        <f>SUMIFS(Table1[[المنصرف ]],Table1[[نوع المصروف ]],$A:$A,Table1[[الشهر ]],$AB$1,Table1[الفرع],'تحليلات 2024'!$B$20)</f>
        <v>0</v>
      </c>
      <c r="AC47" s="190">
        <f t="shared" si="62"/>
        <v>0</v>
      </c>
      <c r="AD47" s="189">
        <f>SUMIFS(Table1[[المنصرف ]],Table1[[نوع المصروف ]],$A:$A,Table1[[الشهر ]],$AB$1,Table1[الفرع],'تحليلات 2024'!$D$20)</f>
        <v>0</v>
      </c>
      <c r="AE47" s="190">
        <f t="shared" si="63"/>
        <v>0</v>
      </c>
      <c r="AF47" s="189">
        <f>SUMIFS(Table1[[المنصرف ]],Table1[[نوع المصروف ]],$A:$A,Table1[[الشهر ]],$AB$1,Table1[الفرع],'تحليلات 2024'!$F$20)</f>
        <v>0</v>
      </c>
      <c r="AG47" s="190">
        <f t="shared" si="64"/>
        <v>0</v>
      </c>
      <c r="AH47" s="189">
        <f>SUMIFS(Table1[[المنصرف ]],Table1[[نوع المصروف ]],$A:$A,Table1[[الشهر ]],$AB$1,Table1[الفرع],'تحليلات 2024'!$H$20)</f>
        <v>0</v>
      </c>
      <c r="AI47" s="190">
        <f t="shared" si="65"/>
        <v>0</v>
      </c>
      <c r="AJ47" s="189">
        <f>SUMIFS(Table1[[المنصرف ]],Table1[[نوع المصروف ]],$A:$A,Table1[[الشهر ]],$AB$1,Table1[الفرع],'تحليلات 2024'!$J$20)</f>
        <v>0</v>
      </c>
      <c r="AK47" s="190">
        <f t="shared" si="66"/>
        <v>0</v>
      </c>
      <c r="AL47" s="189">
        <f t="shared" si="49"/>
        <v>0</v>
      </c>
      <c r="AM47" s="190">
        <f t="shared" si="67"/>
        <v>0</v>
      </c>
      <c r="AO47" s="189">
        <f>SUMIFS(Table1[[المنصرف ]],Table1[[نوع المصروف ]],$A:$A,Table1[[الشهر ]],$AO$1,Table1[الفرع],'تحليلات 2024'!$B$20)</f>
        <v>0</v>
      </c>
      <c r="AP47" s="190">
        <f t="shared" si="68"/>
        <v>0</v>
      </c>
      <c r="AQ47" s="189">
        <f>SUMIFS(Table1[[المنصرف ]],Table1[[نوع المصروف ]],$A:$A,Table1[[الشهر ]],$AO$1,Table1[الفرع],'تحليلات 2024'!$D$20)</f>
        <v>0</v>
      </c>
      <c r="AR47" s="190">
        <f t="shared" si="69"/>
        <v>0</v>
      </c>
      <c r="AS47" s="189">
        <f>SUMIFS(Table1[[المنصرف ]],Table1[[نوع المصروف ]],$A:$A,Table1[[الشهر ]],$AO$1,Table1[الفرع],'تحليلات 2024'!$F$20)</f>
        <v>0</v>
      </c>
      <c r="AT47" s="190">
        <f t="shared" si="70"/>
        <v>0</v>
      </c>
      <c r="AU47" s="189">
        <f>SUMIFS(Table1[[المنصرف ]],Table1[[نوع المصروف ]],$A:$A,Table1[[الشهر ]],$AO$1,Table1[الفرع],'تحليلات 2024'!$H$20)</f>
        <v>0</v>
      </c>
      <c r="AV47" s="190">
        <f t="shared" si="71"/>
        <v>0</v>
      </c>
      <c r="AW47" s="189">
        <f>SUMIFS(Table1[[المنصرف ]],Table1[[نوع المصروف ]],$A:$A,Table1[[الشهر ]],$AO$1,Table1[الفرع],'تحليلات 2024'!$J$20)</f>
        <v>0</v>
      </c>
      <c r="AX47" s="190">
        <f t="shared" si="72"/>
        <v>0</v>
      </c>
      <c r="AY47" s="189">
        <f t="shared" si="54"/>
        <v>0</v>
      </c>
      <c r="AZ47" s="190">
        <f t="shared" si="73"/>
        <v>0</v>
      </c>
    </row>
    <row r="48" spans="1:52">
      <c r="A48" s="200" t="s">
        <v>314</v>
      </c>
      <c r="B48" s="189">
        <f>SUMIFS(Table1[[المنصرف ]],Table1[[نوع المصروف ]],$A:$A,Table1[[الشهر ]],$B$1,Table1[الفرع],'تحليلات 2024'!$B$20)</f>
        <v>0</v>
      </c>
      <c r="C48" s="190">
        <f>IFERROR((B48/$B$18),0)</f>
        <v>0</v>
      </c>
      <c r="D48" s="189">
        <f>SUMIFS(Table1[[المنصرف ]],Table1[[نوع المصروف ]],$A:$A,Table1[[الشهر ]],$B$1,Table1[الفرع],'تحليلات 2024'!$D$20)</f>
        <v>17</v>
      </c>
      <c r="E48" s="190">
        <f>IFERROR((D48/$D$18),0)</f>
        <v>9.722245203711889E-5</v>
      </c>
      <c r="F48" s="189">
        <f>SUMIFS(Table1[[المنصرف ]],Table1[[نوع المصروف ]],$A:$A,Table1[[الشهر ]],$B$1,Table1[الفرع],'تحليلات 2024'!$F$20)</f>
        <v>0</v>
      </c>
      <c r="G48" s="190">
        <f>IFERROR((F48/$H$18),0)</f>
        <v>0</v>
      </c>
      <c r="H48" s="189">
        <f>SUMIFS(Table1[[المنصرف ]],Table1[[نوع المصروف ]],$A:$A,Table1[[الشهر ]],$B$1,Table1[الفرع],'تحليلات 2024'!$H$20)</f>
        <v>0</v>
      </c>
      <c r="I48" s="190">
        <f>IFERROR((H48/$H$18),0)</f>
        <v>0</v>
      </c>
      <c r="J48" s="189">
        <f>SUMIFS(Table1[[المنصرف ]],Table1[[نوع المصروف ]],$A:$A,Table1[[الشهر ]],$B$1,Table1[الفرع],'تحليلات 2024'!$J$20)</f>
        <v>0</v>
      </c>
      <c r="K48" s="190">
        <f>IFERROR((J48/$L$18),0)</f>
        <v>0</v>
      </c>
      <c r="L48" s="189">
        <f>B48+D48+H48+J48+F48</f>
        <v>17</v>
      </c>
      <c r="M48" s="190">
        <f>IFERROR((L48/$L$18),0)</f>
        <v>2.0269019534515351E-5</v>
      </c>
      <c r="O48" s="189">
        <f>SUMIFS(Table1[[المنصرف ]],Table1[[نوع المصروف ]],$A:$A,Table1[[الشهر ]],$O$1,Table1[الفرع],'تحليلات 2024'!$B$20)</f>
        <v>0</v>
      </c>
      <c r="P48" s="190">
        <f>IFERROR((O48/$B$18),0)</f>
        <v>0</v>
      </c>
      <c r="Q48" s="189">
        <f>SUMIFS(Table1[[المنصرف ]],Table1[[نوع المصروف ]],$A:$A,Table1[[الشهر ]],$O$1,Table1[الفرع],'تحليلات 2024'!$D$20)</f>
        <v>0</v>
      </c>
      <c r="R48" s="190">
        <f>IFERROR((Q48/$D$18),0)</f>
        <v>0</v>
      </c>
      <c r="S48" s="189">
        <f>SUMIFS(Table1[[المنصرف ]],Table1[[نوع المصروف ]],$A:$A,Table1[[الشهر ]],$O$1,Table1[الفرع],'تحليلات 2024'!$F$20)</f>
        <v>0</v>
      </c>
      <c r="T48" s="190">
        <f>IFERROR((S48/$H$18),0)</f>
        <v>0</v>
      </c>
      <c r="U48" s="189">
        <f>SUMIFS(Table1[[المنصرف ]],Table1[[نوع المصروف ]],$A:$A,Table1[[الشهر ]],$O$1,Table1[الفرع],'تحليلات 2024'!$H$20)</f>
        <v>0</v>
      </c>
      <c r="V48" s="190">
        <f>IFERROR((U48/$H$18),0)</f>
        <v>0</v>
      </c>
      <c r="W48" s="189">
        <f>SUMIFS(Table1[[المنصرف ]],Table1[[نوع المصروف ]],$A:$A,Table1[[الشهر ]],$O$1,Table1[الفرع],'تحليلات 2024'!$J$20)</f>
        <v>0</v>
      </c>
      <c r="X48" s="190">
        <f>IFERROR((W48/$L$18),0)</f>
        <v>0</v>
      </c>
      <c r="Y48" s="189">
        <f>O48+Q48+U48+W48+S48</f>
        <v>0</v>
      </c>
      <c r="Z48" s="190">
        <f>IFERROR((Y48/$L$18),0)</f>
        <v>0</v>
      </c>
      <c r="AB48" s="189">
        <f>SUMIFS(Table1[[المنصرف ]],Table1[[نوع المصروف ]],$A:$A,Table1[[الشهر ]],$AB$1,Table1[الفرع],'تحليلات 2024'!$B$20)</f>
        <v>0</v>
      </c>
      <c r="AC48" s="190">
        <f>IFERROR((AB48/$B$18),0)</f>
        <v>0</v>
      </c>
      <c r="AD48" s="189">
        <f>SUMIFS(Table1[[المنصرف ]],Table1[[نوع المصروف ]],$A:$A,Table1[[الشهر ]],$AB$1,Table1[الفرع],'تحليلات 2024'!$D$20)</f>
        <v>0</v>
      </c>
      <c r="AE48" s="190">
        <f>IFERROR((AD48/$D$18),0)</f>
        <v>0</v>
      </c>
      <c r="AF48" s="189">
        <f>SUMIFS(Table1[[المنصرف ]],Table1[[نوع المصروف ]],$A:$A,Table1[[الشهر ]],$AB$1,Table1[الفرع],'تحليلات 2024'!$F$20)</f>
        <v>0</v>
      </c>
      <c r="AG48" s="190">
        <f>IFERROR((AF48/$H$18),0)</f>
        <v>0</v>
      </c>
      <c r="AH48" s="189">
        <f>SUMIFS(Table1[[المنصرف ]],Table1[[نوع المصروف ]],$A:$A,Table1[[الشهر ]],$AB$1,Table1[الفرع],'تحليلات 2024'!$H$20)</f>
        <v>0</v>
      </c>
      <c r="AI48" s="190">
        <f>IFERROR((AH48/$H$18),0)</f>
        <v>0</v>
      </c>
      <c r="AJ48" s="189">
        <f>SUMIFS(Table1[[المنصرف ]],Table1[[نوع المصروف ]],$A:$A,Table1[[الشهر ]],$AB$1,Table1[الفرع],'تحليلات 2024'!$J$20)</f>
        <v>0</v>
      </c>
      <c r="AK48" s="190">
        <f>IFERROR((AJ48/$L$18),0)</f>
        <v>0</v>
      </c>
      <c r="AL48" s="189">
        <f>AB48+AD48+AH48+AJ48+AF48</f>
        <v>0</v>
      </c>
      <c r="AM48" s="190">
        <f>IFERROR((AL48/$L$18),0)</f>
        <v>0</v>
      </c>
      <c r="AO48" s="189">
        <f>SUMIFS(Table1[[المنصرف ]],Table1[[نوع المصروف ]],$A:$A,Table1[[الشهر ]],$AO$1,Table1[الفرع],'تحليلات 2024'!$B$20)</f>
        <v>0</v>
      </c>
      <c r="AP48" s="190">
        <f>IFERROR((AO48/$B$18),0)</f>
        <v>0</v>
      </c>
      <c r="AQ48" s="189">
        <f>SUMIFS(Table1[[المنصرف ]],Table1[[نوع المصروف ]],$A:$A,Table1[[الشهر ]],$AO$1,Table1[الفرع],'تحليلات 2024'!$D$20)</f>
        <v>0</v>
      </c>
      <c r="AR48" s="190">
        <f>IFERROR((AQ48/$D$18),0)</f>
        <v>0</v>
      </c>
      <c r="AS48" s="189">
        <f>SUMIFS(Table1[[المنصرف ]],Table1[[نوع المصروف ]],$A:$A,Table1[[الشهر ]],$AO$1,Table1[الفرع],'تحليلات 2024'!$F$20)</f>
        <v>0</v>
      </c>
      <c r="AT48" s="190">
        <f>IFERROR((AS48/$H$18),0)</f>
        <v>0</v>
      </c>
      <c r="AU48" s="189">
        <f>SUMIFS(Table1[[المنصرف ]],Table1[[نوع المصروف ]],$A:$A,Table1[[الشهر ]],$AO$1,Table1[الفرع],'تحليلات 2024'!$H$20)</f>
        <v>0</v>
      </c>
      <c r="AV48" s="190">
        <f>IFERROR((AU48/$H$18),0)</f>
        <v>0</v>
      </c>
      <c r="AW48" s="189">
        <f>SUMIFS(Table1[[المنصرف ]],Table1[[نوع المصروف ]],$A:$A,Table1[[الشهر ]],$AO$1,Table1[الفرع],'تحليلات 2024'!$J$20)</f>
        <v>0</v>
      </c>
      <c r="AX48" s="190">
        <f>IFERROR((AW48/$L$18),0)</f>
        <v>0</v>
      </c>
      <c r="AY48" s="189">
        <f>AO48+AQ48+AU48+AW48+AS48</f>
        <v>0</v>
      </c>
      <c r="AZ48" s="190">
        <f>IFERROR((AY48/$L$18),0)</f>
        <v>0</v>
      </c>
    </row>
    <row r="49" spans="1:52">
      <c r="A49" s="200" t="s">
        <v>319</v>
      </c>
      <c r="B49" s="189">
        <f>SUMIFS(Table1[[المنصرف ]],Table1[[نوع المصروف ]],$A:$A,Table1[[الشهر ]],$B$1,Table1[الفرع],'تحليلات 2024'!$B$20)</f>
        <v>0</v>
      </c>
      <c r="C49" s="190">
        <f>IFERROR((B49/$B$18),0)</f>
        <v>0</v>
      </c>
      <c r="D49" s="189">
        <f>SUMIFS(Table1[[المنصرف ]],Table1[[نوع المصروف ]],$A:$A,Table1[[الشهر ]],$B$1,Table1[الفرع],'تحليلات 2024'!$D$20)</f>
        <v>50.5</v>
      </c>
      <c r="E49" s="190">
        <f>IFERROR((D49/$D$18),0)</f>
        <v>2.88807872227912E-4</v>
      </c>
      <c r="F49" s="189">
        <f>SUMIFS(Table1[[المنصرف ]],Table1[[نوع المصروف ]],$A:$A,Table1[[الشهر ]],$B$1,Table1[الفرع],'تحليلات 2024'!$F$20)</f>
        <v>0</v>
      </c>
      <c r="G49" s="190">
        <f>IFERROR((F49/$H$18),0)</f>
        <v>0</v>
      </c>
      <c r="H49" s="189">
        <f>SUMIFS(Table1[[المنصرف ]],Table1[[نوع المصروف ]],$A:$A,Table1[[الشهر ]],$B$1,Table1[الفرع],'تحليلات 2024'!$H$20)</f>
        <v>0</v>
      </c>
      <c r="I49" s="190">
        <f>IFERROR((H49/$H$18),0)</f>
        <v>0</v>
      </c>
      <c r="J49" s="189">
        <f>SUMIFS(Table1[[المنصرف ]],Table1[[نوع المصروف ]],$A:$A,Table1[[الشهر ]],$B$1,Table1[الفرع],'تحليلات 2024'!$J$20)</f>
        <v>0</v>
      </c>
      <c r="K49" s="190">
        <f>IFERROR((J49/$L$18),0)</f>
        <v>0</v>
      </c>
      <c r="L49" s="189">
        <f>B49+D49+H49+J49+F49</f>
        <v>50.5</v>
      </c>
      <c r="M49" s="190">
        <f>IFERROR((L49/$L$18),0)</f>
        <v>6.0210910970177955E-5</v>
      </c>
      <c r="O49" s="189">
        <f>SUMIFS(Table1[[المنصرف ]],Table1[[نوع المصروف ]],$A:$A,Table1[[الشهر ]],$O$1,Table1[الفرع],'تحليلات 2024'!$B$20)</f>
        <v>0</v>
      </c>
      <c r="P49" s="190">
        <f>IFERROR((O49/$B$18),0)</f>
        <v>0</v>
      </c>
      <c r="Q49" s="189">
        <f>SUMIFS(Table1[[المنصرف ]],Table1[[نوع المصروف ]],$A:$A,Table1[[الشهر ]],$O$1,Table1[الفرع],'تحليلات 2024'!$D$20)</f>
        <v>0</v>
      </c>
      <c r="R49" s="190">
        <f>IFERROR((Q49/$D$18),0)</f>
        <v>0</v>
      </c>
      <c r="S49" s="189">
        <f>SUMIFS(Table1[[المنصرف ]],Table1[[نوع المصروف ]],$A:$A,Table1[[الشهر ]],$O$1,Table1[الفرع],'تحليلات 2024'!$F$20)</f>
        <v>0</v>
      </c>
      <c r="T49" s="190">
        <f>IFERROR((S49/$H$18),0)</f>
        <v>0</v>
      </c>
      <c r="U49" s="189">
        <f>SUMIFS(Table1[[المنصرف ]],Table1[[نوع المصروف ]],$A:$A,Table1[[الشهر ]],$O$1,Table1[الفرع],'تحليلات 2024'!$H$20)</f>
        <v>0</v>
      </c>
      <c r="V49" s="190">
        <f>IFERROR((U49/$H$18),0)</f>
        <v>0</v>
      </c>
      <c r="W49" s="189">
        <f>SUMIFS(Table1[[المنصرف ]],Table1[[نوع المصروف ]],$A:$A,Table1[[الشهر ]],$O$1,Table1[الفرع],'تحليلات 2024'!$J$20)</f>
        <v>0</v>
      </c>
      <c r="X49" s="190">
        <f>IFERROR((W49/$L$18),0)</f>
        <v>0</v>
      </c>
      <c r="Y49" s="189">
        <f>O49+Q49+U49+W49+S49</f>
        <v>0</v>
      </c>
      <c r="Z49" s="190">
        <f>IFERROR((Y49/$L$18),0)</f>
        <v>0</v>
      </c>
      <c r="AB49" s="189">
        <f>SUMIFS(Table1[[المنصرف ]],Table1[[نوع المصروف ]],$A:$A,Table1[[الشهر ]],$AB$1,Table1[الفرع],'تحليلات 2024'!$B$20)</f>
        <v>0</v>
      </c>
      <c r="AC49" s="190">
        <f>IFERROR((AB49/$B$18),0)</f>
        <v>0</v>
      </c>
      <c r="AD49" s="189">
        <f>SUMIFS(Table1[[المنصرف ]],Table1[[نوع المصروف ]],$A:$A,Table1[[الشهر ]],$AB$1,Table1[الفرع],'تحليلات 2024'!$D$20)</f>
        <v>0</v>
      </c>
      <c r="AE49" s="190">
        <f>IFERROR((AD49/$D$18),0)</f>
        <v>0</v>
      </c>
      <c r="AF49" s="189">
        <f>SUMIFS(Table1[[المنصرف ]],Table1[[نوع المصروف ]],$A:$A,Table1[[الشهر ]],$AB$1,Table1[الفرع],'تحليلات 2024'!$F$20)</f>
        <v>0</v>
      </c>
      <c r="AG49" s="190">
        <f>IFERROR((AF49/$H$18),0)</f>
        <v>0</v>
      </c>
      <c r="AH49" s="189">
        <f>SUMIFS(Table1[[المنصرف ]],Table1[[نوع المصروف ]],$A:$A,Table1[[الشهر ]],$AB$1,Table1[الفرع],'تحليلات 2024'!$H$20)</f>
        <v>0</v>
      </c>
      <c r="AI49" s="190">
        <f>IFERROR((AH49/$H$18),0)</f>
        <v>0</v>
      </c>
      <c r="AJ49" s="189">
        <f>SUMIFS(Table1[[المنصرف ]],Table1[[نوع المصروف ]],$A:$A,Table1[[الشهر ]],$AB$1,Table1[الفرع],'تحليلات 2024'!$J$20)</f>
        <v>0</v>
      </c>
      <c r="AK49" s="190">
        <f>IFERROR((AJ49/$L$18),0)</f>
        <v>0</v>
      </c>
      <c r="AL49" s="189">
        <f>AB49+AD49+AH49+AJ49+AF49</f>
        <v>0</v>
      </c>
      <c r="AM49" s="190">
        <f>IFERROR((AL49/$L$18),0)</f>
        <v>0</v>
      </c>
      <c r="AO49" s="189">
        <f>SUMIFS(Table1[[المنصرف ]],Table1[[نوع المصروف ]],$A:$A,Table1[[الشهر ]],$AO$1,Table1[الفرع],'تحليلات 2024'!$B$20)</f>
        <v>0</v>
      </c>
      <c r="AP49" s="190">
        <f>IFERROR((AO49/$B$18),0)</f>
        <v>0</v>
      </c>
      <c r="AQ49" s="189">
        <f>SUMIFS(Table1[[المنصرف ]],Table1[[نوع المصروف ]],$A:$A,Table1[[الشهر ]],$AO$1,Table1[الفرع],'تحليلات 2024'!$D$20)</f>
        <v>0</v>
      </c>
      <c r="AR49" s="190">
        <f>IFERROR((AQ49/$D$18),0)</f>
        <v>0</v>
      </c>
      <c r="AS49" s="189">
        <f>SUMIFS(Table1[[المنصرف ]],Table1[[نوع المصروف ]],$A:$A,Table1[[الشهر ]],$AO$1,Table1[الفرع],'تحليلات 2024'!$F$20)</f>
        <v>0</v>
      </c>
      <c r="AT49" s="190">
        <f>IFERROR((AS49/$H$18),0)</f>
        <v>0</v>
      </c>
      <c r="AU49" s="189">
        <f>SUMIFS(Table1[[المنصرف ]],Table1[[نوع المصروف ]],$A:$A,Table1[[الشهر ]],$AO$1,Table1[الفرع],'تحليلات 2024'!$H$20)</f>
        <v>0</v>
      </c>
      <c r="AV49" s="190">
        <f>IFERROR((AU49/$H$18),0)</f>
        <v>0</v>
      </c>
      <c r="AW49" s="189">
        <f>SUMIFS(Table1[[المنصرف ]],Table1[[نوع المصروف ]],$A:$A,Table1[[الشهر ]],$AO$1,Table1[الفرع],'تحليلات 2024'!$J$20)</f>
        <v>0</v>
      </c>
      <c r="AX49" s="190">
        <f>IFERROR((AW49/$L$18),0)</f>
        <v>0</v>
      </c>
      <c r="AY49" s="189">
        <f>AO49+AQ49+AU49+AW49+AS49</f>
        <v>0</v>
      </c>
      <c r="AZ49" s="190">
        <f>IFERROR((AY49/$L$18),0)</f>
        <v>0</v>
      </c>
    </row>
    <row r="50" spans="1:52">
      <c r="A50" s="200" t="s">
        <v>117</v>
      </c>
      <c r="B50" s="189">
        <f>SUMIFS(Table1[[المنصرف ]],Table1[[نوع المصروف ]],$A:$A,Table1[[الشهر ]],$B$1,Table1[الفرع],'تحليلات 2024'!$B$20)</f>
        <v>0</v>
      </c>
      <c r="C50" s="190">
        <f>IFERROR((B50/$B$18),0)</f>
        <v>0</v>
      </c>
      <c r="D50" s="189">
        <f>SUMIFS(Table1[[المنصرف ]],Table1[[نوع المصروف ]],$A:$A,Table1[[الشهر ]],$B$1,Table1[الفرع],'تحليلات 2024'!$D$20)</f>
        <v>8000</v>
      </c>
      <c r="E50" s="190">
        <f>IFERROR((D50/$D$18),0)</f>
        <v>4.5751742135114772E-2</v>
      </c>
      <c r="F50" s="189">
        <f>SUMIFS(Table1[[المنصرف ]],Table1[[نوع المصروف ]],$A:$A,Table1[[الشهر ]],$B$1,Table1[الفرع],'تحليلات 2024'!$F$20)</f>
        <v>0</v>
      </c>
      <c r="G50" s="190">
        <f>IFERROR((F50/$H$18),0)</f>
        <v>0</v>
      </c>
      <c r="H50" s="189">
        <f>SUMIFS(Table1[[المنصرف ]],Table1[[نوع المصروف ]],$A:$A,Table1[[الشهر ]],$B$1,Table1[الفرع],'تحليلات 2024'!$H$20)</f>
        <v>0</v>
      </c>
      <c r="I50" s="190">
        <f>IFERROR((H50/$H$18),0)</f>
        <v>0</v>
      </c>
      <c r="J50" s="189">
        <f>SUMIFS(Table1[[المنصرف ]],Table1[[نوع المصروف ]],$A:$A,Table1[[الشهر ]],$B$1,Table1[الفرع],'تحليلات 2024'!$J$20)</f>
        <v>1530</v>
      </c>
      <c r="K50" s="190">
        <f>IFERROR((J50/$L$18),0)</f>
        <v>1.8242117581063818E-3</v>
      </c>
      <c r="L50" s="189">
        <f>B50+D50+H50+J50+F50</f>
        <v>9530</v>
      </c>
      <c r="M50" s="190">
        <f>IFERROR((L50/$L$18),0)</f>
        <v>1.1362573891995959E-2</v>
      </c>
      <c r="O50" s="189">
        <f>SUMIFS(Table1[[المنصرف ]],Table1[[نوع المصروف ]],$A:$A,Table1[[الشهر ]],$O$1,Table1[الفرع],'تحليلات 2024'!$B$20)</f>
        <v>0</v>
      </c>
      <c r="P50" s="190">
        <f>IFERROR((O50/$B$18),0)</f>
        <v>0</v>
      </c>
      <c r="Q50" s="189">
        <f>SUMIFS(Table1[[المنصرف ]],Table1[[نوع المصروف ]],$A:$A,Table1[[الشهر ]],$O$1,Table1[الفرع],'تحليلات 2024'!$D$20)</f>
        <v>0</v>
      </c>
      <c r="R50" s="190">
        <f>IFERROR((Q50/$D$18),0)</f>
        <v>0</v>
      </c>
      <c r="S50" s="189">
        <f>SUMIFS(Table1[[المنصرف ]],Table1[[نوع المصروف ]],$A:$A,Table1[[الشهر ]],$O$1,Table1[الفرع],'تحليلات 2024'!$F$20)</f>
        <v>0</v>
      </c>
      <c r="T50" s="190">
        <f>IFERROR((S50/$H$18),0)</f>
        <v>0</v>
      </c>
      <c r="U50" s="189">
        <f>SUMIFS(Table1[[المنصرف ]],Table1[[نوع المصروف ]],$A:$A,Table1[[الشهر ]],$O$1,Table1[الفرع],'تحليلات 2024'!$H$20)</f>
        <v>0</v>
      </c>
      <c r="V50" s="190">
        <f>IFERROR((U50/$H$18),0)</f>
        <v>0</v>
      </c>
      <c r="W50" s="189">
        <f>SUMIFS(Table1[[المنصرف ]],Table1[[نوع المصروف ]],$A:$A,Table1[[الشهر ]],$O$1,Table1[الفرع],'تحليلات 2024'!$J$20)</f>
        <v>1700</v>
      </c>
      <c r="X50" s="190">
        <f>IFERROR((W50/$L$18),0)</f>
        <v>2.0269019534515354E-3</v>
      </c>
      <c r="Y50" s="189">
        <f>O50+Q50+U50+W50+S50</f>
        <v>1700</v>
      </c>
      <c r="Z50" s="190">
        <f>IFERROR((Y50/$L$18),0)</f>
        <v>2.0269019534515354E-3</v>
      </c>
      <c r="AB50" s="189">
        <f>SUMIFS(Table1[[المنصرف ]],Table1[[نوع المصروف ]],$A:$A,Table1[[الشهر ]],$AB$1,Table1[الفرع],'تحليلات 2024'!$B$20)</f>
        <v>0</v>
      </c>
      <c r="AC50" s="190">
        <f>IFERROR((AB50/$B$18),0)</f>
        <v>0</v>
      </c>
      <c r="AD50" s="189">
        <f>SUMIFS(Table1[[المنصرف ]],Table1[[نوع المصروف ]],$A:$A,Table1[[الشهر ]],$AB$1,Table1[الفرع],'تحليلات 2024'!$D$20)</f>
        <v>0</v>
      </c>
      <c r="AE50" s="190">
        <f>IFERROR((AD50/$D$18),0)</f>
        <v>0</v>
      </c>
      <c r="AF50" s="189">
        <f>SUMIFS(Table1[[المنصرف ]],Table1[[نوع المصروف ]],$A:$A,Table1[[الشهر ]],$AB$1,Table1[الفرع],'تحليلات 2024'!$F$20)</f>
        <v>0</v>
      </c>
      <c r="AG50" s="190">
        <f>IFERROR((AF50/$H$18),0)</f>
        <v>0</v>
      </c>
      <c r="AH50" s="189">
        <f>SUMIFS(Table1[[المنصرف ]],Table1[[نوع المصروف ]],$A:$A,Table1[[الشهر ]],$AB$1,Table1[الفرع],'تحليلات 2024'!$H$20)</f>
        <v>0</v>
      </c>
      <c r="AI50" s="190">
        <f>IFERROR((AH50/$H$18),0)</f>
        <v>0</v>
      </c>
      <c r="AJ50" s="189">
        <f>SUMIFS(Table1[[المنصرف ]],Table1[[نوع المصروف ]],$A:$A,Table1[[الشهر ]],$AB$1,Table1[الفرع],'تحليلات 2024'!$J$20)</f>
        <v>0</v>
      </c>
      <c r="AK50" s="190">
        <f>IFERROR((AJ50/$L$18),0)</f>
        <v>0</v>
      </c>
      <c r="AL50" s="189">
        <f>AB50+AD50+AH50+AJ50+AF50</f>
        <v>0</v>
      </c>
      <c r="AM50" s="190">
        <f>IFERROR((AL50/$L$18),0)</f>
        <v>0</v>
      </c>
      <c r="AO50" s="189">
        <f>SUMIFS(Table1[[المنصرف ]],Table1[[نوع المصروف ]],$A:$A,Table1[[الشهر ]],$AO$1,Table1[الفرع],'تحليلات 2024'!$B$20)</f>
        <v>0</v>
      </c>
      <c r="AP50" s="190">
        <f>IFERROR((AO50/$B$18),0)</f>
        <v>0</v>
      </c>
      <c r="AQ50" s="189">
        <f>SUMIFS(Table1[[المنصرف ]],Table1[[نوع المصروف ]],$A:$A,Table1[[الشهر ]],$AO$1,Table1[الفرع],'تحليلات 2024'!$D$20)</f>
        <v>0</v>
      </c>
      <c r="AR50" s="190">
        <f>IFERROR((AQ50/$D$18),0)</f>
        <v>0</v>
      </c>
      <c r="AS50" s="189">
        <f>SUMIFS(Table1[[المنصرف ]],Table1[[نوع المصروف ]],$A:$A,Table1[[الشهر ]],$AO$1,Table1[الفرع],'تحليلات 2024'!$F$20)</f>
        <v>0</v>
      </c>
      <c r="AT50" s="190">
        <f>IFERROR((AS50/$H$18),0)</f>
        <v>0</v>
      </c>
      <c r="AU50" s="189">
        <f>SUMIFS(Table1[[المنصرف ]],Table1[[نوع المصروف ]],$A:$A,Table1[[الشهر ]],$AO$1,Table1[الفرع],'تحليلات 2024'!$H$20)</f>
        <v>0</v>
      </c>
      <c r="AV50" s="190">
        <f>IFERROR((AU50/$H$18),0)</f>
        <v>0</v>
      </c>
      <c r="AW50" s="189">
        <f>SUMIFS(Table1[[المنصرف ]],Table1[[نوع المصروف ]],$A:$A,Table1[[الشهر ]],$AO$1,Table1[الفرع],'تحليلات 2024'!$J$20)</f>
        <v>0</v>
      </c>
      <c r="AX50" s="190">
        <f>IFERROR((AW50/$L$18),0)</f>
        <v>0</v>
      </c>
      <c r="AY50" s="189">
        <f>AO50+AQ50+AU50+AW50+AS50</f>
        <v>0</v>
      </c>
      <c r="AZ50" s="190">
        <f>IFERROR((AY50/$L$18),0)</f>
        <v>0</v>
      </c>
    </row>
    <row r="51" spans="1:52">
      <c r="A51" s="200" t="s">
        <v>130</v>
      </c>
      <c r="B51" s="189">
        <f>SUMIFS(Table1[[المنصرف ]],Table1[[نوع المصروف ]],$A:$A,Table1[[الشهر ]],$B$1,Table1[الفرع],'تحليلات 2024'!$B$20)</f>
        <v>0</v>
      </c>
      <c r="C51" s="190">
        <f t="shared" si="35"/>
        <v>0</v>
      </c>
      <c r="D51" s="189">
        <f>SUMIFS(Table1[[المنصرف ]],Table1[[نوع المصروف ]],$A:$A,Table1[[الشهر ]],$B$1,Table1[الفرع],'تحليلات 2024'!$D$20)</f>
        <v>0</v>
      </c>
      <c r="E51" s="190">
        <f t="shared" si="36"/>
        <v>0</v>
      </c>
      <c r="F51" s="189">
        <f>SUMIFS(Table1[[المنصرف ]],Table1[[نوع المصروف ]],$A:$A,Table1[[الشهر ]],$B$1,Table1[الفرع],'تحليلات 2024'!$F$20)</f>
        <v>0</v>
      </c>
      <c r="G51" s="190">
        <f t="shared" si="37"/>
        <v>0</v>
      </c>
      <c r="H51" s="189">
        <f>SUMIFS(Table1[[المنصرف ]],Table1[[نوع المصروف ]],$A:$A,Table1[[الشهر ]],$B$1,Table1[الفرع],'تحليلات 2024'!$H$20)</f>
        <v>0</v>
      </c>
      <c r="I51" s="190">
        <f t="shared" si="28"/>
        <v>0</v>
      </c>
      <c r="J51" s="189">
        <f>SUMIFS(Table1[[المنصرف ]],Table1[[نوع المصروف ]],$A:$A,Table1[[الشهر ]],$B$1,Table1[الفرع],'تحليلات 2024'!$J$20)</f>
        <v>0</v>
      </c>
      <c r="K51" s="190">
        <f t="shared" si="38"/>
        <v>0</v>
      </c>
      <c r="L51" s="189">
        <f t="shared" si="39"/>
        <v>0</v>
      </c>
      <c r="M51" s="190">
        <f t="shared" si="40"/>
        <v>0</v>
      </c>
      <c r="O51" s="189">
        <f>SUMIFS(Table1[[المنصرف ]],Table1[[نوع المصروف ]],$A:$A,Table1[[الشهر ]],$O$1,Table1[الفرع],'تحليلات 2024'!$B$20)</f>
        <v>0</v>
      </c>
      <c r="P51" s="190">
        <f t="shared" si="56"/>
        <v>0</v>
      </c>
      <c r="Q51" s="189">
        <f>SUMIFS(Table1[[المنصرف ]],Table1[[نوع المصروف ]],$A:$A,Table1[[الشهر ]],$O$1,Table1[الفرع],'تحليلات 2024'!$D$20)</f>
        <v>0</v>
      </c>
      <c r="R51" s="190">
        <f t="shared" si="57"/>
        <v>0</v>
      </c>
      <c r="S51" s="189">
        <f>SUMIFS(Table1[[المنصرف ]],Table1[[نوع المصروف ]],$A:$A,Table1[[الشهر ]],$O$1,Table1[الفرع],'تحليلات 2024'!$F$20)</f>
        <v>0</v>
      </c>
      <c r="T51" s="190">
        <f t="shared" si="58"/>
        <v>0</v>
      </c>
      <c r="U51" s="189">
        <f>SUMIFS(Table1[[المنصرف ]],Table1[[نوع المصروف ]],$A:$A,Table1[[الشهر ]],$O$1,Table1[الفرع],'تحليلات 2024'!$H$20)</f>
        <v>0</v>
      </c>
      <c r="V51" s="190">
        <f t="shared" si="59"/>
        <v>0</v>
      </c>
      <c r="W51" s="189">
        <f>SUMIFS(Table1[[المنصرف ]],Table1[[نوع المصروف ]],$A:$A,Table1[[الشهر ]],$O$1,Table1[الفرع],'تحليلات 2024'!$J$20)</f>
        <v>0</v>
      </c>
      <c r="X51" s="190">
        <f t="shared" si="60"/>
        <v>0</v>
      </c>
      <c r="Y51" s="189">
        <f t="shared" si="44"/>
        <v>0</v>
      </c>
      <c r="Z51" s="190">
        <f t="shared" si="61"/>
        <v>0</v>
      </c>
      <c r="AB51" s="189">
        <f>SUMIFS(Table1[[المنصرف ]],Table1[[نوع المصروف ]],$A:$A,Table1[[الشهر ]],$AB$1,Table1[الفرع],'تحليلات 2024'!$B$20)</f>
        <v>0</v>
      </c>
      <c r="AC51" s="190">
        <f t="shared" si="62"/>
        <v>0</v>
      </c>
      <c r="AD51" s="189">
        <f>SUMIFS(Table1[[المنصرف ]],Table1[[نوع المصروف ]],$A:$A,Table1[[الشهر ]],$AB$1,Table1[الفرع],'تحليلات 2024'!$D$20)</f>
        <v>0</v>
      </c>
      <c r="AE51" s="190">
        <f t="shared" si="63"/>
        <v>0</v>
      </c>
      <c r="AF51" s="189">
        <f>SUMIFS(Table1[[المنصرف ]],Table1[[نوع المصروف ]],$A:$A,Table1[[الشهر ]],$AB$1,Table1[الفرع],'تحليلات 2024'!$F$20)</f>
        <v>0</v>
      </c>
      <c r="AG51" s="190">
        <f t="shared" si="64"/>
        <v>0</v>
      </c>
      <c r="AH51" s="189">
        <f>SUMIFS(Table1[[المنصرف ]],Table1[[نوع المصروف ]],$A:$A,Table1[[الشهر ]],$AB$1,Table1[الفرع],'تحليلات 2024'!$H$20)</f>
        <v>0</v>
      </c>
      <c r="AI51" s="190">
        <f t="shared" si="65"/>
        <v>0</v>
      </c>
      <c r="AJ51" s="189">
        <f>SUMIFS(Table1[[المنصرف ]],Table1[[نوع المصروف ]],$A:$A,Table1[[الشهر ]],$AB$1,Table1[الفرع],'تحليلات 2024'!$J$20)</f>
        <v>0</v>
      </c>
      <c r="AK51" s="190">
        <f t="shared" si="66"/>
        <v>0</v>
      </c>
      <c r="AL51" s="189">
        <f t="shared" si="49"/>
        <v>0</v>
      </c>
      <c r="AM51" s="190">
        <f t="shared" si="67"/>
        <v>0</v>
      </c>
      <c r="AO51" s="189">
        <f>SUMIFS(Table1[[المنصرف ]],Table1[[نوع المصروف ]],$A:$A,Table1[[الشهر ]],$AO$1,Table1[الفرع],'تحليلات 2024'!$B$20)</f>
        <v>0</v>
      </c>
      <c r="AP51" s="190">
        <f t="shared" si="68"/>
        <v>0</v>
      </c>
      <c r="AQ51" s="189">
        <f>SUMIFS(Table1[[المنصرف ]],Table1[[نوع المصروف ]],$A:$A,Table1[[الشهر ]],$AO$1,Table1[الفرع],'تحليلات 2024'!$D$20)</f>
        <v>0</v>
      </c>
      <c r="AR51" s="190">
        <f t="shared" si="69"/>
        <v>0</v>
      </c>
      <c r="AS51" s="189">
        <f>SUMIFS(Table1[[المنصرف ]],Table1[[نوع المصروف ]],$A:$A,Table1[[الشهر ]],$AO$1,Table1[الفرع],'تحليلات 2024'!$F$20)</f>
        <v>0</v>
      </c>
      <c r="AT51" s="190">
        <f t="shared" si="70"/>
        <v>0</v>
      </c>
      <c r="AU51" s="189">
        <f>SUMIFS(Table1[[المنصرف ]],Table1[[نوع المصروف ]],$A:$A,Table1[[الشهر ]],$AO$1,Table1[الفرع],'تحليلات 2024'!$H$20)</f>
        <v>0</v>
      </c>
      <c r="AV51" s="190">
        <f t="shared" si="71"/>
        <v>0</v>
      </c>
      <c r="AW51" s="189">
        <f>SUMIFS(Table1[[المنصرف ]],Table1[[نوع المصروف ]],$A:$A,Table1[[الشهر ]],$AO$1,Table1[الفرع],'تحليلات 2024'!$J$20)</f>
        <v>0</v>
      </c>
      <c r="AX51" s="190">
        <f t="shared" si="72"/>
        <v>0</v>
      </c>
      <c r="AY51" s="189">
        <f t="shared" si="54"/>
        <v>0</v>
      </c>
      <c r="AZ51" s="190">
        <f t="shared" si="73"/>
        <v>0</v>
      </c>
    </row>
    <row r="52" spans="1:52">
      <c r="A52" s="200" t="s">
        <v>136</v>
      </c>
      <c r="B52" s="189">
        <f>SUMIFS(Table1[[المنصرف ]],Table1[[نوع المصروف ]],$A:$A,Table1[[الشهر ]],$B$1,Table1[الفرع],'تحليلات 2024'!$B$20)</f>
        <v>0</v>
      </c>
      <c r="C52" s="190">
        <f t="shared" si="35"/>
        <v>0</v>
      </c>
      <c r="D52" s="189">
        <f>SUMIFS(Table1[[المنصرف ]],Table1[[نوع المصروف ]],$A:$A,Table1[[الشهر ]],$B$1,Table1[الفرع],'تحليلات 2024'!$D$20)</f>
        <v>0</v>
      </c>
      <c r="E52" s="190">
        <f t="shared" si="36"/>
        <v>0</v>
      </c>
      <c r="F52" s="189">
        <f>SUMIFS(Table1[[المنصرف ]],Table1[[نوع المصروف ]],$A:$A,Table1[[الشهر ]],$B$1,Table1[الفرع],'تحليلات 2024'!$F$20)</f>
        <v>0</v>
      </c>
      <c r="G52" s="190">
        <f t="shared" si="37"/>
        <v>0</v>
      </c>
      <c r="H52" s="189">
        <f>SUMIFS(Table1[[المنصرف ]],Table1[[نوع المصروف ]],$A:$A,Table1[[الشهر ]],$B$1,Table1[الفرع],'تحليلات 2024'!$H$20)</f>
        <v>0</v>
      </c>
      <c r="I52" s="190">
        <f t="shared" si="28"/>
        <v>0</v>
      </c>
      <c r="J52" s="189">
        <f>SUMIFS(Table1[[المنصرف ]],Table1[[نوع المصروف ]],$A:$A,Table1[[الشهر ]],$B$1,Table1[الفرع],'تحليلات 2024'!$J$20)</f>
        <v>1003</v>
      </c>
      <c r="K52" s="190">
        <f t="shared" si="38"/>
        <v>1.1958721525364058E-3</v>
      </c>
      <c r="L52" s="189">
        <f t="shared" si="39"/>
        <v>1003</v>
      </c>
      <c r="M52" s="190">
        <f t="shared" si="40"/>
        <v>1.1958721525364058E-3</v>
      </c>
      <c r="O52" s="189">
        <f>SUMIFS(Table1[[المنصرف ]],Table1[[نوع المصروف ]],$A:$A,Table1[[الشهر ]],$O$1,Table1[الفرع],'تحليلات 2024'!$B$20)</f>
        <v>0</v>
      </c>
      <c r="P52" s="190">
        <f t="shared" si="56"/>
        <v>0</v>
      </c>
      <c r="Q52" s="189">
        <f>SUMIFS(Table1[[المنصرف ]],Table1[[نوع المصروف ]],$A:$A,Table1[[الشهر ]],$O$1,Table1[الفرع],'تحليلات 2024'!$D$20)</f>
        <v>0</v>
      </c>
      <c r="R52" s="190">
        <f t="shared" si="57"/>
        <v>0</v>
      </c>
      <c r="S52" s="189">
        <f>SUMIFS(Table1[[المنصرف ]],Table1[[نوع المصروف ]],$A:$A,Table1[[الشهر ]],$O$1,Table1[الفرع],'تحليلات 2024'!$F$20)</f>
        <v>0</v>
      </c>
      <c r="T52" s="190">
        <f t="shared" si="58"/>
        <v>0</v>
      </c>
      <c r="U52" s="189">
        <f>SUMIFS(Table1[[المنصرف ]],Table1[[نوع المصروف ]],$A:$A,Table1[[الشهر ]],$O$1,Table1[الفرع],'تحليلات 2024'!$H$20)</f>
        <v>0</v>
      </c>
      <c r="V52" s="190">
        <f t="shared" si="59"/>
        <v>0</v>
      </c>
      <c r="W52" s="189">
        <f>SUMIFS(Table1[[المنصرف ]],Table1[[نوع المصروف ]],$A:$A,Table1[[الشهر ]],$O$1,Table1[الفرع],'تحليلات 2024'!$J$20)</f>
        <v>500</v>
      </c>
      <c r="X52" s="190">
        <f t="shared" si="60"/>
        <v>5.9614763336809863E-4</v>
      </c>
      <c r="Y52" s="189">
        <f t="shared" si="44"/>
        <v>500</v>
      </c>
      <c r="Z52" s="190">
        <f t="shared" si="61"/>
        <v>5.9614763336809863E-4</v>
      </c>
      <c r="AB52" s="189">
        <f>SUMIFS(Table1[[المنصرف ]],Table1[[نوع المصروف ]],$A:$A,Table1[[الشهر ]],$AB$1,Table1[الفرع],'تحليلات 2024'!$B$20)</f>
        <v>0</v>
      </c>
      <c r="AC52" s="190">
        <f t="shared" si="62"/>
        <v>0</v>
      </c>
      <c r="AD52" s="189">
        <f>SUMIFS(Table1[[المنصرف ]],Table1[[نوع المصروف ]],$A:$A,Table1[[الشهر ]],$AB$1,Table1[الفرع],'تحليلات 2024'!$D$20)</f>
        <v>0</v>
      </c>
      <c r="AE52" s="190">
        <f t="shared" si="63"/>
        <v>0</v>
      </c>
      <c r="AF52" s="189">
        <f>SUMIFS(Table1[[المنصرف ]],Table1[[نوع المصروف ]],$A:$A,Table1[[الشهر ]],$AB$1,Table1[الفرع],'تحليلات 2024'!$F$20)</f>
        <v>0</v>
      </c>
      <c r="AG52" s="190">
        <f t="shared" si="64"/>
        <v>0</v>
      </c>
      <c r="AH52" s="189">
        <f>SUMIFS(Table1[[المنصرف ]],Table1[[نوع المصروف ]],$A:$A,Table1[[الشهر ]],$AB$1,Table1[الفرع],'تحليلات 2024'!$H$20)</f>
        <v>0</v>
      </c>
      <c r="AI52" s="190">
        <f t="shared" si="65"/>
        <v>0</v>
      </c>
      <c r="AJ52" s="189">
        <f>SUMIFS(Table1[[المنصرف ]],Table1[[نوع المصروف ]],$A:$A,Table1[[الشهر ]],$AB$1,Table1[الفرع],'تحليلات 2024'!$J$20)</f>
        <v>0</v>
      </c>
      <c r="AK52" s="190">
        <f t="shared" si="66"/>
        <v>0</v>
      </c>
      <c r="AL52" s="189">
        <f t="shared" si="49"/>
        <v>0</v>
      </c>
      <c r="AM52" s="190">
        <f t="shared" si="67"/>
        <v>0</v>
      </c>
      <c r="AO52" s="189">
        <f>SUMIFS(Table1[[المنصرف ]],Table1[[نوع المصروف ]],$A:$A,Table1[[الشهر ]],$AO$1,Table1[الفرع],'تحليلات 2024'!$B$20)</f>
        <v>0</v>
      </c>
      <c r="AP52" s="190">
        <f t="shared" si="68"/>
        <v>0</v>
      </c>
      <c r="AQ52" s="189">
        <f>SUMIFS(Table1[[المنصرف ]],Table1[[نوع المصروف ]],$A:$A,Table1[[الشهر ]],$AO$1,Table1[الفرع],'تحليلات 2024'!$D$20)</f>
        <v>0</v>
      </c>
      <c r="AR52" s="190">
        <f t="shared" si="69"/>
        <v>0</v>
      </c>
      <c r="AS52" s="189">
        <f>SUMIFS(Table1[[المنصرف ]],Table1[[نوع المصروف ]],$A:$A,Table1[[الشهر ]],$AO$1,Table1[الفرع],'تحليلات 2024'!$F$20)</f>
        <v>0</v>
      </c>
      <c r="AT52" s="190">
        <f t="shared" si="70"/>
        <v>0</v>
      </c>
      <c r="AU52" s="189">
        <f>SUMIFS(Table1[[المنصرف ]],Table1[[نوع المصروف ]],$A:$A,Table1[[الشهر ]],$AO$1,Table1[الفرع],'تحليلات 2024'!$H$20)</f>
        <v>0</v>
      </c>
      <c r="AV52" s="190">
        <f t="shared" si="71"/>
        <v>0</v>
      </c>
      <c r="AW52" s="189">
        <f>SUMIFS(Table1[[المنصرف ]],Table1[[نوع المصروف ]],$A:$A,Table1[[الشهر ]],$AO$1,Table1[الفرع],'تحليلات 2024'!$J$20)</f>
        <v>0</v>
      </c>
      <c r="AX52" s="190">
        <f t="shared" si="72"/>
        <v>0</v>
      </c>
      <c r="AY52" s="189">
        <f t="shared" si="54"/>
        <v>0</v>
      </c>
      <c r="AZ52" s="190">
        <f t="shared" si="73"/>
        <v>0</v>
      </c>
    </row>
    <row r="53" spans="1:52">
      <c r="A53" s="200" t="s">
        <v>137</v>
      </c>
      <c r="B53" s="189">
        <f>SUMIFS(Table1[[المنصرف ]],Table1[[نوع المصروف ]],$A:$A,Table1[[الشهر ]],$B$1,Table1[الفرع],'تحليلات 2024'!$B$20)</f>
        <v>0</v>
      </c>
      <c r="C53" s="190">
        <f t="shared" si="35"/>
        <v>0</v>
      </c>
      <c r="D53" s="189">
        <f>SUMIFS(Table1[[المنصرف ]],Table1[[نوع المصروف ]],$A:$A,Table1[[الشهر ]],$B$1,Table1[الفرع],'تحليلات 2024'!$D$20)</f>
        <v>0</v>
      </c>
      <c r="E53" s="190">
        <f t="shared" si="36"/>
        <v>0</v>
      </c>
      <c r="F53" s="189">
        <f>SUMIFS(Table1[[المنصرف ]],Table1[[نوع المصروف ]],$A:$A,Table1[[الشهر ]],$B$1,Table1[الفرع],'تحليلات 2024'!$F$20)</f>
        <v>0</v>
      </c>
      <c r="G53" s="190">
        <f t="shared" si="37"/>
        <v>0</v>
      </c>
      <c r="H53" s="189">
        <f>SUMIFS(Table1[[المنصرف ]],Table1[[نوع المصروف ]],$A:$A,Table1[[الشهر ]],$B$1,Table1[الفرع],'تحليلات 2024'!$H$20)</f>
        <v>0</v>
      </c>
      <c r="I53" s="190">
        <f t="shared" si="28"/>
        <v>0</v>
      </c>
      <c r="J53" s="189">
        <f>SUMIFS(Table1[[المنصرف ]],Table1[[نوع المصروف ]],$A:$A,Table1[[الشهر ]],$B$1,Table1[الفرع],'تحليلات 2024'!$J$20)</f>
        <v>0</v>
      </c>
      <c r="K53" s="190">
        <f t="shared" si="38"/>
        <v>0</v>
      </c>
      <c r="L53" s="189">
        <f t="shared" si="39"/>
        <v>0</v>
      </c>
      <c r="M53" s="190">
        <f t="shared" si="40"/>
        <v>0</v>
      </c>
      <c r="O53" s="189">
        <f>SUMIFS(Table1[[المنصرف ]],Table1[[نوع المصروف ]],$A:$A,Table1[[الشهر ]],$O$1,Table1[الفرع],'تحليلات 2024'!$B$20)</f>
        <v>0</v>
      </c>
      <c r="P53" s="190">
        <f t="shared" si="56"/>
        <v>0</v>
      </c>
      <c r="Q53" s="189">
        <f>SUMIFS(Table1[[المنصرف ]],Table1[[نوع المصروف ]],$A:$A,Table1[[الشهر ]],$O$1,Table1[الفرع],'تحليلات 2024'!$D$20)</f>
        <v>0</v>
      </c>
      <c r="R53" s="190">
        <f t="shared" si="57"/>
        <v>0</v>
      </c>
      <c r="S53" s="189">
        <f>SUMIFS(Table1[[المنصرف ]],Table1[[نوع المصروف ]],$A:$A,Table1[[الشهر ]],$O$1,Table1[الفرع],'تحليلات 2024'!$F$20)</f>
        <v>0</v>
      </c>
      <c r="T53" s="190">
        <f t="shared" si="58"/>
        <v>0</v>
      </c>
      <c r="U53" s="189">
        <f>SUMIFS(Table1[[المنصرف ]],Table1[[نوع المصروف ]],$A:$A,Table1[[الشهر ]],$O$1,Table1[الفرع],'تحليلات 2024'!$H$20)</f>
        <v>0</v>
      </c>
      <c r="V53" s="190">
        <f t="shared" si="59"/>
        <v>0</v>
      </c>
      <c r="W53" s="189">
        <f>SUMIFS(Table1[[المنصرف ]],Table1[[نوع المصروف ]],$A:$A,Table1[[الشهر ]],$O$1,Table1[الفرع],'تحليلات 2024'!$J$20)</f>
        <v>0</v>
      </c>
      <c r="X53" s="190">
        <f t="shared" si="60"/>
        <v>0</v>
      </c>
      <c r="Y53" s="189">
        <f t="shared" si="44"/>
        <v>0</v>
      </c>
      <c r="Z53" s="190">
        <f t="shared" si="61"/>
        <v>0</v>
      </c>
      <c r="AB53" s="189">
        <f>SUMIFS(Table1[[المنصرف ]],Table1[[نوع المصروف ]],$A:$A,Table1[[الشهر ]],$AB$1,Table1[الفرع],'تحليلات 2024'!$B$20)</f>
        <v>0</v>
      </c>
      <c r="AC53" s="190">
        <f t="shared" si="62"/>
        <v>0</v>
      </c>
      <c r="AD53" s="189">
        <f>SUMIFS(Table1[[المنصرف ]],Table1[[نوع المصروف ]],$A:$A,Table1[[الشهر ]],$AB$1,Table1[الفرع],'تحليلات 2024'!$D$20)</f>
        <v>0</v>
      </c>
      <c r="AE53" s="190">
        <f t="shared" si="63"/>
        <v>0</v>
      </c>
      <c r="AF53" s="189">
        <f>SUMIFS(Table1[[المنصرف ]],Table1[[نوع المصروف ]],$A:$A,Table1[[الشهر ]],$AB$1,Table1[الفرع],'تحليلات 2024'!$F$20)</f>
        <v>0</v>
      </c>
      <c r="AG53" s="190">
        <f t="shared" si="64"/>
        <v>0</v>
      </c>
      <c r="AH53" s="189">
        <f>SUMIFS(Table1[[المنصرف ]],Table1[[نوع المصروف ]],$A:$A,Table1[[الشهر ]],$AB$1,Table1[الفرع],'تحليلات 2024'!$H$20)</f>
        <v>0</v>
      </c>
      <c r="AI53" s="190">
        <f t="shared" si="65"/>
        <v>0</v>
      </c>
      <c r="AJ53" s="189">
        <f>SUMIFS(Table1[[المنصرف ]],Table1[[نوع المصروف ]],$A:$A,Table1[[الشهر ]],$AB$1,Table1[الفرع],'تحليلات 2024'!$J$20)</f>
        <v>0</v>
      </c>
      <c r="AK53" s="190">
        <f t="shared" si="66"/>
        <v>0</v>
      </c>
      <c r="AL53" s="189">
        <f t="shared" si="49"/>
        <v>0</v>
      </c>
      <c r="AM53" s="190">
        <f t="shared" si="67"/>
        <v>0</v>
      </c>
      <c r="AO53" s="189">
        <f>SUMIFS(Table1[[المنصرف ]],Table1[[نوع المصروف ]],$A:$A,Table1[[الشهر ]],$AO$1,Table1[الفرع],'تحليلات 2024'!$B$20)</f>
        <v>0</v>
      </c>
      <c r="AP53" s="190">
        <f t="shared" si="68"/>
        <v>0</v>
      </c>
      <c r="AQ53" s="189">
        <f>SUMIFS(Table1[[المنصرف ]],Table1[[نوع المصروف ]],$A:$A,Table1[[الشهر ]],$AO$1,Table1[الفرع],'تحليلات 2024'!$D$20)</f>
        <v>0</v>
      </c>
      <c r="AR53" s="190">
        <f t="shared" si="69"/>
        <v>0</v>
      </c>
      <c r="AS53" s="189">
        <f>SUMIFS(Table1[[المنصرف ]],Table1[[نوع المصروف ]],$A:$A,Table1[[الشهر ]],$AO$1,Table1[الفرع],'تحليلات 2024'!$F$20)</f>
        <v>0</v>
      </c>
      <c r="AT53" s="190">
        <f t="shared" si="70"/>
        <v>0</v>
      </c>
      <c r="AU53" s="189">
        <f>SUMIFS(Table1[[المنصرف ]],Table1[[نوع المصروف ]],$A:$A,Table1[[الشهر ]],$AO$1,Table1[الفرع],'تحليلات 2024'!$H$20)</f>
        <v>0</v>
      </c>
      <c r="AV53" s="190">
        <f t="shared" si="71"/>
        <v>0</v>
      </c>
      <c r="AW53" s="189">
        <f>SUMIFS(Table1[[المنصرف ]],Table1[[نوع المصروف ]],$A:$A,Table1[[الشهر ]],$AO$1,Table1[الفرع],'تحليلات 2024'!$J$20)</f>
        <v>0</v>
      </c>
      <c r="AX53" s="190">
        <f t="shared" si="72"/>
        <v>0</v>
      </c>
      <c r="AY53" s="189">
        <f t="shared" si="54"/>
        <v>0</v>
      </c>
      <c r="AZ53" s="190">
        <f t="shared" si="73"/>
        <v>0</v>
      </c>
    </row>
    <row r="54" spans="1:52">
      <c r="A54" s="200" t="s">
        <v>138</v>
      </c>
      <c r="B54" s="189">
        <f>SUMIFS(Table1[[المنصرف ]],Table1[[نوع المصروف ]],$A:$A,Table1[[الشهر ]],$B$1,Table1[الفرع],'تحليلات 2024'!$B$20)</f>
        <v>0</v>
      </c>
      <c r="C54" s="190">
        <f t="shared" si="35"/>
        <v>0</v>
      </c>
      <c r="D54" s="189">
        <f>SUMIFS(Table1[[المنصرف ]],Table1[[نوع المصروف ]],$A:$A,Table1[[الشهر ]],$B$1,Table1[الفرع],'تحليلات 2024'!$D$20)</f>
        <v>0</v>
      </c>
      <c r="E54" s="190">
        <f t="shared" si="36"/>
        <v>0</v>
      </c>
      <c r="F54" s="189">
        <f>SUMIFS(Table1[[المنصرف ]],Table1[[نوع المصروف ]],$A:$A,Table1[[الشهر ]],$B$1,Table1[الفرع],'تحليلات 2024'!$F$20)</f>
        <v>0</v>
      </c>
      <c r="G54" s="190">
        <f t="shared" si="37"/>
        <v>0</v>
      </c>
      <c r="H54" s="189">
        <f>SUMIFS(Table1[[المنصرف ]],Table1[[نوع المصروف ]],$A:$A,Table1[[الشهر ]],$B$1,Table1[الفرع],'تحليلات 2024'!$H$20)</f>
        <v>0</v>
      </c>
      <c r="I54" s="190">
        <f t="shared" si="28"/>
        <v>0</v>
      </c>
      <c r="J54" s="189">
        <f>SUMIFS(Table1[[المنصرف ]],Table1[[نوع المصروف ]],$A:$A,Table1[[الشهر ]],$B$1,Table1[الفرع],'تحليلات 2024'!$J$20)</f>
        <v>0</v>
      </c>
      <c r="K54" s="190">
        <f t="shared" si="38"/>
        <v>0</v>
      </c>
      <c r="L54" s="189">
        <f t="shared" si="39"/>
        <v>0</v>
      </c>
      <c r="M54" s="190">
        <f t="shared" si="40"/>
        <v>0</v>
      </c>
      <c r="O54" s="189">
        <f>SUMIFS(Table1[[المنصرف ]],Table1[[نوع المصروف ]],$A:$A,Table1[[الشهر ]],$O$1,Table1[الفرع],'تحليلات 2024'!$B$20)</f>
        <v>0</v>
      </c>
      <c r="P54" s="190">
        <f t="shared" si="56"/>
        <v>0</v>
      </c>
      <c r="Q54" s="189">
        <f>SUMIFS(Table1[[المنصرف ]],Table1[[نوع المصروف ]],$A:$A,Table1[[الشهر ]],$O$1,Table1[الفرع],'تحليلات 2024'!$D$20)</f>
        <v>0</v>
      </c>
      <c r="R54" s="190">
        <f t="shared" si="57"/>
        <v>0</v>
      </c>
      <c r="S54" s="189">
        <f>SUMIFS(Table1[[المنصرف ]],Table1[[نوع المصروف ]],$A:$A,Table1[[الشهر ]],$O$1,Table1[الفرع],'تحليلات 2024'!$F$20)</f>
        <v>0</v>
      </c>
      <c r="T54" s="190">
        <f t="shared" si="58"/>
        <v>0</v>
      </c>
      <c r="U54" s="189">
        <f>SUMIFS(Table1[[المنصرف ]],Table1[[نوع المصروف ]],$A:$A,Table1[[الشهر ]],$O$1,Table1[الفرع],'تحليلات 2024'!$H$20)</f>
        <v>0</v>
      </c>
      <c r="V54" s="190">
        <f t="shared" si="59"/>
        <v>0</v>
      </c>
      <c r="W54" s="189">
        <f>SUMIFS(Table1[[المنصرف ]],Table1[[نوع المصروف ]],$A:$A,Table1[[الشهر ]],$O$1,Table1[الفرع],'تحليلات 2024'!$J$20)</f>
        <v>0</v>
      </c>
      <c r="X54" s="190">
        <f t="shared" si="60"/>
        <v>0</v>
      </c>
      <c r="Y54" s="189">
        <f t="shared" si="44"/>
        <v>0</v>
      </c>
      <c r="Z54" s="190">
        <f t="shared" si="61"/>
        <v>0</v>
      </c>
      <c r="AB54" s="189">
        <f>SUMIFS(Table1[[المنصرف ]],Table1[[نوع المصروف ]],$A:$A,Table1[[الشهر ]],$AB$1,Table1[الفرع],'تحليلات 2024'!$B$20)</f>
        <v>0</v>
      </c>
      <c r="AC54" s="190">
        <f t="shared" si="62"/>
        <v>0</v>
      </c>
      <c r="AD54" s="189">
        <f>SUMIFS(Table1[[المنصرف ]],Table1[[نوع المصروف ]],$A:$A,Table1[[الشهر ]],$AB$1,Table1[الفرع],'تحليلات 2024'!$D$20)</f>
        <v>0</v>
      </c>
      <c r="AE54" s="190">
        <f t="shared" si="63"/>
        <v>0</v>
      </c>
      <c r="AF54" s="189">
        <f>SUMIFS(Table1[[المنصرف ]],Table1[[نوع المصروف ]],$A:$A,Table1[[الشهر ]],$AB$1,Table1[الفرع],'تحليلات 2024'!$F$20)</f>
        <v>0</v>
      </c>
      <c r="AG54" s="190">
        <f t="shared" si="64"/>
        <v>0</v>
      </c>
      <c r="AH54" s="189">
        <f>SUMIFS(Table1[[المنصرف ]],Table1[[نوع المصروف ]],$A:$A,Table1[[الشهر ]],$AB$1,Table1[الفرع],'تحليلات 2024'!$H$20)</f>
        <v>0</v>
      </c>
      <c r="AI54" s="190">
        <f t="shared" si="65"/>
        <v>0</v>
      </c>
      <c r="AJ54" s="189">
        <f>SUMIFS(Table1[[المنصرف ]],Table1[[نوع المصروف ]],$A:$A,Table1[[الشهر ]],$AB$1,Table1[الفرع],'تحليلات 2024'!$J$20)</f>
        <v>0</v>
      </c>
      <c r="AK54" s="190">
        <f t="shared" si="66"/>
        <v>0</v>
      </c>
      <c r="AL54" s="189">
        <f t="shared" si="49"/>
        <v>0</v>
      </c>
      <c r="AM54" s="190">
        <f t="shared" si="67"/>
        <v>0</v>
      </c>
      <c r="AO54" s="189">
        <f>SUMIFS(Table1[[المنصرف ]],Table1[[نوع المصروف ]],$A:$A,Table1[[الشهر ]],$AO$1,Table1[الفرع],'تحليلات 2024'!$B$20)</f>
        <v>0</v>
      </c>
      <c r="AP54" s="190">
        <f t="shared" si="68"/>
        <v>0</v>
      </c>
      <c r="AQ54" s="189">
        <f>SUMIFS(Table1[[المنصرف ]],Table1[[نوع المصروف ]],$A:$A,Table1[[الشهر ]],$AO$1,Table1[الفرع],'تحليلات 2024'!$D$20)</f>
        <v>0</v>
      </c>
      <c r="AR54" s="190">
        <f t="shared" si="69"/>
        <v>0</v>
      </c>
      <c r="AS54" s="189">
        <f>SUMIFS(Table1[[المنصرف ]],Table1[[نوع المصروف ]],$A:$A,Table1[[الشهر ]],$AO$1,Table1[الفرع],'تحليلات 2024'!$F$20)</f>
        <v>0</v>
      </c>
      <c r="AT54" s="190">
        <f t="shared" si="70"/>
        <v>0</v>
      </c>
      <c r="AU54" s="189">
        <f>SUMIFS(Table1[[المنصرف ]],Table1[[نوع المصروف ]],$A:$A,Table1[[الشهر ]],$AO$1,Table1[الفرع],'تحليلات 2024'!$H$20)</f>
        <v>0</v>
      </c>
      <c r="AV54" s="190">
        <f t="shared" si="71"/>
        <v>0</v>
      </c>
      <c r="AW54" s="189">
        <f>SUMIFS(Table1[[المنصرف ]],Table1[[نوع المصروف ]],$A:$A,Table1[[الشهر ]],$AO$1,Table1[الفرع],'تحليلات 2024'!$J$20)</f>
        <v>0</v>
      </c>
      <c r="AX54" s="190">
        <f t="shared" si="72"/>
        <v>0</v>
      </c>
      <c r="AY54" s="189">
        <f t="shared" si="54"/>
        <v>0</v>
      </c>
      <c r="AZ54" s="190">
        <f t="shared" si="73"/>
        <v>0</v>
      </c>
    </row>
    <row r="55" spans="1:52">
      <c r="A55" s="200" t="s">
        <v>139</v>
      </c>
      <c r="B55" s="189">
        <f>SUMIFS(Table1[[المنصرف ]],Table1[[نوع المصروف ]],$A:$A,Table1[[الشهر ]],$B$1,Table1[الفرع],'تحليلات 2024'!$B$20)</f>
        <v>0</v>
      </c>
      <c r="C55" s="190">
        <f t="shared" si="35"/>
        <v>0</v>
      </c>
      <c r="D55" s="189">
        <f>SUMIFS(Table1[[المنصرف ]],Table1[[نوع المصروف ]],$A:$A,Table1[[الشهر ]],$B$1,Table1[الفرع],'تحليلات 2024'!$D$20)</f>
        <v>0</v>
      </c>
      <c r="E55" s="190">
        <f t="shared" si="36"/>
        <v>0</v>
      </c>
      <c r="F55" s="189">
        <f>SUMIFS(Table1[[المنصرف ]],Table1[[نوع المصروف ]],$A:$A,Table1[[الشهر ]],$B$1,Table1[الفرع],'تحليلات 2024'!$F$20)</f>
        <v>0</v>
      </c>
      <c r="G55" s="190">
        <f t="shared" si="37"/>
        <v>0</v>
      </c>
      <c r="H55" s="189">
        <f>SUMIFS(Table1[[المنصرف ]],Table1[[نوع المصروف ]],$A:$A,Table1[[الشهر ]],$B$1,Table1[الفرع],'تحليلات 2024'!$H$20)</f>
        <v>0</v>
      </c>
      <c r="I55" s="190">
        <f t="shared" si="28"/>
        <v>0</v>
      </c>
      <c r="J55" s="189">
        <f>SUMIFS(Table1[[المنصرف ]],Table1[[نوع المصروف ]],$A:$A,Table1[[الشهر ]],$B$1,Table1[الفرع],'تحليلات 2024'!$J$20)</f>
        <v>0</v>
      </c>
      <c r="K55" s="190">
        <f t="shared" si="38"/>
        <v>0</v>
      </c>
      <c r="L55" s="189">
        <f t="shared" si="39"/>
        <v>0</v>
      </c>
      <c r="M55" s="190">
        <f t="shared" si="40"/>
        <v>0</v>
      </c>
      <c r="O55" s="189">
        <f>SUMIFS(Table1[[المنصرف ]],Table1[[نوع المصروف ]],$A:$A,Table1[[الشهر ]],$O$1,Table1[الفرع],'تحليلات 2024'!$B$20)</f>
        <v>0</v>
      </c>
      <c r="P55" s="190">
        <f t="shared" si="56"/>
        <v>0</v>
      </c>
      <c r="Q55" s="189">
        <f>SUMIFS(Table1[[المنصرف ]],Table1[[نوع المصروف ]],$A:$A,Table1[[الشهر ]],$O$1,Table1[الفرع],'تحليلات 2024'!$D$20)</f>
        <v>0</v>
      </c>
      <c r="R55" s="190">
        <f t="shared" si="57"/>
        <v>0</v>
      </c>
      <c r="S55" s="189">
        <f>SUMIFS(Table1[[المنصرف ]],Table1[[نوع المصروف ]],$A:$A,Table1[[الشهر ]],$O$1,Table1[الفرع],'تحليلات 2024'!$F$20)</f>
        <v>0</v>
      </c>
      <c r="T55" s="190">
        <f t="shared" si="58"/>
        <v>0</v>
      </c>
      <c r="U55" s="189">
        <f>SUMIFS(Table1[[المنصرف ]],Table1[[نوع المصروف ]],$A:$A,Table1[[الشهر ]],$O$1,Table1[الفرع],'تحليلات 2024'!$H$20)</f>
        <v>0</v>
      </c>
      <c r="V55" s="190">
        <f t="shared" si="59"/>
        <v>0</v>
      </c>
      <c r="W55" s="189">
        <f>SUMIFS(Table1[[المنصرف ]],Table1[[نوع المصروف ]],$A:$A,Table1[[الشهر ]],$O$1,Table1[الفرع],'تحليلات 2024'!$J$20)</f>
        <v>0</v>
      </c>
      <c r="X55" s="190">
        <f t="shared" si="60"/>
        <v>0</v>
      </c>
      <c r="Y55" s="189">
        <f t="shared" si="44"/>
        <v>0</v>
      </c>
      <c r="Z55" s="190">
        <f t="shared" si="61"/>
        <v>0</v>
      </c>
      <c r="AB55" s="189">
        <f>SUMIFS(Table1[[المنصرف ]],Table1[[نوع المصروف ]],$A:$A,Table1[[الشهر ]],$AB$1,Table1[الفرع],'تحليلات 2024'!$B$20)</f>
        <v>0</v>
      </c>
      <c r="AC55" s="190">
        <f t="shared" si="62"/>
        <v>0</v>
      </c>
      <c r="AD55" s="189">
        <f>SUMIFS(Table1[[المنصرف ]],Table1[[نوع المصروف ]],$A:$A,Table1[[الشهر ]],$AB$1,Table1[الفرع],'تحليلات 2024'!$D$20)</f>
        <v>0</v>
      </c>
      <c r="AE55" s="190">
        <f t="shared" si="63"/>
        <v>0</v>
      </c>
      <c r="AF55" s="189">
        <f>SUMIFS(Table1[[المنصرف ]],Table1[[نوع المصروف ]],$A:$A,Table1[[الشهر ]],$AB$1,Table1[الفرع],'تحليلات 2024'!$F$20)</f>
        <v>0</v>
      </c>
      <c r="AG55" s="190">
        <f t="shared" si="64"/>
        <v>0</v>
      </c>
      <c r="AH55" s="189">
        <f>SUMIFS(Table1[[المنصرف ]],Table1[[نوع المصروف ]],$A:$A,Table1[[الشهر ]],$AB$1,Table1[الفرع],'تحليلات 2024'!$H$20)</f>
        <v>0</v>
      </c>
      <c r="AI55" s="190">
        <f t="shared" si="65"/>
        <v>0</v>
      </c>
      <c r="AJ55" s="189">
        <f>SUMIFS(Table1[[المنصرف ]],Table1[[نوع المصروف ]],$A:$A,Table1[[الشهر ]],$AB$1,Table1[الفرع],'تحليلات 2024'!$J$20)</f>
        <v>0</v>
      </c>
      <c r="AK55" s="190">
        <f t="shared" si="66"/>
        <v>0</v>
      </c>
      <c r="AL55" s="189">
        <f t="shared" si="49"/>
        <v>0</v>
      </c>
      <c r="AM55" s="190">
        <f t="shared" si="67"/>
        <v>0</v>
      </c>
      <c r="AO55" s="189">
        <f>SUMIFS(Table1[[المنصرف ]],Table1[[نوع المصروف ]],$A:$A,Table1[[الشهر ]],$AO$1,Table1[الفرع],'تحليلات 2024'!$B$20)</f>
        <v>0</v>
      </c>
      <c r="AP55" s="190">
        <f t="shared" si="68"/>
        <v>0</v>
      </c>
      <c r="AQ55" s="189">
        <f>SUMIFS(Table1[[المنصرف ]],Table1[[نوع المصروف ]],$A:$A,Table1[[الشهر ]],$AO$1,Table1[الفرع],'تحليلات 2024'!$D$20)</f>
        <v>0</v>
      </c>
      <c r="AR55" s="190">
        <f t="shared" si="69"/>
        <v>0</v>
      </c>
      <c r="AS55" s="189">
        <f>SUMIFS(Table1[[المنصرف ]],Table1[[نوع المصروف ]],$A:$A,Table1[[الشهر ]],$AO$1,Table1[الفرع],'تحليلات 2024'!$F$20)</f>
        <v>0</v>
      </c>
      <c r="AT55" s="190">
        <f t="shared" si="70"/>
        <v>0</v>
      </c>
      <c r="AU55" s="189">
        <f>SUMIFS(Table1[[المنصرف ]],Table1[[نوع المصروف ]],$A:$A,Table1[[الشهر ]],$AO$1,Table1[الفرع],'تحليلات 2024'!$H$20)</f>
        <v>0</v>
      </c>
      <c r="AV55" s="190">
        <f t="shared" si="71"/>
        <v>0</v>
      </c>
      <c r="AW55" s="189">
        <f>SUMIFS(Table1[[المنصرف ]],Table1[[نوع المصروف ]],$A:$A,Table1[[الشهر ]],$AO$1,Table1[الفرع],'تحليلات 2024'!$J$20)</f>
        <v>0</v>
      </c>
      <c r="AX55" s="190">
        <f t="shared" si="72"/>
        <v>0</v>
      </c>
      <c r="AY55" s="189">
        <f t="shared" si="54"/>
        <v>0</v>
      </c>
      <c r="AZ55" s="190">
        <f t="shared" si="73"/>
        <v>0</v>
      </c>
    </row>
    <row r="56" spans="1:52">
      <c r="A56" s="200" t="s">
        <v>140</v>
      </c>
      <c r="B56" s="189">
        <f>SUMIFS(Table1[[المنصرف ]],Table1[[نوع المصروف ]],$A:$A,Table1[[الشهر ]],$B$1,Table1[الفرع],'تحليلات 2024'!$B$20)</f>
        <v>0</v>
      </c>
      <c r="C56" s="190">
        <f t="shared" si="35"/>
        <v>0</v>
      </c>
      <c r="D56" s="189">
        <f>SUMIFS(Table1[[المنصرف ]],Table1[[نوع المصروف ]],$A:$A,Table1[[الشهر ]],$B$1,Table1[الفرع],'تحليلات 2024'!$D$20)</f>
        <v>0</v>
      </c>
      <c r="E56" s="190">
        <f t="shared" si="36"/>
        <v>0</v>
      </c>
      <c r="F56" s="189">
        <f>SUMIFS(Table1[[المنصرف ]],Table1[[نوع المصروف ]],$A:$A,Table1[[الشهر ]],$B$1,Table1[الفرع],'تحليلات 2024'!$F$20)</f>
        <v>0</v>
      </c>
      <c r="G56" s="190">
        <f t="shared" si="37"/>
        <v>0</v>
      </c>
      <c r="H56" s="189">
        <f>SUMIFS(Table1[[المنصرف ]],Table1[[نوع المصروف ]],$A:$A,Table1[[الشهر ]],$B$1,Table1[الفرع],'تحليلات 2024'!$H$20)</f>
        <v>0</v>
      </c>
      <c r="I56" s="190">
        <f t="shared" si="28"/>
        <v>0</v>
      </c>
      <c r="J56" s="189">
        <f>SUMIFS(Table1[[المنصرف ]],Table1[[نوع المصروف ]],$A:$A,Table1[[الشهر ]],$B$1,Table1[الفرع],'تحليلات 2024'!$J$20)</f>
        <v>0</v>
      </c>
      <c r="K56" s="190">
        <f t="shared" si="38"/>
        <v>0</v>
      </c>
      <c r="L56" s="189">
        <f t="shared" si="39"/>
        <v>0</v>
      </c>
      <c r="M56" s="190">
        <f t="shared" si="40"/>
        <v>0</v>
      </c>
      <c r="O56" s="189">
        <f>SUMIFS(Table1[[المنصرف ]],Table1[[نوع المصروف ]],$A:$A,Table1[[الشهر ]],$O$1,Table1[الفرع],'تحليلات 2024'!$B$20)</f>
        <v>0</v>
      </c>
      <c r="P56" s="190">
        <f t="shared" si="56"/>
        <v>0</v>
      </c>
      <c r="Q56" s="189">
        <f>SUMIFS(Table1[[المنصرف ]],Table1[[نوع المصروف ]],$A:$A,Table1[[الشهر ]],$O$1,Table1[الفرع],'تحليلات 2024'!$D$20)</f>
        <v>0</v>
      </c>
      <c r="R56" s="190">
        <f t="shared" si="57"/>
        <v>0</v>
      </c>
      <c r="S56" s="189">
        <f>SUMIFS(Table1[[المنصرف ]],Table1[[نوع المصروف ]],$A:$A,Table1[[الشهر ]],$O$1,Table1[الفرع],'تحليلات 2024'!$F$20)</f>
        <v>0</v>
      </c>
      <c r="T56" s="190">
        <f t="shared" si="58"/>
        <v>0</v>
      </c>
      <c r="U56" s="189">
        <f>SUMIFS(Table1[[المنصرف ]],Table1[[نوع المصروف ]],$A:$A,Table1[[الشهر ]],$O$1,Table1[الفرع],'تحليلات 2024'!$H$20)</f>
        <v>0</v>
      </c>
      <c r="V56" s="190">
        <f t="shared" si="59"/>
        <v>0</v>
      </c>
      <c r="W56" s="189">
        <f>SUMIFS(Table1[[المنصرف ]],Table1[[نوع المصروف ]],$A:$A,Table1[[الشهر ]],$O$1,Table1[الفرع],'تحليلات 2024'!$J$20)</f>
        <v>0</v>
      </c>
      <c r="X56" s="190">
        <f t="shared" si="60"/>
        <v>0</v>
      </c>
      <c r="Y56" s="189">
        <f t="shared" si="44"/>
        <v>0</v>
      </c>
      <c r="Z56" s="190">
        <f t="shared" si="61"/>
        <v>0</v>
      </c>
      <c r="AB56" s="189">
        <f>SUMIFS(Table1[[المنصرف ]],Table1[[نوع المصروف ]],$A:$A,Table1[[الشهر ]],$AB$1,Table1[الفرع],'تحليلات 2024'!$B$20)</f>
        <v>0</v>
      </c>
      <c r="AC56" s="190">
        <f t="shared" si="62"/>
        <v>0</v>
      </c>
      <c r="AD56" s="189">
        <f>SUMIFS(Table1[[المنصرف ]],Table1[[نوع المصروف ]],$A:$A,Table1[[الشهر ]],$AB$1,Table1[الفرع],'تحليلات 2024'!$D$20)</f>
        <v>0</v>
      </c>
      <c r="AE56" s="190">
        <f t="shared" si="63"/>
        <v>0</v>
      </c>
      <c r="AF56" s="189">
        <f>SUMIFS(Table1[[المنصرف ]],Table1[[نوع المصروف ]],$A:$A,Table1[[الشهر ]],$AB$1,Table1[الفرع],'تحليلات 2024'!$F$20)</f>
        <v>0</v>
      </c>
      <c r="AG56" s="190">
        <f t="shared" si="64"/>
        <v>0</v>
      </c>
      <c r="AH56" s="189">
        <f>SUMIFS(Table1[[المنصرف ]],Table1[[نوع المصروف ]],$A:$A,Table1[[الشهر ]],$AB$1,Table1[الفرع],'تحليلات 2024'!$H$20)</f>
        <v>0</v>
      </c>
      <c r="AI56" s="190">
        <f t="shared" si="65"/>
        <v>0</v>
      </c>
      <c r="AJ56" s="189">
        <f>SUMIFS(Table1[[المنصرف ]],Table1[[نوع المصروف ]],$A:$A,Table1[[الشهر ]],$AB$1,Table1[الفرع],'تحليلات 2024'!$J$20)</f>
        <v>0</v>
      </c>
      <c r="AK56" s="190">
        <f t="shared" si="66"/>
        <v>0</v>
      </c>
      <c r="AL56" s="189">
        <f t="shared" si="49"/>
        <v>0</v>
      </c>
      <c r="AM56" s="190">
        <f t="shared" si="67"/>
        <v>0</v>
      </c>
      <c r="AO56" s="189">
        <f>SUMIFS(Table1[[المنصرف ]],Table1[[نوع المصروف ]],$A:$A,Table1[[الشهر ]],$AO$1,Table1[الفرع],'تحليلات 2024'!$B$20)</f>
        <v>0</v>
      </c>
      <c r="AP56" s="190">
        <f t="shared" si="68"/>
        <v>0</v>
      </c>
      <c r="AQ56" s="189">
        <f>SUMIFS(Table1[[المنصرف ]],Table1[[نوع المصروف ]],$A:$A,Table1[[الشهر ]],$AO$1,Table1[الفرع],'تحليلات 2024'!$D$20)</f>
        <v>0</v>
      </c>
      <c r="AR56" s="190">
        <f t="shared" si="69"/>
        <v>0</v>
      </c>
      <c r="AS56" s="189">
        <f>SUMIFS(Table1[[المنصرف ]],Table1[[نوع المصروف ]],$A:$A,Table1[[الشهر ]],$AO$1,Table1[الفرع],'تحليلات 2024'!$F$20)</f>
        <v>0</v>
      </c>
      <c r="AT56" s="190">
        <f t="shared" si="70"/>
        <v>0</v>
      </c>
      <c r="AU56" s="189">
        <f>SUMIFS(Table1[[المنصرف ]],Table1[[نوع المصروف ]],$A:$A,Table1[[الشهر ]],$AO$1,Table1[الفرع],'تحليلات 2024'!$H$20)</f>
        <v>0</v>
      </c>
      <c r="AV56" s="190">
        <f t="shared" si="71"/>
        <v>0</v>
      </c>
      <c r="AW56" s="189">
        <f>SUMIFS(Table1[[المنصرف ]],Table1[[نوع المصروف ]],$A:$A,Table1[[الشهر ]],$AO$1,Table1[الفرع],'تحليلات 2024'!$J$20)</f>
        <v>0</v>
      </c>
      <c r="AX56" s="190">
        <f t="shared" si="72"/>
        <v>0</v>
      </c>
      <c r="AY56" s="189">
        <f t="shared" si="54"/>
        <v>0</v>
      </c>
      <c r="AZ56" s="190">
        <f t="shared" si="73"/>
        <v>0</v>
      </c>
    </row>
    <row r="57" spans="1:52">
      <c r="A57" s="200" t="s">
        <v>309</v>
      </c>
      <c r="B57" s="189">
        <f>SUMIFS(Table1[[المنصرف ]],Table1[[نوع المصروف ]],$A:$A,Table1[[الشهر ]],$B$1,Table1[الفرع],'تحليلات 2024'!$B$20)</f>
        <v>0</v>
      </c>
      <c r="C57" s="190">
        <f t="shared" si="35"/>
        <v>0</v>
      </c>
      <c r="D57" s="189">
        <f>SUMIFS(Table1[[المنصرف ]],Table1[[نوع المصروف ]],$A:$A,Table1[[الشهر ]],$B$1,Table1[الفرع],'تحليلات 2024'!$D$20)</f>
        <v>0</v>
      </c>
      <c r="E57" s="190">
        <f t="shared" si="36"/>
        <v>0</v>
      </c>
      <c r="F57" s="189">
        <f>SUMIFS(Table1[[المنصرف ]],Table1[[نوع المصروف ]],$A:$A,Table1[[الشهر ]],$B$1,Table1[الفرع],'تحليلات 2024'!$F$20)</f>
        <v>0</v>
      </c>
      <c r="G57" s="190">
        <f t="shared" si="37"/>
        <v>0</v>
      </c>
      <c r="H57" s="189">
        <f>SUMIFS(Table1[[المنصرف ]],Table1[[نوع المصروف ]],$A:$A,Table1[[الشهر ]],$B$1,Table1[الفرع],'تحليلات 2024'!$H$20)</f>
        <v>0</v>
      </c>
      <c r="I57" s="190">
        <f t="shared" si="28"/>
        <v>0</v>
      </c>
      <c r="J57" s="189">
        <f>SUMIFS(Table1[[المنصرف ]],Table1[[نوع المصروف ]],$A:$A,Table1[[الشهر ]],$B$1,Table1[الفرع],'تحليلات 2024'!$J$20)</f>
        <v>0</v>
      </c>
      <c r="K57" s="190">
        <f t="shared" si="38"/>
        <v>0</v>
      </c>
      <c r="L57" s="189">
        <f t="shared" si="39"/>
        <v>0</v>
      </c>
      <c r="M57" s="190">
        <f t="shared" si="40"/>
        <v>0</v>
      </c>
      <c r="O57" s="189">
        <f>SUMIFS(Table1[[المنصرف ]],Table1[[نوع المصروف ]],$A:$A,Table1[[الشهر ]],$O$1,Table1[الفرع],'تحليلات 2024'!$B$20)</f>
        <v>0</v>
      </c>
      <c r="P57" s="190">
        <f t="shared" si="56"/>
        <v>0</v>
      </c>
      <c r="Q57" s="189">
        <f>SUMIFS(Table1[[المنصرف ]],Table1[[نوع المصروف ]],$A:$A,Table1[[الشهر ]],$O$1,Table1[الفرع],'تحليلات 2024'!$D$20)</f>
        <v>0</v>
      </c>
      <c r="R57" s="190">
        <f t="shared" si="57"/>
        <v>0</v>
      </c>
      <c r="S57" s="189">
        <f>SUMIFS(Table1[[المنصرف ]],Table1[[نوع المصروف ]],$A:$A,Table1[[الشهر ]],$O$1,Table1[الفرع],'تحليلات 2024'!$F$20)</f>
        <v>0</v>
      </c>
      <c r="T57" s="190">
        <f t="shared" si="58"/>
        <v>0</v>
      </c>
      <c r="U57" s="189">
        <f>SUMIFS(Table1[[المنصرف ]],Table1[[نوع المصروف ]],$A:$A,Table1[[الشهر ]],$O$1,Table1[الفرع],'تحليلات 2024'!$H$20)</f>
        <v>0</v>
      </c>
      <c r="V57" s="190">
        <f t="shared" si="59"/>
        <v>0</v>
      </c>
      <c r="W57" s="189">
        <f>SUMIFS(Table1[[المنصرف ]],Table1[[نوع المصروف ]],$A:$A,Table1[[الشهر ]],$O$1,Table1[الفرع],'تحليلات 2024'!$J$20)</f>
        <v>0</v>
      </c>
      <c r="X57" s="190">
        <f t="shared" si="60"/>
        <v>0</v>
      </c>
      <c r="Y57" s="189">
        <f t="shared" si="44"/>
        <v>0</v>
      </c>
      <c r="Z57" s="190">
        <f t="shared" si="61"/>
        <v>0</v>
      </c>
      <c r="AB57" s="189">
        <f>SUMIFS(Table1[[المنصرف ]],Table1[[نوع المصروف ]],$A:$A,Table1[[الشهر ]],$AB$1,Table1[الفرع],'تحليلات 2024'!$B$20)</f>
        <v>0</v>
      </c>
      <c r="AC57" s="190">
        <f t="shared" si="62"/>
        <v>0</v>
      </c>
      <c r="AD57" s="189">
        <f>SUMIFS(Table1[[المنصرف ]],Table1[[نوع المصروف ]],$A:$A,Table1[[الشهر ]],$AB$1,Table1[الفرع],'تحليلات 2024'!$D$20)</f>
        <v>0</v>
      </c>
      <c r="AE57" s="190">
        <f t="shared" si="63"/>
        <v>0</v>
      </c>
      <c r="AF57" s="189">
        <f>SUMIFS(Table1[[المنصرف ]],Table1[[نوع المصروف ]],$A:$A,Table1[[الشهر ]],$AB$1,Table1[الفرع],'تحليلات 2024'!$F$20)</f>
        <v>0</v>
      </c>
      <c r="AG57" s="190">
        <f t="shared" si="64"/>
        <v>0</v>
      </c>
      <c r="AH57" s="189">
        <f>SUMIFS(Table1[[المنصرف ]],Table1[[نوع المصروف ]],$A:$A,Table1[[الشهر ]],$AB$1,Table1[الفرع],'تحليلات 2024'!$H$20)</f>
        <v>0</v>
      </c>
      <c r="AI57" s="190">
        <f t="shared" si="65"/>
        <v>0</v>
      </c>
      <c r="AJ57" s="189">
        <f>SUMIFS(Table1[[المنصرف ]],Table1[[نوع المصروف ]],$A:$A,Table1[[الشهر ]],$AB$1,Table1[الفرع],'تحليلات 2024'!$J$20)</f>
        <v>0</v>
      </c>
      <c r="AK57" s="190">
        <f t="shared" si="66"/>
        <v>0</v>
      </c>
      <c r="AL57" s="189">
        <f t="shared" si="49"/>
        <v>0</v>
      </c>
      <c r="AM57" s="190">
        <f t="shared" si="67"/>
        <v>0</v>
      </c>
      <c r="AO57" s="189">
        <f>SUMIFS(Table1[[المنصرف ]],Table1[[نوع المصروف ]],$A:$A,Table1[[الشهر ]],$AO$1,Table1[الفرع],'تحليلات 2024'!$B$20)</f>
        <v>0</v>
      </c>
      <c r="AP57" s="190">
        <f t="shared" si="68"/>
        <v>0</v>
      </c>
      <c r="AQ57" s="189">
        <f>SUMIFS(Table1[[المنصرف ]],Table1[[نوع المصروف ]],$A:$A,Table1[[الشهر ]],$AO$1,Table1[الفرع],'تحليلات 2024'!$D$20)</f>
        <v>0</v>
      </c>
      <c r="AR57" s="190">
        <f t="shared" si="69"/>
        <v>0</v>
      </c>
      <c r="AS57" s="189">
        <f>SUMIFS(Table1[[المنصرف ]],Table1[[نوع المصروف ]],$A:$A,Table1[[الشهر ]],$AO$1,Table1[الفرع],'تحليلات 2024'!$F$20)</f>
        <v>0</v>
      </c>
      <c r="AT57" s="190">
        <f t="shared" si="70"/>
        <v>0</v>
      </c>
      <c r="AU57" s="189">
        <f>SUMIFS(Table1[[المنصرف ]],Table1[[نوع المصروف ]],$A:$A,Table1[[الشهر ]],$AO$1,Table1[الفرع],'تحليلات 2024'!$H$20)</f>
        <v>0</v>
      </c>
      <c r="AV57" s="190">
        <f t="shared" si="71"/>
        <v>0</v>
      </c>
      <c r="AW57" s="189">
        <f>SUMIFS(Table1[[المنصرف ]],Table1[[نوع المصروف ]],$A:$A,Table1[[الشهر ]],$AO$1,Table1[الفرع],'تحليلات 2024'!$J$20)</f>
        <v>0</v>
      </c>
      <c r="AX57" s="190">
        <f t="shared" si="72"/>
        <v>0</v>
      </c>
      <c r="AY57" s="189">
        <f t="shared" si="54"/>
        <v>0</v>
      </c>
      <c r="AZ57" s="190">
        <f t="shared" si="73"/>
        <v>0</v>
      </c>
    </row>
    <row r="58" spans="1:52">
      <c r="A58" s="200" t="s">
        <v>317</v>
      </c>
      <c r="B58" s="189">
        <f>SUMIFS(Table1[[المنصرف ]],Table1[[نوع المصروف ]],$A:$A,Table1[[الشهر ]],$B$1,Table1[الفرع],'تحليلات 2024'!$B$20)</f>
        <v>0</v>
      </c>
      <c r="C58" s="190">
        <f t="shared" si="35"/>
        <v>0</v>
      </c>
      <c r="D58" s="189">
        <f>SUMIFS(Table1[[المنصرف ]],Table1[[نوع المصروف ]],$A:$A,Table1[[الشهر ]],$B$1,Table1[الفرع],'تحليلات 2024'!$D$20)</f>
        <v>0</v>
      </c>
      <c r="E58" s="190">
        <f t="shared" si="36"/>
        <v>0</v>
      </c>
      <c r="F58" s="189">
        <f>SUMIFS(Table1[[المنصرف ]],Table1[[نوع المصروف ]],$A:$A,Table1[[الشهر ]],$B$1,Table1[الفرع],'تحليلات 2024'!$F$20)</f>
        <v>0</v>
      </c>
      <c r="G58" s="190">
        <f t="shared" si="37"/>
        <v>0</v>
      </c>
      <c r="H58" s="189">
        <f>SUMIFS(Table1[[المنصرف ]],Table1[[نوع المصروف ]],$A:$A,Table1[[الشهر ]],$B$1,Table1[الفرع],'تحليلات 2024'!$H$20)</f>
        <v>0</v>
      </c>
      <c r="I58" s="190">
        <f t="shared" si="28"/>
        <v>0</v>
      </c>
      <c r="J58" s="189">
        <f>SUMIFS(Table1[[المنصرف ]],Table1[[نوع المصروف ]],$A:$A,Table1[[الشهر ]],$B$1,Table1[الفرع],'تحليلات 2024'!$J$20)</f>
        <v>0</v>
      </c>
      <c r="K58" s="190">
        <f t="shared" si="38"/>
        <v>0</v>
      </c>
      <c r="L58" s="189">
        <f t="shared" si="39"/>
        <v>0</v>
      </c>
      <c r="M58" s="190">
        <f t="shared" si="40"/>
        <v>0</v>
      </c>
      <c r="O58" s="189">
        <f>SUMIFS(Table1[[المنصرف ]],Table1[[نوع المصروف ]],$A:$A,Table1[[الشهر ]],$O$1,Table1[الفرع],'تحليلات 2024'!$B$20)</f>
        <v>0</v>
      </c>
      <c r="P58" s="190">
        <f t="shared" si="56"/>
        <v>0</v>
      </c>
      <c r="Q58" s="189">
        <f>SUMIFS(Table1[[المنصرف ]],Table1[[نوع المصروف ]],$A:$A,Table1[[الشهر ]],$O$1,Table1[الفرع],'تحليلات 2024'!$D$20)</f>
        <v>0</v>
      </c>
      <c r="R58" s="190">
        <f t="shared" si="57"/>
        <v>0</v>
      </c>
      <c r="S58" s="189">
        <f>SUMIFS(Table1[[المنصرف ]],Table1[[نوع المصروف ]],$A:$A,Table1[[الشهر ]],$O$1,Table1[الفرع],'تحليلات 2024'!$F$20)</f>
        <v>0</v>
      </c>
      <c r="T58" s="190">
        <f t="shared" si="58"/>
        <v>0</v>
      </c>
      <c r="U58" s="189">
        <f>SUMIFS(Table1[[المنصرف ]],Table1[[نوع المصروف ]],$A:$A,Table1[[الشهر ]],$O$1,Table1[الفرع],'تحليلات 2024'!$H$20)</f>
        <v>0</v>
      </c>
      <c r="V58" s="190">
        <f t="shared" si="59"/>
        <v>0</v>
      </c>
      <c r="W58" s="189">
        <f>SUMIFS(Table1[[المنصرف ]],Table1[[نوع المصروف ]],$A:$A,Table1[[الشهر ]],$O$1,Table1[الفرع],'تحليلات 2024'!$J$20)</f>
        <v>0</v>
      </c>
      <c r="X58" s="190">
        <f t="shared" si="60"/>
        <v>0</v>
      </c>
      <c r="Y58" s="189">
        <f t="shared" si="44"/>
        <v>0</v>
      </c>
      <c r="Z58" s="190">
        <f t="shared" si="61"/>
        <v>0</v>
      </c>
      <c r="AB58" s="189">
        <f>SUMIFS(Table1[[المنصرف ]],Table1[[نوع المصروف ]],$A:$A,Table1[[الشهر ]],$AB$1,Table1[الفرع],'تحليلات 2024'!$B$20)</f>
        <v>0</v>
      </c>
      <c r="AC58" s="190">
        <f t="shared" si="62"/>
        <v>0</v>
      </c>
      <c r="AD58" s="189">
        <f>SUMIFS(Table1[[المنصرف ]],Table1[[نوع المصروف ]],$A:$A,Table1[[الشهر ]],$AB$1,Table1[الفرع],'تحليلات 2024'!$D$20)</f>
        <v>0</v>
      </c>
      <c r="AE58" s="190">
        <f t="shared" si="63"/>
        <v>0</v>
      </c>
      <c r="AF58" s="189">
        <f>SUMIFS(Table1[[المنصرف ]],Table1[[نوع المصروف ]],$A:$A,Table1[[الشهر ]],$AB$1,Table1[الفرع],'تحليلات 2024'!$F$20)</f>
        <v>0</v>
      </c>
      <c r="AG58" s="190">
        <f t="shared" si="64"/>
        <v>0</v>
      </c>
      <c r="AH58" s="189">
        <f>SUMIFS(Table1[[المنصرف ]],Table1[[نوع المصروف ]],$A:$A,Table1[[الشهر ]],$AB$1,Table1[الفرع],'تحليلات 2024'!$H$20)</f>
        <v>0</v>
      </c>
      <c r="AI58" s="190">
        <f t="shared" si="65"/>
        <v>0</v>
      </c>
      <c r="AJ58" s="189">
        <f>SUMIFS(Table1[[المنصرف ]],Table1[[نوع المصروف ]],$A:$A,Table1[[الشهر ]],$AB$1,Table1[الفرع],'تحليلات 2024'!$J$20)</f>
        <v>0</v>
      </c>
      <c r="AK58" s="190">
        <f t="shared" si="66"/>
        <v>0</v>
      </c>
      <c r="AL58" s="189">
        <f t="shared" si="49"/>
        <v>0</v>
      </c>
      <c r="AM58" s="190">
        <f t="shared" si="67"/>
        <v>0</v>
      </c>
      <c r="AO58" s="189">
        <f>SUMIFS(Table1[[المنصرف ]],Table1[[نوع المصروف ]],$A:$A,Table1[[الشهر ]],$AO$1,Table1[الفرع],'تحليلات 2024'!$B$20)</f>
        <v>0</v>
      </c>
      <c r="AP58" s="190">
        <f t="shared" si="68"/>
        <v>0</v>
      </c>
      <c r="AQ58" s="189">
        <f>SUMIFS(Table1[[المنصرف ]],Table1[[نوع المصروف ]],$A:$A,Table1[[الشهر ]],$AO$1,Table1[الفرع],'تحليلات 2024'!$D$20)</f>
        <v>0</v>
      </c>
      <c r="AR58" s="190">
        <f t="shared" si="69"/>
        <v>0</v>
      </c>
      <c r="AS58" s="189">
        <f>SUMIFS(Table1[[المنصرف ]],Table1[[نوع المصروف ]],$A:$A,Table1[[الشهر ]],$AO$1,Table1[الفرع],'تحليلات 2024'!$F$20)</f>
        <v>0</v>
      </c>
      <c r="AT58" s="190">
        <f t="shared" si="70"/>
        <v>0</v>
      </c>
      <c r="AU58" s="189">
        <f>SUMIFS(Table1[[المنصرف ]],Table1[[نوع المصروف ]],$A:$A,Table1[[الشهر ]],$AO$1,Table1[الفرع],'تحليلات 2024'!$H$20)</f>
        <v>0</v>
      </c>
      <c r="AV58" s="190">
        <f t="shared" si="71"/>
        <v>0</v>
      </c>
      <c r="AW58" s="189">
        <f>SUMIFS(Table1[[المنصرف ]],Table1[[نوع المصروف ]],$A:$A,Table1[[الشهر ]],$AO$1,Table1[الفرع],'تحليلات 2024'!$J$20)</f>
        <v>0</v>
      </c>
      <c r="AX58" s="190">
        <f t="shared" si="72"/>
        <v>0</v>
      </c>
      <c r="AY58" s="189">
        <f t="shared" si="54"/>
        <v>0</v>
      </c>
      <c r="AZ58" s="190">
        <f t="shared" si="73"/>
        <v>0</v>
      </c>
    </row>
    <row r="59" spans="1:52">
      <c r="A59" s="200" t="s">
        <v>334</v>
      </c>
      <c r="B59" s="189">
        <f>SUMIFS(Table1[[المنصرف ]],Table1[[نوع المصروف ]],$A:$A,Table1[[الشهر ]],$B$1,Table1[الفرع],'تحليلات 2024'!$B$20)</f>
        <v>0</v>
      </c>
      <c r="C59" s="190">
        <f t="shared" si="35"/>
        <v>0</v>
      </c>
      <c r="D59" s="189">
        <f>SUMIFS(Table1[[المنصرف ]],Table1[[نوع المصروف ]],$A:$A,Table1[[الشهر ]],$B$1,Table1[الفرع],'تحليلات 2024'!$D$20)</f>
        <v>0</v>
      </c>
      <c r="E59" s="190">
        <f t="shared" si="36"/>
        <v>0</v>
      </c>
      <c r="F59" s="189">
        <f>SUMIFS(Table1[[المنصرف ]],Table1[[نوع المصروف ]],$A:$A,Table1[[الشهر ]],$B$1,Table1[الفرع],'تحليلات 2024'!$F$20)</f>
        <v>0</v>
      </c>
      <c r="G59" s="190">
        <f t="shared" si="37"/>
        <v>0</v>
      </c>
      <c r="H59" s="189">
        <f>SUMIFS(Table1[[المنصرف ]],Table1[[نوع المصروف ]],$A:$A,Table1[[الشهر ]],$B$1,Table1[الفرع],'تحليلات 2024'!$H$20)</f>
        <v>0</v>
      </c>
      <c r="I59" s="190">
        <f t="shared" si="28"/>
        <v>0</v>
      </c>
      <c r="J59" s="189">
        <f>SUMIFS(Table1[[المنصرف ]],Table1[[نوع المصروف ]],$A:$A,Table1[[الشهر ]],$B$1,Table1[الفرع],'تحليلات 2024'!$J$20)</f>
        <v>0</v>
      </c>
      <c r="K59" s="190">
        <f t="shared" si="38"/>
        <v>0</v>
      </c>
      <c r="L59" s="189">
        <f t="shared" si="39"/>
        <v>0</v>
      </c>
      <c r="M59" s="190">
        <f t="shared" si="40"/>
        <v>0</v>
      </c>
      <c r="O59" s="189">
        <f>SUMIFS(Table1[[المنصرف ]],Table1[[نوع المصروف ]],$A:$A,Table1[[الشهر ]],$O$1,Table1[الفرع],'تحليلات 2024'!$B$20)</f>
        <v>0</v>
      </c>
      <c r="P59" s="190">
        <f t="shared" si="56"/>
        <v>0</v>
      </c>
      <c r="Q59" s="189">
        <f>SUMIFS(Table1[[المنصرف ]],Table1[[نوع المصروف ]],$A:$A,Table1[[الشهر ]],$O$1,Table1[الفرع],'تحليلات 2024'!$D$20)</f>
        <v>0</v>
      </c>
      <c r="R59" s="190">
        <f t="shared" si="57"/>
        <v>0</v>
      </c>
      <c r="S59" s="189">
        <f>SUMIFS(Table1[[المنصرف ]],Table1[[نوع المصروف ]],$A:$A,Table1[[الشهر ]],$O$1,Table1[الفرع],'تحليلات 2024'!$F$20)</f>
        <v>0</v>
      </c>
      <c r="T59" s="190">
        <f t="shared" si="58"/>
        <v>0</v>
      </c>
      <c r="U59" s="189">
        <f>SUMIFS(Table1[[المنصرف ]],Table1[[نوع المصروف ]],$A:$A,Table1[[الشهر ]],$O$1,Table1[الفرع],'تحليلات 2024'!$H$20)</f>
        <v>0</v>
      </c>
      <c r="V59" s="190">
        <f t="shared" si="59"/>
        <v>0</v>
      </c>
      <c r="W59" s="189">
        <f>SUMIFS(Table1[[المنصرف ]],Table1[[نوع المصروف ]],$A:$A,Table1[[الشهر ]],$O$1,Table1[الفرع],'تحليلات 2024'!$J$20)</f>
        <v>0</v>
      </c>
      <c r="X59" s="190">
        <f t="shared" si="60"/>
        <v>0</v>
      </c>
      <c r="Y59" s="189">
        <f t="shared" si="44"/>
        <v>0</v>
      </c>
      <c r="Z59" s="190">
        <f t="shared" si="61"/>
        <v>0</v>
      </c>
      <c r="AB59" s="189">
        <f>SUMIFS(Table1[[المنصرف ]],Table1[[نوع المصروف ]],$A:$A,Table1[[الشهر ]],$AB$1,Table1[الفرع],'تحليلات 2024'!$B$20)</f>
        <v>0</v>
      </c>
      <c r="AC59" s="190">
        <f t="shared" si="62"/>
        <v>0</v>
      </c>
      <c r="AD59" s="189">
        <f>SUMIFS(Table1[[المنصرف ]],Table1[[نوع المصروف ]],$A:$A,Table1[[الشهر ]],$AB$1,Table1[الفرع],'تحليلات 2024'!$D$20)</f>
        <v>0</v>
      </c>
      <c r="AE59" s="190">
        <f t="shared" si="63"/>
        <v>0</v>
      </c>
      <c r="AF59" s="189">
        <f>SUMIFS(Table1[[المنصرف ]],Table1[[نوع المصروف ]],$A:$A,Table1[[الشهر ]],$AB$1,Table1[الفرع],'تحليلات 2024'!$F$20)</f>
        <v>0</v>
      </c>
      <c r="AG59" s="190">
        <f t="shared" si="64"/>
        <v>0</v>
      </c>
      <c r="AH59" s="189">
        <f>SUMIFS(Table1[[المنصرف ]],Table1[[نوع المصروف ]],$A:$A,Table1[[الشهر ]],$AB$1,Table1[الفرع],'تحليلات 2024'!$H$20)</f>
        <v>0</v>
      </c>
      <c r="AI59" s="190">
        <f t="shared" si="65"/>
        <v>0</v>
      </c>
      <c r="AJ59" s="189">
        <f>SUMIFS(Table1[[المنصرف ]],Table1[[نوع المصروف ]],$A:$A,Table1[[الشهر ]],$AB$1,Table1[الفرع],'تحليلات 2024'!$J$20)</f>
        <v>0</v>
      </c>
      <c r="AK59" s="190">
        <f t="shared" si="66"/>
        <v>0</v>
      </c>
      <c r="AL59" s="189">
        <f t="shared" si="49"/>
        <v>0</v>
      </c>
      <c r="AM59" s="190">
        <f t="shared" si="67"/>
        <v>0</v>
      </c>
      <c r="AO59" s="189">
        <f>SUMIFS(Table1[[المنصرف ]],Table1[[نوع المصروف ]],$A:$A,Table1[[الشهر ]],$AO$1,Table1[الفرع],'تحليلات 2024'!$B$20)</f>
        <v>0</v>
      </c>
      <c r="AP59" s="190">
        <f t="shared" si="68"/>
        <v>0</v>
      </c>
      <c r="AQ59" s="189">
        <f>SUMIFS(Table1[[المنصرف ]],Table1[[نوع المصروف ]],$A:$A,Table1[[الشهر ]],$AO$1,Table1[الفرع],'تحليلات 2024'!$D$20)</f>
        <v>0</v>
      </c>
      <c r="AR59" s="190">
        <f t="shared" si="69"/>
        <v>0</v>
      </c>
      <c r="AS59" s="189">
        <f>SUMIFS(Table1[[المنصرف ]],Table1[[نوع المصروف ]],$A:$A,Table1[[الشهر ]],$AO$1,Table1[الفرع],'تحليلات 2024'!$F$20)</f>
        <v>0</v>
      </c>
      <c r="AT59" s="190">
        <f t="shared" si="70"/>
        <v>0</v>
      </c>
      <c r="AU59" s="189">
        <f>SUMIFS(Table1[[المنصرف ]],Table1[[نوع المصروف ]],$A:$A,Table1[[الشهر ]],$AO$1,Table1[الفرع],'تحليلات 2024'!$H$20)</f>
        <v>0</v>
      </c>
      <c r="AV59" s="190">
        <f t="shared" si="71"/>
        <v>0</v>
      </c>
      <c r="AW59" s="189">
        <f>SUMIFS(Table1[[المنصرف ]],Table1[[نوع المصروف ]],$A:$A,Table1[[الشهر ]],$AO$1,Table1[الفرع],'تحليلات 2024'!$J$20)</f>
        <v>0</v>
      </c>
      <c r="AX59" s="190">
        <f t="shared" si="72"/>
        <v>0</v>
      </c>
      <c r="AY59" s="189">
        <f t="shared" si="54"/>
        <v>0</v>
      </c>
      <c r="AZ59" s="190">
        <f t="shared" si="73"/>
        <v>0</v>
      </c>
    </row>
    <row r="60" spans="1:52">
      <c r="A60" s="200"/>
      <c r="B60" s="189">
        <f>SUMIFS(Table1[[المنصرف ]],Table1[[نوع المصروف ]],$A:$A,Table1[[الشهر ]],$B$1,Table1[الفرع],'تحليلات 2024'!$B$20)</f>
        <v>0</v>
      </c>
      <c r="C60" s="190">
        <f t="shared" si="35"/>
        <v>0</v>
      </c>
      <c r="D60" s="189">
        <f>SUMIFS(Table1[[المنصرف ]],Table1[[نوع المصروف ]],$A:$A,Table1[[الشهر ]],$B$1,Table1[الفرع],'تحليلات 2024'!$D$20)</f>
        <v>0</v>
      </c>
      <c r="E60" s="190">
        <f t="shared" si="36"/>
        <v>0</v>
      </c>
      <c r="F60" s="189">
        <f>SUMIFS(Table1[[المنصرف ]],Table1[[نوع المصروف ]],$A:$A,Table1[[الشهر ]],$B$1,Table1[الفرع],'تحليلات 2024'!$F$20)</f>
        <v>0</v>
      </c>
      <c r="G60" s="190">
        <f t="shared" si="37"/>
        <v>0</v>
      </c>
      <c r="H60" s="189">
        <f>SUMIFS(Table1[[المنصرف ]],Table1[[نوع المصروف ]],$A:$A,Table1[[الشهر ]],$B$1,Table1[الفرع],'تحليلات 2024'!$H$20)</f>
        <v>0</v>
      </c>
      <c r="I60" s="190">
        <f t="shared" si="28"/>
        <v>0</v>
      </c>
      <c r="J60" s="189">
        <f>SUMIFS(Table1[[المنصرف ]],Table1[[نوع المصروف ]],$A:$A,Table1[[الشهر ]],$B$1,Table1[الفرع],'تحليلات 2024'!$J$20)</f>
        <v>0</v>
      </c>
      <c r="K60" s="190">
        <f t="shared" si="38"/>
        <v>0</v>
      </c>
      <c r="L60" s="189">
        <f t="shared" si="39"/>
        <v>0</v>
      </c>
      <c r="M60" s="190">
        <f t="shared" si="40"/>
        <v>0</v>
      </c>
      <c r="O60" s="189">
        <f>SUMIFS(Table1[[المنصرف ]],Table1[[نوع المصروف ]],$A:$A,Table1[[الشهر ]],$O$1,Table1[الفرع],'تحليلات 2024'!$B$20)</f>
        <v>0</v>
      </c>
      <c r="P60" s="190">
        <f t="shared" si="56"/>
        <v>0</v>
      </c>
      <c r="Q60" s="189">
        <f>SUMIFS(Table1[[المنصرف ]],Table1[[نوع المصروف ]],$A:$A,Table1[[الشهر ]],$O$1,Table1[الفرع],'تحليلات 2024'!$D$20)</f>
        <v>0</v>
      </c>
      <c r="R60" s="190">
        <f t="shared" si="57"/>
        <v>0</v>
      </c>
      <c r="S60" s="189">
        <f>SUMIFS(Table1[[المنصرف ]],Table1[[نوع المصروف ]],$A:$A,Table1[[الشهر ]],$O$1,Table1[الفرع],'تحليلات 2024'!$F$20)</f>
        <v>0</v>
      </c>
      <c r="T60" s="190">
        <f t="shared" si="58"/>
        <v>0</v>
      </c>
      <c r="U60" s="189">
        <f>SUMIFS(Table1[[المنصرف ]],Table1[[نوع المصروف ]],$A:$A,Table1[[الشهر ]],$O$1,Table1[الفرع],'تحليلات 2024'!$H$20)</f>
        <v>0</v>
      </c>
      <c r="V60" s="190">
        <f t="shared" si="59"/>
        <v>0</v>
      </c>
      <c r="W60" s="189">
        <f>SUMIFS(Table1[[المنصرف ]],Table1[[نوع المصروف ]],$A:$A,Table1[[الشهر ]],$O$1,Table1[الفرع],'تحليلات 2024'!$J$20)</f>
        <v>0</v>
      </c>
      <c r="X60" s="190">
        <f t="shared" si="60"/>
        <v>0</v>
      </c>
      <c r="Y60" s="189">
        <f t="shared" si="44"/>
        <v>0</v>
      </c>
      <c r="Z60" s="190">
        <f t="shared" si="61"/>
        <v>0</v>
      </c>
      <c r="AB60" s="189">
        <f>SUMIFS(Table1[[المنصرف ]],Table1[[نوع المصروف ]],$A:$A,Table1[[الشهر ]],$AB$1,Table1[الفرع],'تحليلات 2024'!$B$20)</f>
        <v>0</v>
      </c>
      <c r="AC60" s="190">
        <f t="shared" si="62"/>
        <v>0</v>
      </c>
      <c r="AD60" s="189">
        <f>SUMIFS(Table1[[المنصرف ]],Table1[[نوع المصروف ]],$A:$A,Table1[[الشهر ]],$AB$1,Table1[الفرع],'تحليلات 2024'!$D$20)</f>
        <v>0</v>
      </c>
      <c r="AE60" s="190">
        <f t="shared" si="63"/>
        <v>0</v>
      </c>
      <c r="AF60" s="189">
        <f>SUMIFS(Table1[[المنصرف ]],Table1[[نوع المصروف ]],$A:$A,Table1[[الشهر ]],$AB$1,Table1[الفرع],'تحليلات 2024'!$F$20)</f>
        <v>0</v>
      </c>
      <c r="AG60" s="190">
        <f t="shared" si="64"/>
        <v>0</v>
      </c>
      <c r="AH60" s="189">
        <f>SUMIFS(Table1[[المنصرف ]],Table1[[نوع المصروف ]],$A:$A,Table1[[الشهر ]],$AB$1,Table1[الفرع],'تحليلات 2024'!$H$20)</f>
        <v>0</v>
      </c>
      <c r="AI60" s="190">
        <f t="shared" si="65"/>
        <v>0</v>
      </c>
      <c r="AJ60" s="189">
        <f>SUMIFS(Table1[[المنصرف ]],Table1[[نوع المصروف ]],$A:$A,Table1[[الشهر ]],$AB$1,Table1[الفرع],'تحليلات 2024'!$J$20)</f>
        <v>0</v>
      </c>
      <c r="AK60" s="190">
        <f t="shared" si="66"/>
        <v>0</v>
      </c>
      <c r="AL60" s="189">
        <f t="shared" si="49"/>
        <v>0</v>
      </c>
      <c r="AM60" s="190">
        <f t="shared" si="67"/>
        <v>0</v>
      </c>
      <c r="AO60" s="189">
        <f>SUMIFS(Table1[[المنصرف ]],Table1[[نوع المصروف ]],$A:$A,Table1[[الشهر ]],$AO$1,Table1[الفرع],'تحليلات 2024'!$B$20)</f>
        <v>0</v>
      </c>
      <c r="AP60" s="190">
        <f t="shared" si="68"/>
        <v>0</v>
      </c>
      <c r="AQ60" s="189">
        <f>SUMIFS(Table1[[المنصرف ]],Table1[[نوع المصروف ]],$A:$A,Table1[[الشهر ]],$AO$1,Table1[الفرع],'تحليلات 2024'!$D$20)</f>
        <v>0</v>
      </c>
      <c r="AR60" s="190">
        <f t="shared" si="69"/>
        <v>0</v>
      </c>
      <c r="AS60" s="189">
        <f>SUMIFS(Table1[[المنصرف ]],Table1[[نوع المصروف ]],$A:$A,Table1[[الشهر ]],$AO$1,Table1[الفرع],'تحليلات 2024'!$F$20)</f>
        <v>0</v>
      </c>
      <c r="AT60" s="190">
        <f t="shared" si="70"/>
        <v>0</v>
      </c>
      <c r="AU60" s="189">
        <f>SUMIFS(Table1[[المنصرف ]],Table1[[نوع المصروف ]],$A:$A,Table1[[الشهر ]],$AO$1,Table1[الفرع],'تحليلات 2024'!$H$20)</f>
        <v>0</v>
      </c>
      <c r="AV60" s="190">
        <f t="shared" si="71"/>
        <v>0</v>
      </c>
      <c r="AW60" s="189">
        <f>SUMIFS(Table1[[المنصرف ]],Table1[[نوع المصروف ]],$A:$A,Table1[[الشهر ]],$AO$1,Table1[الفرع],'تحليلات 2024'!$J$20)</f>
        <v>0</v>
      </c>
      <c r="AX60" s="190">
        <f t="shared" si="72"/>
        <v>0</v>
      </c>
      <c r="AY60" s="189">
        <f t="shared" si="54"/>
        <v>0</v>
      </c>
      <c r="AZ60" s="190">
        <f t="shared" si="73"/>
        <v>0</v>
      </c>
    </row>
    <row r="61" spans="1:52">
      <c r="A61" s="200"/>
      <c r="B61" s="189">
        <f>SUMIFS(Table1[[المنصرف ]],Table1[[نوع المصروف ]],$A:$A,Table1[[الشهر ]],$B$1,Table1[الفرع],'تحليلات 2024'!$B$20)</f>
        <v>0</v>
      </c>
      <c r="C61" s="190">
        <f t="shared" si="35"/>
        <v>0</v>
      </c>
      <c r="D61" s="189">
        <f>SUMIFS(Table1[[المنصرف ]],Table1[[نوع المصروف ]],$A:$A,Table1[[الشهر ]],$B$1,Table1[الفرع],'تحليلات 2024'!$D$20)</f>
        <v>0</v>
      </c>
      <c r="E61" s="190">
        <f t="shared" si="36"/>
        <v>0</v>
      </c>
      <c r="F61" s="189">
        <f>SUMIFS(Table1[[المنصرف ]],Table1[[نوع المصروف ]],$A:$A,Table1[[الشهر ]],$B$1,Table1[الفرع],'تحليلات 2024'!$F$20)</f>
        <v>0</v>
      </c>
      <c r="G61" s="190">
        <f t="shared" si="37"/>
        <v>0</v>
      </c>
      <c r="H61" s="189">
        <f>SUMIFS(Table1[[المنصرف ]],Table1[[نوع المصروف ]],$A:$A,Table1[[الشهر ]],$B$1,Table1[الفرع],'تحليلات 2024'!$H$20)</f>
        <v>0</v>
      </c>
      <c r="I61" s="190">
        <f t="shared" si="28"/>
        <v>0</v>
      </c>
      <c r="J61" s="189">
        <f>SUMIFS(Table1[[المنصرف ]],Table1[[نوع المصروف ]],$A:$A,Table1[[الشهر ]],$B$1,Table1[الفرع],'تحليلات 2024'!$J$20)</f>
        <v>0</v>
      </c>
      <c r="K61" s="190">
        <f t="shared" si="38"/>
        <v>0</v>
      </c>
      <c r="L61" s="189">
        <f t="shared" si="39"/>
        <v>0</v>
      </c>
      <c r="M61" s="190">
        <f t="shared" si="40"/>
        <v>0</v>
      </c>
      <c r="O61" s="189">
        <f>SUMIFS(Table1[[المنصرف ]],Table1[[نوع المصروف ]],$A:$A,Table1[[الشهر ]],$O$1,Table1[الفرع],'تحليلات 2024'!$B$20)</f>
        <v>0</v>
      </c>
      <c r="P61" s="190">
        <f t="shared" si="56"/>
        <v>0</v>
      </c>
      <c r="Q61" s="189">
        <f>SUMIFS(Table1[[المنصرف ]],Table1[[نوع المصروف ]],$A:$A,Table1[[الشهر ]],$O$1,Table1[الفرع],'تحليلات 2024'!$D$20)</f>
        <v>0</v>
      </c>
      <c r="R61" s="190">
        <f t="shared" si="57"/>
        <v>0</v>
      </c>
      <c r="S61" s="189">
        <f>SUMIFS(Table1[[المنصرف ]],Table1[[نوع المصروف ]],$A:$A,Table1[[الشهر ]],$O$1,Table1[الفرع],'تحليلات 2024'!$F$20)</f>
        <v>0</v>
      </c>
      <c r="T61" s="190">
        <f t="shared" si="58"/>
        <v>0</v>
      </c>
      <c r="U61" s="189">
        <f>SUMIFS(Table1[[المنصرف ]],Table1[[نوع المصروف ]],$A:$A,Table1[[الشهر ]],$O$1,Table1[الفرع],'تحليلات 2024'!$H$20)</f>
        <v>0</v>
      </c>
      <c r="V61" s="190">
        <f t="shared" si="59"/>
        <v>0</v>
      </c>
      <c r="W61" s="189">
        <f>SUMIFS(Table1[[المنصرف ]],Table1[[نوع المصروف ]],$A:$A,Table1[[الشهر ]],$O$1,Table1[الفرع],'تحليلات 2024'!$J$20)</f>
        <v>0</v>
      </c>
      <c r="X61" s="190">
        <f t="shared" si="60"/>
        <v>0</v>
      </c>
      <c r="Y61" s="189">
        <f t="shared" si="44"/>
        <v>0</v>
      </c>
      <c r="Z61" s="190">
        <f t="shared" si="61"/>
        <v>0</v>
      </c>
      <c r="AB61" s="189">
        <f>SUMIFS(Table1[[المنصرف ]],Table1[[نوع المصروف ]],$A:$A,Table1[[الشهر ]],$AB$1,Table1[الفرع],'تحليلات 2024'!$B$20)</f>
        <v>0</v>
      </c>
      <c r="AC61" s="190">
        <f t="shared" si="62"/>
        <v>0</v>
      </c>
      <c r="AD61" s="189">
        <f>SUMIFS(Table1[[المنصرف ]],Table1[[نوع المصروف ]],$A:$A,Table1[[الشهر ]],$AB$1,Table1[الفرع],'تحليلات 2024'!$D$20)</f>
        <v>0</v>
      </c>
      <c r="AE61" s="190">
        <f t="shared" si="63"/>
        <v>0</v>
      </c>
      <c r="AF61" s="189">
        <f>SUMIFS(Table1[[المنصرف ]],Table1[[نوع المصروف ]],$A:$A,Table1[[الشهر ]],$AB$1,Table1[الفرع],'تحليلات 2024'!$F$20)</f>
        <v>0</v>
      </c>
      <c r="AG61" s="190">
        <f t="shared" si="64"/>
        <v>0</v>
      </c>
      <c r="AH61" s="189">
        <f>SUMIFS(Table1[[المنصرف ]],Table1[[نوع المصروف ]],$A:$A,Table1[[الشهر ]],$AB$1,Table1[الفرع],'تحليلات 2024'!$H$20)</f>
        <v>0</v>
      </c>
      <c r="AI61" s="190">
        <f t="shared" si="65"/>
        <v>0</v>
      </c>
      <c r="AJ61" s="189">
        <f>SUMIFS(Table1[[المنصرف ]],Table1[[نوع المصروف ]],$A:$A,Table1[[الشهر ]],$AB$1,Table1[الفرع],'تحليلات 2024'!$J$20)</f>
        <v>0</v>
      </c>
      <c r="AK61" s="190">
        <f t="shared" si="66"/>
        <v>0</v>
      </c>
      <c r="AL61" s="189">
        <f t="shared" si="49"/>
        <v>0</v>
      </c>
      <c r="AM61" s="190">
        <f t="shared" si="67"/>
        <v>0</v>
      </c>
      <c r="AO61" s="189">
        <f>SUMIFS(Table1[[المنصرف ]],Table1[[نوع المصروف ]],$A:$A,Table1[[الشهر ]],$AO$1,Table1[الفرع],'تحليلات 2024'!$B$20)</f>
        <v>0</v>
      </c>
      <c r="AP61" s="190">
        <f t="shared" si="68"/>
        <v>0</v>
      </c>
      <c r="AQ61" s="189">
        <f>SUMIFS(Table1[[المنصرف ]],Table1[[نوع المصروف ]],$A:$A,Table1[[الشهر ]],$AO$1,Table1[الفرع],'تحليلات 2024'!$D$20)</f>
        <v>0</v>
      </c>
      <c r="AR61" s="190">
        <f t="shared" si="69"/>
        <v>0</v>
      </c>
      <c r="AS61" s="189">
        <f>SUMIFS(Table1[[المنصرف ]],Table1[[نوع المصروف ]],$A:$A,Table1[[الشهر ]],$AO$1,Table1[الفرع],'تحليلات 2024'!$F$20)</f>
        <v>0</v>
      </c>
      <c r="AT61" s="190">
        <f t="shared" si="70"/>
        <v>0</v>
      </c>
      <c r="AU61" s="189">
        <f>SUMIFS(Table1[[المنصرف ]],Table1[[نوع المصروف ]],$A:$A,Table1[[الشهر ]],$AO$1,Table1[الفرع],'تحليلات 2024'!$H$20)</f>
        <v>0</v>
      </c>
      <c r="AV61" s="190">
        <f t="shared" si="71"/>
        <v>0</v>
      </c>
      <c r="AW61" s="189">
        <f>SUMIFS(Table1[[المنصرف ]],Table1[[نوع المصروف ]],$A:$A,Table1[[الشهر ]],$AO$1,Table1[الفرع],'تحليلات 2024'!$J$20)</f>
        <v>0</v>
      </c>
      <c r="AX61" s="190">
        <f t="shared" si="72"/>
        <v>0</v>
      </c>
      <c r="AY61" s="189">
        <f t="shared" si="54"/>
        <v>0</v>
      </c>
      <c r="AZ61" s="190">
        <f t="shared" si="73"/>
        <v>0</v>
      </c>
    </row>
    <row r="62" spans="1:52">
      <c r="A62" s="200"/>
      <c r="B62" s="189">
        <f>SUMIFS(Table1[[المنصرف ]],Table1[[نوع المصروف ]],$A:$A,Table1[[الشهر ]],$B$1,Table1[الفرع],'تحليلات 2024'!$B$20)</f>
        <v>0</v>
      </c>
      <c r="C62" s="190">
        <f t="shared" si="35"/>
        <v>0</v>
      </c>
      <c r="D62" s="189">
        <f>SUMIFS(Table1[[المنصرف ]],Table1[[نوع المصروف ]],$A:$A,Table1[[الشهر ]],$B$1,Table1[الفرع],'تحليلات 2024'!$D$20)</f>
        <v>0</v>
      </c>
      <c r="E62" s="190">
        <f t="shared" si="36"/>
        <v>0</v>
      </c>
      <c r="F62" s="189">
        <f>SUMIFS(Table1[[المنصرف ]],Table1[[نوع المصروف ]],$A:$A,Table1[[الشهر ]],$B$1,Table1[الفرع],'تحليلات 2024'!$F$20)</f>
        <v>0</v>
      </c>
      <c r="G62" s="190">
        <f t="shared" si="37"/>
        <v>0</v>
      </c>
      <c r="H62" s="189">
        <f>SUMIFS(Table1[[المنصرف ]],Table1[[نوع المصروف ]],$A:$A,Table1[[الشهر ]],$B$1,Table1[الفرع],'تحليلات 2024'!$H$20)</f>
        <v>0</v>
      </c>
      <c r="I62" s="190">
        <f t="shared" si="28"/>
        <v>0</v>
      </c>
      <c r="J62" s="189">
        <f>SUMIFS(Table1[[المنصرف ]],Table1[[نوع المصروف ]],$A:$A,Table1[[الشهر ]],$B$1,Table1[الفرع],'تحليلات 2024'!$J$20)</f>
        <v>0</v>
      </c>
      <c r="K62" s="190">
        <f t="shared" si="38"/>
        <v>0</v>
      </c>
      <c r="L62" s="189">
        <f t="shared" si="39"/>
        <v>0</v>
      </c>
      <c r="M62" s="190">
        <f t="shared" si="40"/>
        <v>0</v>
      </c>
      <c r="O62" s="189">
        <f>SUMIFS(Table1[[المنصرف ]],Table1[[نوع المصروف ]],$A:$A,Table1[[الشهر ]],$O$1,Table1[الفرع],'تحليلات 2024'!$B$20)</f>
        <v>0</v>
      </c>
      <c r="P62" s="190">
        <f t="shared" si="56"/>
        <v>0</v>
      </c>
      <c r="Q62" s="189">
        <f>SUMIFS(Table1[[المنصرف ]],Table1[[نوع المصروف ]],$A:$A,Table1[[الشهر ]],$O$1,Table1[الفرع],'تحليلات 2024'!$D$20)</f>
        <v>0</v>
      </c>
      <c r="R62" s="190">
        <f t="shared" si="57"/>
        <v>0</v>
      </c>
      <c r="S62" s="189">
        <f>SUMIFS(Table1[[المنصرف ]],Table1[[نوع المصروف ]],$A:$A,Table1[[الشهر ]],$O$1,Table1[الفرع],'تحليلات 2024'!$F$20)</f>
        <v>0</v>
      </c>
      <c r="T62" s="190">
        <f t="shared" si="58"/>
        <v>0</v>
      </c>
      <c r="U62" s="189">
        <f>SUMIFS(Table1[[المنصرف ]],Table1[[نوع المصروف ]],$A:$A,Table1[[الشهر ]],$O$1,Table1[الفرع],'تحليلات 2024'!$H$20)</f>
        <v>0</v>
      </c>
      <c r="V62" s="190">
        <f t="shared" si="59"/>
        <v>0</v>
      </c>
      <c r="W62" s="189">
        <f>SUMIFS(Table1[[المنصرف ]],Table1[[نوع المصروف ]],$A:$A,Table1[[الشهر ]],$O$1,Table1[الفرع],'تحليلات 2024'!$J$20)</f>
        <v>0</v>
      </c>
      <c r="X62" s="190">
        <f t="shared" si="60"/>
        <v>0</v>
      </c>
      <c r="Y62" s="189">
        <f t="shared" si="44"/>
        <v>0</v>
      </c>
      <c r="Z62" s="190">
        <f t="shared" si="61"/>
        <v>0</v>
      </c>
      <c r="AB62" s="189">
        <f>SUMIFS(Table1[[المنصرف ]],Table1[[نوع المصروف ]],$A:$A,Table1[[الشهر ]],$AB$1,Table1[الفرع],'تحليلات 2024'!$B$20)</f>
        <v>0</v>
      </c>
      <c r="AC62" s="190">
        <f t="shared" si="62"/>
        <v>0</v>
      </c>
      <c r="AD62" s="189">
        <f>SUMIFS(Table1[[المنصرف ]],Table1[[نوع المصروف ]],$A:$A,Table1[[الشهر ]],$AB$1,Table1[الفرع],'تحليلات 2024'!$D$20)</f>
        <v>0</v>
      </c>
      <c r="AE62" s="190">
        <f t="shared" si="63"/>
        <v>0</v>
      </c>
      <c r="AF62" s="189">
        <f>SUMIFS(Table1[[المنصرف ]],Table1[[نوع المصروف ]],$A:$A,Table1[[الشهر ]],$AB$1,Table1[الفرع],'تحليلات 2024'!$F$20)</f>
        <v>0</v>
      </c>
      <c r="AG62" s="190">
        <f t="shared" si="64"/>
        <v>0</v>
      </c>
      <c r="AH62" s="189">
        <f>SUMIFS(Table1[[المنصرف ]],Table1[[نوع المصروف ]],$A:$A,Table1[[الشهر ]],$AB$1,Table1[الفرع],'تحليلات 2024'!$H$20)</f>
        <v>0</v>
      </c>
      <c r="AI62" s="190">
        <f t="shared" si="65"/>
        <v>0</v>
      </c>
      <c r="AJ62" s="189">
        <f>SUMIFS(Table1[[المنصرف ]],Table1[[نوع المصروف ]],$A:$A,Table1[[الشهر ]],$AB$1,Table1[الفرع],'تحليلات 2024'!$J$20)</f>
        <v>0</v>
      </c>
      <c r="AK62" s="190">
        <f t="shared" si="66"/>
        <v>0</v>
      </c>
      <c r="AL62" s="189">
        <f t="shared" si="49"/>
        <v>0</v>
      </c>
      <c r="AM62" s="190">
        <f t="shared" si="67"/>
        <v>0</v>
      </c>
      <c r="AO62" s="189">
        <f>SUMIFS(Table1[[المنصرف ]],Table1[[نوع المصروف ]],$A:$A,Table1[[الشهر ]],$AO$1,Table1[الفرع],'تحليلات 2024'!$B$20)</f>
        <v>0</v>
      </c>
      <c r="AP62" s="190">
        <f t="shared" si="68"/>
        <v>0</v>
      </c>
      <c r="AQ62" s="189">
        <f>SUMIFS(Table1[[المنصرف ]],Table1[[نوع المصروف ]],$A:$A,Table1[[الشهر ]],$AO$1,Table1[الفرع],'تحليلات 2024'!$D$20)</f>
        <v>0</v>
      </c>
      <c r="AR62" s="190">
        <f t="shared" si="69"/>
        <v>0</v>
      </c>
      <c r="AS62" s="189">
        <f>SUMIFS(Table1[[المنصرف ]],Table1[[نوع المصروف ]],$A:$A,Table1[[الشهر ]],$AO$1,Table1[الفرع],'تحليلات 2024'!$F$20)</f>
        <v>0</v>
      </c>
      <c r="AT62" s="190">
        <f t="shared" si="70"/>
        <v>0</v>
      </c>
      <c r="AU62" s="189">
        <f>SUMIFS(Table1[[المنصرف ]],Table1[[نوع المصروف ]],$A:$A,Table1[[الشهر ]],$AO$1,Table1[الفرع],'تحليلات 2024'!$H$20)</f>
        <v>0</v>
      </c>
      <c r="AV62" s="190">
        <f t="shared" si="71"/>
        <v>0</v>
      </c>
      <c r="AW62" s="189">
        <f>SUMIFS(Table1[[المنصرف ]],Table1[[نوع المصروف ]],$A:$A,Table1[[الشهر ]],$AO$1,Table1[الفرع],'تحليلات 2024'!$J$20)</f>
        <v>0</v>
      </c>
      <c r="AX62" s="190">
        <f t="shared" si="72"/>
        <v>0</v>
      </c>
      <c r="AY62" s="189">
        <f t="shared" si="54"/>
        <v>0</v>
      </c>
      <c r="AZ62" s="190">
        <f t="shared" si="73"/>
        <v>0</v>
      </c>
    </row>
    <row r="63" spans="1:52">
      <c r="A63" s="200"/>
      <c r="B63" s="189">
        <f>SUMIFS(Table1[[المنصرف ]],Table1[[نوع المصروف ]],$A:$A,Table1[[الشهر ]],$B$1,Table1[الفرع],'تحليلات 2024'!$B$20)</f>
        <v>0</v>
      </c>
      <c r="C63" s="190">
        <f t="shared" si="35"/>
        <v>0</v>
      </c>
      <c r="D63" s="189">
        <f>SUMIFS(Table1[[المنصرف ]],Table1[[نوع المصروف ]],$A:$A,Table1[[الشهر ]],$B$1,Table1[الفرع],'تحليلات 2024'!$D$20)</f>
        <v>0</v>
      </c>
      <c r="E63" s="190">
        <f t="shared" si="36"/>
        <v>0</v>
      </c>
      <c r="F63" s="189">
        <f>SUMIFS(Table1[[المنصرف ]],Table1[[نوع المصروف ]],$A:$A,Table1[[الشهر ]],$B$1,Table1[الفرع],'تحليلات 2024'!$F$20)</f>
        <v>0</v>
      </c>
      <c r="G63" s="190">
        <f t="shared" si="37"/>
        <v>0</v>
      </c>
      <c r="H63" s="189">
        <f>SUMIFS(Table1[[المنصرف ]],Table1[[نوع المصروف ]],$A:$A,Table1[[الشهر ]],$B$1,Table1[الفرع],'تحليلات 2024'!$H$20)</f>
        <v>0</v>
      </c>
      <c r="I63" s="190">
        <f t="shared" si="28"/>
        <v>0</v>
      </c>
      <c r="J63" s="189">
        <f>SUMIFS(Table1[[المنصرف ]],Table1[[نوع المصروف ]],$A:$A,Table1[[الشهر ]],$B$1,Table1[الفرع],'تحليلات 2024'!$J$20)</f>
        <v>0</v>
      </c>
      <c r="K63" s="190">
        <f t="shared" si="38"/>
        <v>0</v>
      </c>
      <c r="L63" s="189">
        <f t="shared" si="39"/>
        <v>0</v>
      </c>
      <c r="M63" s="190">
        <f t="shared" si="40"/>
        <v>0</v>
      </c>
      <c r="O63" s="189">
        <f>SUMIFS(Table1[[المنصرف ]],Table1[[نوع المصروف ]],$A:$A,Table1[[الشهر ]],$O$1,Table1[الفرع],'تحليلات 2024'!$B$20)</f>
        <v>0</v>
      </c>
      <c r="P63" s="190">
        <f t="shared" si="56"/>
        <v>0</v>
      </c>
      <c r="Q63" s="189">
        <f>SUMIFS(Table1[[المنصرف ]],Table1[[نوع المصروف ]],$A:$A,Table1[[الشهر ]],$O$1,Table1[الفرع],'تحليلات 2024'!$D$20)</f>
        <v>0</v>
      </c>
      <c r="R63" s="190">
        <f t="shared" si="57"/>
        <v>0</v>
      </c>
      <c r="S63" s="189">
        <f>SUMIFS(Table1[[المنصرف ]],Table1[[نوع المصروف ]],$A:$A,Table1[[الشهر ]],$O$1,Table1[الفرع],'تحليلات 2024'!$F$20)</f>
        <v>0</v>
      </c>
      <c r="T63" s="190">
        <f t="shared" si="58"/>
        <v>0</v>
      </c>
      <c r="U63" s="189">
        <f>SUMIFS(Table1[[المنصرف ]],Table1[[نوع المصروف ]],$A:$A,Table1[[الشهر ]],$O$1,Table1[الفرع],'تحليلات 2024'!$H$20)</f>
        <v>0</v>
      </c>
      <c r="V63" s="190">
        <f t="shared" si="59"/>
        <v>0</v>
      </c>
      <c r="W63" s="189">
        <f>SUMIFS(Table1[[المنصرف ]],Table1[[نوع المصروف ]],$A:$A,Table1[[الشهر ]],$O$1,Table1[الفرع],'تحليلات 2024'!$J$20)</f>
        <v>0</v>
      </c>
      <c r="X63" s="190">
        <f t="shared" si="60"/>
        <v>0</v>
      </c>
      <c r="Y63" s="189">
        <f t="shared" si="44"/>
        <v>0</v>
      </c>
      <c r="Z63" s="190">
        <f t="shared" si="61"/>
        <v>0</v>
      </c>
      <c r="AB63" s="189">
        <f>SUMIFS(Table1[[المنصرف ]],Table1[[نوع المصروف ]],$A:$A,Table1[[الشهر ]],$AB$1,Table1[الفرع],'تحليلات 2024'!$B$20)</f>
        <v>0</v>
      </c>
      <c r="AC63" s="190">
        <f t="shared" si="62"/>
        <v>0</v>
      </c>
      <c r="AD63" s="189">
        <f>SUMIFS(Table1[[المنصرف ]],Table1[[نوع المصروف ]],$A:$A,Table1[[الشهر ]],$AB$1,Table1[الفرع],'تحليلات 2024'!$D$20)</f>
        <v>0</v>
      </c>
      <c r="AE63" s="190">
        <f t="shared" si="63"/>
        <v>0</v>
      </c>
      <c r="AF63" s="189">
        <f>SUMIFS(Table1[[المنصرف ]],Table1[[نوع المصروف ]],$A:$A,Table1[[الشهر ]],$AB$1,Table1[الفرع],'تحليلات 2024'!$F$20)</f>
        <v>0</v>
      </c>
      <c r="AG63" s="190">
        <f t="shared" si="64"/>
        <v>0</v>
      </c>
      <c r="AH63" s="189">
        <f>SUMIFS(Table1[[المنصرف ]],Table1[[نوع المصروف ]],$A:$A,Table1[[الشهر ]],$AB$1,Table1[الفرع],'تحليلات 2024'!$H$20)</f>
        <v>0</v>
      </c>
      <c r="AI63" s="190">
        <f t="shared" si="65"/>
        <v>0</v>
      </c>
      <c r="AJ63" s="189">
        <f>SUMIFS(Table1[[المنصرف ]],Table1[[نوع المصروف ]],$A:$A,Table1[[الشهر ]],$AB$1,Table1[الفرع],'تحليلات 2024'!$J$20)</f>
        <v>0</v>
      </c>
      <c r="AK63" s="190">
        <f t="shared" si="66"/>
        <v>0</v>
      </c>
      <c r="AL63" s="189">
        <f t="shared" si="49"/>
        <v>0</v>
      </c>
      <c r="AM63" s="190">
        <f t="shared" si="67"/>
        <v>0</v>
      </c>
      <c r="AO63" s="189">
        <f>SUMIFS(Table1[[المنصرف ]],Table1[[نوع المصروف ]],$A:$A,Table1[[الشهر ]],$AO$1,Table1[الفرع],'تحليلات 2024'!$B$20)</f>
        <v>0</v>
      </c>
      <c r="AP63" s="190">
        <f t="shared" si="68"/>
        <v>0</v>
      </c>
      <c r="AQ63" s="189">
        <f>SUMIFS(Table1[[المنصرف ]],Table1[[نوع المصروف ]],$A:$A,Table1[[الشهر ]],$AO$1,Table1[الفرع],'تحليلات 2024'!$D$20)</f>
        <v>0</v>
      </c>
      <c r="AR63" s="190">
        <f t="shared" si="69"/>
        <v>0</v>
      </c>
      <c r="AS63" s="189">
        <f>SUMIFS(Table1[[المنصرف ]],Table1[[نوع المصروف ]],$A:$A,Table1[[الشهر ]],$AO$1,Table1[الفرع],'تحليلات 2024'!$F$20)</f>
        <v>0</v>
      </c>
      <c r="AT63" s="190">
        <f t="shared" si="70"/>
        <v>0</v>
      </c>
      <c r="AU63" s="189">
        <f>SUMIFS(Table1[[المنصرف ]],Table1[[نوع المصروف ]],$A:$A,Table1[[الشهر ]],$AO$1,Table1[الفرع],'تحليلات 2024'!$H$20)</f>
        <v>0</v>
      </c>
      <c r="AV63" s="190">
        <f t="shared" si="71"/>
        <v>0</v>
      </c>
      <c r="AW63" s="189">
        <f>SUMIFS(Table1[[المنصرف ]],Table1[[نوع المصروف ]],$A:$A,Table1[[الشهر ]],$AO$1,Table1[الفرع],'تحليلات 2024'!$J$20)</f>
        <v>0</v>
      </c>
      <c r="AX63" s="190">
        <f t="shared" si="72"/>
        <v>0</v>
      </c>
      <c r="AY63" s="189">
        <f t="shared" si="54"/>
        <v>0</v>
      </c>
      <c r="AZ63" s="190">
        <f t="shared" si="73"/>
        <v>0</v>
      </c>
    </row>
    <row r="64" spans="1:52">
      <c r="A64" s="200"/>
      <c r="B64" s="189">
        <f>SUMIFS(Table1[[المنصرف ]],Table1[[نوع المصروف ]],$A:$A,Table1[[الشهر ]],$B$1,Table1[الفرع],'تحليلات 2024'!$B$20)</f>
        <v>0</v>
      </c>
      <c r="C64" s="190">
        <f t="shared" si="35"/>
        <v>0</v>
      </c>
      <c r="D64" s="189">
        <f>SUMIFS(Table1[[المنصرف ]],Table1[[نوع المصروف ]],$A:$A,Table1[[الشهر ]],$B$1,Table1[الفرع],'تحليلات 2024'!$D$20)</f>
        <v>0</v>
      </c>
      <c r="E64" s="190">
        <f t="shared" si="36"/>
        <v>0</v>
      </c>
      <c r="F64" s="189">
        <f>SUMIFS(Table1[[المنصرف ]],Table1[[نوع المصروف ]],$A:$A,Table1[[الشهر ]],$B$1,Table1[الفرع],'تحليلات 2024'!$F$20)</f>
        <v>0</v>
      </c>
      <c r="G64" s="190">
        <f t="shared" si="37"/>
        <v>0</v>
      </c>
      <c r="H64" s="189">
        <f>SUMIFS(Table1[[المنصرف ]],Table1[[نوع المصروف ]],$A:$A,Table1[[الشهر ]],$B$1,Table1[الفرع],'تحليلات 2024'!$H$20)</f>
        <v>0</v>
      </c>
      <c r="I64" s="190">
        <f t="shared" si="28"/>
        <v>0</v>
      </c>
      <c r="J64" s="189">
        <f>SUMIFS(Table1[[المنصرف ]],Table1[[نوع المصروف ]],$A:$A,Table1[[الشهر ]],$B$1,Table1[الفرع],'تحليلات 2024'!$J$20)</f>
        <v>0</v>
      </c>
      <c r="K64" s="190">
        <f t="shared" si="38"/>
        <v>0</v>
      </c>
      <c r="L64" s="189">
        <f t="shared" si="39"/>
        <v>0</v>
      </c>
      <c r="M64" s="190">
        <f t="shared" si="40"/>
        <v>0</v>
      </c>
      <c r="O64" s="189">
        <f>SUMIFS(Table1[[المنصرف ]],Table1[[نوع المصروف ]],$A:$A,Table1[[الشهر ]],$O$1,Table1[الفرع],'تحليلات 2024'!$B$20)</f>
        <v>0</v>
      </c>
      <c r="P64" s="190">
        <f t="shared" si="56"/>
        <v>0</v>
      </c>
      <c r="Q64" s="189">
        <f>SUMIFS(Table1[[المنصرف ]],Table1[[نوع المصروف ]],$A:$A,Table1[[الشهر ]],$O$1,Table1[الفرع],'تحليلات 2024'!$D$20)</f>
        <v>0</v>
      </c>
      <c r="R64" s="190">
        <f t="shared" si="57"/>
        <v>0</v>
      </c>
      <c r="S64" s="189">
        <f>SUMIFS(Table1[[المنصرف ]],Table1[[نوع المصروف ]],$A:$A,Table1[[الشهر ]],$O$1,Table1[الفرع],'تحليلات 2024'!$F$20)</f>
        <v>0</v>
      </c>
      <c r="T64" s="190">
        <f t="shared" si="58"/>
        <v>0</v>
      </c>
      <c r="U64" s="189">
        <f>SUMIFS(Table1[[المنصرف ]],Table1[[نوع المصروف ]],$A:$A,Table1[[الشهر ]],$O$1,Table1[الفرع],'تحليلات 2024'!$H$20)</f>
        <v>0</v>
      </c>
      <c r="V64" s="190">
        <f t="shared" si="59"/>
        <v>0</v>
      </c>
      <c r="W64" s="189">
        <f>SUMIFS(Table1[[المنصرف ]],Table1[[نوع المصروف ]],$A:$A,Table1[[الشهر ]],$O$1,Table1[الفرع],'تحليلات 2024'!$J$20)</f>
        <v>0</v>
      </c>
      <c r="X64" s="190">
        <f t="shared" si="60"/>
        <v>0</v>
      </c>
      <c r="Y64" s="189">
        <f t="shared" si="44"/>
        <v>0</v>
      </c>
      <c r="Z64" s="190">
        <f t="shared" si="61"/>
        <v>0</v>
      </c>
      <c r="AB64" s="189">
        <f>SUMIFS(Table1[[المنصرف ]],Table1[[نوع المصروف ]],$A:$A,Table1[[الشهر ]],$AB$1,Table1[الفرع],'تحليلات 2024'!$B$20)</f>
        <v>0</v>
      </c>
      <c r="AC64" s="190">
        <f t="shared" si="62"/>
        <v>0</v>
      </c>
      <c r="AD64" s="189">
        <f>SUMIFS(Table1[[المنصرف ]],Table1[[نوع المصروف ]],$A:$A,Table1[[الشهر ]],$AB$1,Table1[الفرع],'تحليلات 2024'!$D$20)</f>
        <v>0</v>
      </c>
      <c r="AE64" s="190">
        <f t="shared" si="63"/>
        <v>0</v>
      </c>
      <c r="AF64" s="189">
        <f>SUMIFS(Table1[[المنصرف ]],Table1[[نوع المصروف ]],$A:$A,Table1[[الشهر ]],$AB$1,Table1[الفرع],'تحليلات 2024'!$F$20)</f>
        <v>0</v>
      </c>
      <c r="AG64" s="190">
        <f t="shared" si="64"/>
        <v>0</v>
      </c>
      <c r="AH64" s="189">
        <f>SUMIFS(Table1[[المنصرف ]],Table1[[نوع المصروف ]],$A:$A,Table1[[الشهر ]],$AB$1,Table1[الفرع],'تحليلات 2024'!$H$20)</f>
        <v>0</v>
      </c>
      <c r="AI64" s="190">
        <f t="shared" si="65"/>
        <v>0</v>
      </c>
      <c r="AJ64" s="189">
        <f>SUMIFS(Table1[[المنصرف ]],Table1[[نوع المصروف ]],$A:$A,Table1[[الشهر ]],$AB$1,Table1[الفرع],'تحليلات 2024'!$J$20)</f>
        <v>0</v>
      </c>
      <c r="AK64" s="190">
        <f t="shared" si="66"/>
        <v>0</v>
      </c>
      <c r="AL64" s="189">
        <f t="shared" si="49"/>
        <v>0</v>
      </c>
      <c r="AM64" s="190">
        <f t="shared" si="67"/>
        <v>0</v>
      </c>
      <c r="AO64" s="189">
        <f>SUMIFS(Table1[[المنصرف ]],Table1[[نوع المصروف ]],$A:$A,Table1[[الشهر ]],$AO$1,Table1[الفرع],'تحليلات 2024'!$B$20)</f>
        <v>0</v>
      </c>
      <c r="AP64" s="190">
        <f t="shared" si="68"/>
        <v>0</v>
      </c>
      <c r="AQ64" s="189">
        <f>SUMIFS(Table1[[المنصرف ]],Table1[[نوع المصروف ]],$A:$A,Table1[[الشهر ]],$AO$1,Table1[الفرع],'تحليلات 2024'!$D$20)</f>
        <v>0</v>
      </c>
      <c r="AR64" s="190">
        <f t="shared" si="69"/>
        <v>0</v>
      </c>
      <c r="AS64" s="189">
        <f>SUMIFS(Table1[[المنصرف ]],Table1[[نوع المصروف ]],$A:$A,Table1[[الشهر ]],$AO$1,Table1[الفرع],'تحليلات 2024'!$F$20)</f>
        <v>0</v>
      </c>
      <c r="AT64" s="190">
        <f t="shared" si="70"/>
        <v>0</v>
      </c>
      <c r="AU64" s="189">
        <f>SUMIFS(Table1[[المنصرف ]],Table1[[نوع المصروف ]],$A:$A,Table1[[الشهر ]],$AO$1,Table1[الفرع],'تحليلات 2024'!$H$20)</f>
        <v>0</v>
      </c>
      <c r="AV64" s="190">
        <f t="shared" si="71"/>
        <v>0</v>
      </c>
      <c r="AW64" s="189">
        <f>SUMIFS(Table1[[المنصرف ]],Table1[[نوع المصروف ]],$A:$A,Table1[[الشهر ]],$AO$1,Table1[الفرع],'تحليلات 2024'!$J$20)</f>
        <v>0</v>
      </c>
      <c r="AX64" s="190">
        <f t="shared" si="72"/>
        <v>0</v>
      </c>
      <c r="AY64" s="189">
        <f t="shared" si="54"/>
        <v>0</v>
      </c>
      <c r="AZ64" s="190">
        <f t="shared" si="73"/>
        <v>0</v>
      </c>
    </row>
    <row r="65" spans="1:52">
      <c r="A65" s="200"/>
      <c r="B65" s="189">
        <f>SUMIFS(Table1[[المنصرف ]],Table1[[نوع المصروف ]],$A:$A,Table1[[الشهر ]],$B$1,Table1[الفرع],'تحليلات 2024'!$B$20)</f>
        <v>0</v>
      </c>
      <c r="C65" s="190">
        <f t="shared" si="35"/>
        <v>0</v>
      </c>
      <c r="D65" s="189">
        <f>SUMIFS(Table1[[المنصرف ]],Table1[[نوع المصروف ]],$A:$A,Table1[[الشهر ]],$B$1,Table1[الفرع],'تحليلات 2024'!$D$20)</f>
        <v>0</v>
      </c>
      <c r="E65" s="190">
        <f t="shared" si="36"/>
        <v>0</v>
      </c>
      <c r="F65" s="189">
        <f>SUMIFS(Table1[[المنصرف ]],Table1[[نوع المصروف ]],$A:$A,Table1[[الشهر ]],$B$1,Table1[الفرع],'تحليلات 2024'!$F$20)</f>
        <v>0</v>
      </c>
      <c r="G65" s="190">
        <f t="shared" si="37"/>
        <v>0</v>
      </c>
      <c r="H65" s="189">
        <f>SUMIFS(Table1[[المنصرف ]],Table1[[نوع المصروف ]],$A:$A,Table1[[الشهر ]],$B$1,Table1[الفرع],'تحليلات 2024'!$H$20)</f>
        <v>0</v>
      </c>
      <c r="I65" s="190">
        <f t="shared" si="28"/>
        <v>0</v>
      </c>
      <c r="J65" s="189">
        <f>SUMIFS(Table1[[المنصرف ]],Table1[[نوع المصروف ]],$A:$A,Table1[[الشهر ]],$B$1,Table1[الفرع],'تحليلات 2024'!$J$20)</f>
        <v>0</v>
      </c>
      <c r="K65" s="190">
        <f t="shared" si="38"/>
        <v>0</v>
      </c>
      <c r="L65" s="189">
        <f t="shared" si="39"/>
        <v>0</v>
      </c>
      <c r="M65" s="190">
        <f t="shared" si="40"/>
        <v>0</v>
      </c>
      <c r="O65" s="189">
        <f>SUMIFS(Table1[[المنصرف ]],Table1[[نوع المصروف ]],$A:$A,Table1[[الشهر ]],$O$1,Table1[الفرع],'تحليلات 2024'!$B$20)</f>
        <v>0</v>
      </c>
      <c r="P65" s="190">
        <f t="shared" si="56"/>
        <v>0</v>
      </c>
      <c r="Q65" s="189">
        <f>SUMIFS(Table1[[المنصرف ]],Table1[[نوع المصروف ]],$A:$A,Table1[[الشهر ]],$O$1,Table1[الفرع],'تحليلات 2024'!$D$20)</f>
        <v>0</v>
      </c>
      <c r="R65" s="190">
        <f t="shared" si="57"/>
        <v>0</v>
      </c>
      <c r="S65" s="189">
        <f>SUMIFS(Table1[[المنصرف ]],Table1[[نوع المصروف ]],$A:$A,Table1[[الشهر ]],$O$1,Table1[الفرع],'تحليلات 2024'!$F$20)</f>
        <v>0</v>
      </c>
      <c r="T65" s="190">
        <f t="shared" si="58"/>
        <v>0</v>
      </c>
      <c r="U65" s="189">
        <f>SUMIFS(Table1[[المنصرف ]],Table1[[نوع المصروف ]],$A:$A,Table1[[الشهر ]],$O$1,Table1[الفرع],'تحليلات 2024'!$H$20)</f>
        <v>0</v>
      </c>
      <c r="V65" s="190">
        <f t="shared" si="59"/>
        <v>0</v>
      </c>
      <c r="W65" s="189">
        <f>SUMIFS(Table1[[المنصرف ]],Table1[[نوع المصروف ]],$A:$A,Table1[[الشهر ]],$O$1,Table1[الفرع],'تحليلات 2024'!$J$20)</f>
        <v>0</v>
      </c>
      <c r="X65" s="190">
        <f t="shared" si="60"/>
        <v>0</v>
      </c>
      <c r="Y65" s="189">
        <f t="shared" si="44"/>
        <v>0</v>
      </c>
      <c r="Z65" s="190">
        <f t="shared" si="61"/>
        <v>0</v>
      </c>
      <c r="AB65" s="189">
        <f>SUMIFS(Table1[[المنصرف ]],Table1[[نوع المصروف ]],$A:$A,Table1[[الشهر ]],$AB$1,Table1[الفرع],'تحليلات 2024'!$B$20)</f>
        <v>0</v>
      </c>
      <c r="AC65" s="190">
        <f t="shared" si="62"/>
        <v>0</v>
      </c>
      <c r="AD65" s="189">
        <f>SUMIFS(Table1[[المنصرف ]],Table1[[نوع المصروف ]],$A:$A,Table1[[الشهر ]],$AB$1,Table1[الفرع],'تحليلات 2024'!$D$20)</f>
        <v>0</v>
      </c>
      <c r="AE65" s="190">
        <f t="shared" si="63"/>
        <v>0</v>
      </c>
      <c r="AF65" s="189">
        <f>SUMIFS(Table1[[المنصرف ]],Table1[[نوع المصروف ]],$A:$A,Table1[[الشهر ]],$AB$1,Table1[الفرع],'تحليلات 2024'!$F$20)</f>
        <v>0</v>
      </c>
      <c r="AG65" s="190">
        <f t="shared" si="64"/>
        <v>0</v>
      </c>
      <c r="AH65" s="189">
        <f>SUMIFS(Table1[[المنصرف ]],Table1[[نوع المصروف ]],$A:$A,Table1[[الشهر ]],$AB$1,Table1[الفرع],'تحليلات 2024'!$H$20)</f>
        <v>0</v>
      </c>
      <c r="AI65" s="190">
        <f t="shared" si="65"/>
        <v>0</v>
      </c>
      <c r="AJ65" s="189">
        <f>SUMIFS(Table1[[المنصرف ]],Table1[[نوع المصروف ]],$A:$A,Table1[[الشهر ]],$AB$1,Table1[الفرع],'تحليلات 2024'!$J$20)</f>
        <v>0</v>
      </c>
      <c r="AK65" s="190">
        <f t="shared" si="66"/>
        <v>0</v>
      </c>
      <c r="AL65" s="189">
        <f t="shared" si="49"/>
        <v>0</v>
      </c>
      <c r="AM65" s="190">
        <f t="shared" si="67"/>
        <v>0</v>
      </c>
      <c r="AO65" s="189">
        <f>SUMIFS(Table1[[المنصرف ]],Table1[[نوع المصروف ]],$A:$A,Table1[[الشهر ]],$AO$1,Table1[الفرع],'تحليلات 2024'!$B$20)</f>
        <v>0</v>
      </c>
      <c r="AP65" s="190">
        <f t="shared" si="68"/>
        <v>0</v>
      </c>
      <c r="AQ65" s="189">
        <f>SUMIFS(Table1[[المنصرف ]],Table1[[نوع المصروف ]],$A:$A,Table1[[الشهر ]],$AO$1,Table1[الفرع],'تحليلات 2024'!$D$20)</f>
        <v>0</v>
      </c>
      <c r="AR65" s="190">
        <f t="shared" si="69"/>
        <v>0</v>
      </c>
      <c r="AS65" s="189">
        <f>SUMIFS(Table1[[المنصرف ]],Table1[[نوع المصروف ]],$A:$A,Table1[[الشهر ]],$AO$1,Table1[الفرع],'تحليلات 2024'!$F$20)</f>
        <v>0</v>
      </c>
      <c r="AT65" s="190">
        <f t="shared" si="70"/>
        <v>0</v>
      </c>
      <c r="AU65" s="189">
        <f>SUMIFS(Table1[[المنصرف ]],Table1[[نوع المصروف ]],$A:$A,Table1[[الشهر ]],$AO$1,Table1[الفرع],'تحليلات 2024'!$H$20)</f>
        <v>0</v>
      </c>
      <c r="AV65" s="190">
        <f t="shared" si="71"/>
        <v>0</v>
      </c>
      <c r="AW65" s="189">
        <f>SUMIFS(Table1[[المنصرف ]],Table1[[نوع المصروف ]],$A:$A,Table1[[الشهر ]],$AO$1,Table1[الفرع],'تحليلات 2024'!$J$20)</f>
        <v>0</v>
      </c>
      <c r="AX65" s="190">
        <f t="shared" si="72"/>
        <v>0</v>
      </c>
      <c r="AY65" s="189">
        <f t="shared" si="54"/>
        <v>0</v>
      </c>
      <c r="AZ65" s="190">
        <f t="shared" si="73"/>
        <v>0</v>
      </c>
    </row>
    <row r="66" spans="1:52" s="188" customFormat="1" ht="20.25">
      <c r="A66" s="201" t="s">
        <v>324</v>
      </c>
      <c r="B66" s="191">
        <f>SUM(B21:B65)</f>
        <v>4323.96</v>
      </c>
      <c r="C66" s="192">
        <f t="shared" si="35"/>
        <v>6.5801915911691137E-3</v>
      </c>
      <c r="D66" s="191">
        <f>SUM(D21:D65)</f>
        <v>169019.6</v>
      </c>
      <c r="E66" s="192">
        <f t="shared" si="36"/>
        <v>0.96661764437253062</v>
      </c>
      <c r="F66" s="191">
        <f>SUM(F21:F65)</f>
        <v>15266.029999999999</v>
      </c>
      <c r="G66" s="192">
        <f t="shared" si="37"/>
        <v>0</v>
      </c>
      <c r="H66" s="191">
        <f>SUM(H21:H65)</f>
        <v>26</v>
      </c>
      <c r="I66" s="192">
        <f t="shared" si="28"/>
        <v>0</v>
      </c>
      <c r="J66" s="191">
        <f>SUM(J21:J65)</f>
        <v>391729.58360000007</v>
      </c>
      <c r="K66" s="192">
        <f>IFERROR((J66/$H$18),0)</f>
        <v>0</v>
      </c>
      <c r="L66" s="191">
        <f>B66+D66+H66+J66+F66</f>
        <v>580365.1736000001</v>
      </c>
      <c r="M66" s="192">
        <f t="shared" si="40"/>
        <v>0.69196664946181152</v>
      </c>
      <c r="O66" s="191">
        <f>SUM(O21:O65)</f>
        <v>69</v>
      </c>
      <c r="P66" s="192">
        <f t="shared" si="56"/>
        <v>1.0500402866600728E-4</v>
      </c>
      <c r="Q66" s="191">
        <f>SUM(Q21:Q65)</f>
        <v>0</v>
      </c>
      <c r="R66" s="192">
        <f t="shared" si="57"/>
        <v>0</v>
      </c>
      <c r="S66" s="191">
        <f>SUM(S21:S65)</f>
        <v>6175</v>
      </c>
      <c r="T66" s="192">
        <f t="shared" si="58"/>
        <v>0</v>
      </c>
      <c r="U66" s="191">
        <f>SUM(U21:U65)</f>
        <v>0</v>
      </c>
      <c r="V66" s="192">
        <f t="shared" si="59"/>
        <v>0</v>
      </c>
      <c r="W66" s="191">
        <f>SUM(W21:W65)</f>
        <v>194895.18999999997</v>
      </c>
      <c r="X66" s="192">
        <f>IFERROR((W66/$H$18),0)</f>
        <v>0</v>
      </c>
      <c r="Y66" s="189">
        <f>O66+Q66+U66+W66+S66</f>
        <v>201139.18999999997</v>
      </c>
      <c r="Z66" s="192">
        <f t="shared" si="61"/>
        <v>0.23981730419215261</v>
      </c>
      <c r="AB66" s="191">
        <f>SUM(AB21:AB65)</f>
        <v>0</v>
      </c>
      <c r="AC66" s="192">
        <f t="shared" si="62"/>
        <v>0</v>
      </c>
      <c r="AD66" s="191">
        <f>SUM(AD21:AD65)</f>
        <v>0</v>
      </c>
      <c r="AE66" s="192">
        <f t="shared" si="63"/>
        <v>0</v>
      </c>
      <c r="AF66" s="191">
        <f>SUM(AF21:AF65)</f>
        <v>0</v>
      </c>
      <c r="AG66" s="192">
        <f t="shared" si="64"/>
        <v>0</v>
      </c>
      <c r="AH66" s="191">
        <f>SUM(AH21:AH65)</f>
        <v>0</v>
      </c>
      <c r="AI66" s="192">
        <f t="shared" si="65"/>
        <v>0</v>
      </c>
      <c r="AJ66" s="191">
        <f>SUM(AJ21:AJ65)</f>
        <v>0</v>
      </c>
      <c r="AK66" s="192">
        <f>IFERROR((AJ66/$H$18),0)</f>
        <v>0</v>
      </c>
      <c r="AL66" s="189">
        <f>AB66+AD66+AH66+AJ66+AF66</f>
        <v>0</v>
      </c>
      <c r="AM66" s="192">
        <f t="shared" si="67"/>
        <v>0</v>
      </c>
      <c r="AO66" s="191">
        <f>SUM(AO21:AO65)</f>
        <v>0</v>
      </c>
      <c r="AP66" s="192">
        <f t="shared" si="68"/>
        <v>0</v>
      </c>
      <c r="AQ66" s="191">
        <f>SUM(AQ21:AQ65)</f>
        <v>0</v>
      </c>
      <c r="AR66" s="192">
        <f t="shared" si="69"/>
        <v>0</v>
      </c>
      <c r="AS66" s="191">
        <f>SUM(AS21:AS65)</f>
        <v>0</v>
      </c>
      <c r="AT66" s="192">
        <f t="shared" si="70"/>
        <v>0</v>
      </c>
      <c r="AU66" s="191">
        <f>SUM(AU21:AU65)</f>
        <v>0</v>
      </c>
      <c r="AV66" s="192">
        <f t="shared" si="71"/>
        <v>0</v>
      </c>
      <c r="AW66" s="191">
        <f>SUM(AW21:AW65)</f>
        <v>0</v>
      </c>
      <c r="AX66" s="192">
        <f>IFERROR((AW66/$H$18),0)</f>
        <v>0</v>
      </c>
      <c r="AY66" s="189">
        <f>AO66+AQ66+AU66+AW66+AS66</f>
        <v>0</v>
      </c>
      <c r="AZ66" s="192">
        <f t="shared" si="73"/>
        <v>0</v>
      </c>
    </row>
    <row r="67" spans="1:52">
      <c r="O67" s="193"/>
      <c r="P67" s="194"/>
      <c r="Q67" s="193"/>
      <c r="R67" s="194"/>
      <c r="S67" s="193"/>
      <c r="T67" s="194"/>
      <c r="U67" s="193"/>
      <c r="V67" s="194"/>
      <c r="W67" s="193"/>
      <c r="X67" s="194"/>
      <c r="Y67" s="193"/>
      <c r="Z67" s="194"/>
      <c r="AB67" s="193"/>
      <c r="AC67" s="194"/>
      <c r="AD67" s="193"/>
      <c r="AE67" s="194"/>
      <c r="AF67" s="193"/>
      <c r="AG67" s="194"/>
      <c r="AH67" s="193"/>
      <c r="AI67" s="194"/>
      <c r="AJ67" s="193"/>
      <c r="AK67" s="194"/>
      <c r="AL67" s="193"/>
      <c r="AM67" s="194"/>
      <c r="AO67" s="193"/>
      <c r="AP67" s="194"/>
      <c r="AQ67" s="193"/>
      <c r="AR67" s="194"/>
      <c r="AS67" s="193"/>
      <c r="AT67" s="194"/>
      <c r="AU67" s="193"/>
      <c r="AV67" s="194"/>
      <c r="AW67" s="193"/>
      <c r="AX67" s="194"/>
      <c r="AY67" s="193"/>
      <c r="AZ67" s="194"/>
    </row>
    <row r="68" spans="1:52">
      <c r="O68" s="193"/>
      <c r="P68" s="194"/>
      <c r="Q68" s="193"/>
      <c r="R68" s="194"/>
      <c r="S68" s="193"/>
      <c r="T68" s="194"/>
      <c r="U68" s="193"/>
      <c r="V68" s="194"/>
      <c r="W68" s="193"/>
      <c r="X68" s="194"/>
      <c r="Y68" s="193"/>
      <c r="Z68" s="194"/>
      <c r="AB68" s="193"/>
      <c r="AC68" s="194"/>
      <c r="AD68" s="193"/>
      <c r="AE68" s="194"/>
      <c r="AF68" s="193"/>
      <c r="AG68" s="194"/>
      <c r="AH68" s="193"/>
      <c r="AI68" s="194"/>
      <c r="AJ68" s="193"/>
      <c r="AK68" s="194"/>
      <c r="AL68" s="193"/>
      <c r="AM68" s="194"/>
      <c r="AO68" s="193"/>
      <c r="AP68" s="194"/>
      <c r="AQ68" s="193"/>
      <c r="AR68" s="194"/>
      <c r="AS68" s="193"/>
      <c r="AT68" s="194"/>
      <c r="AU68" s="193"/>
      <c r="AV68" s="194"/>
      <c r="AW68" s="193"/>
      <c r="AX68" s="194"/>
      <c r="AY68" s="193"/>
      <c r="AZ68" s="194"/>
    </row>
    <row r="69" spans="1:52" s="188" customFormat="1" ht="20.25">
      <c r="A69" s="201" t="s">
        <v>325</v>
      </c>
      <c r="B69" s="191">
        <f>B18-B66</f>
        <v>652793.68469030526</v>
      </c>
      <c r="C69" s="192">
        <f>IFERROR((B69/B18),0)</f>
        <v>0.99341980840883093</v>
      </c>
      <c r="D69" s="191">
        <f>D18-D66</f>
        <v>5837.1295289930713</v>
      </c>
      <c r="E69" s="192">
        <f>IFERROR((D69/D18),0)</f>
        <v>3.3382355627469371E-2</v>
      </c>
      <c r="F69" s="191">
        <f>F18-F66</f>
        <v>-8521.9861403508767</v>
      </c>
      <c r="G69" s="192">
        <f>IFERROR((F69/F18),0)</f>
        <v>-1.2636314824907227</v>
      </c>
      <c r="H69" s="191">
        <f>H18-H66</f>
        <v>-26</v>
      </c>
      <c r="I69" s="192">
        <f>IFERROR((H69/H18),0)</f>
        <v>0</v>
      </c>
      <c r="J69" s="191">
        <f>J18-J66</f>
        <v>-391729.58360000007</v>
      </c>
      <c r="K69" s="192">
        <f>IFERROR((J69/J18),0)</f>
        <v>0</v>
      </c>
      <c r="L69" s="191">
        <f>L18-L66</f>
        <v>258353.24447894737</v>
      </c>
      <c r="M69" s="192">
        <f>IFERROR((L69/L18),0)</f>
        <v>0.30803335053818853</v>
      </c>
      <c r="O69" s="191">
        <f>O18-O66</f>
        <v>252332.38810526312</v>
      </c>
      <c r="P69" s="192">
        <f>IFERROR((O69/O18),0)</f>
        <v>0.99972662590916017</v>
      </c>
      <c r="Q69" s="191">
        <f>Q18-Q66</f>
        <v>152521.69399999999</v>
      </c>
      <c r="R69" s="192">
        <f>IFERROR((Q69/Q18),0)</f>
        <v>1</v>
      </c>
      <c r="S69" s="191">
        <f>S18-S66</f>
        <v>-6175</v>
      </c>
      <c r="T69" s="192">
        <f>IFERROR((S69/S18),0)</f>
        <v>0</v>
      </c>
      <c r="U69" s="191">
        <f>U18-U66</f>
        <v>3000</v>
      </c>
      <c r="V69" s="192">
        <f>IFERROR((U69/U18),0)</f>
        <v>1</v>
      </c>
      <c r="W69" s="191">
        <f>W18-W66</f>
        <v>-194895.18999999997</v>
      </c>
      <c r="X69" s="192">
        <f>IFERROR((W69/W18),0)</f>
        <v>0</v>
      </c>
      <c r="Y69" s="191">
        <f>Y18-Y66</f>
        <v>206783.89210526316</v>
      </c>
      <c r="Z69" s="192">
        <f>IFERROR((Y69/Y18),0)</f>
        <v>0.50691883145730721</v>
      </c>
      <c r="AB69" s="191">
        <f>AB18-AB66</f>
        <v>0</v>
      </c>
      <c r="AC69" s="192">
        <f>IFERROR((AB69/AB18),0)</f>
        <v>0</v>
      </c>
      <c r="AD69" s="191">
        <f>AD18-AD66</f>
        <v>0</v>
      </c>
      <c r="AE69" s="192">
        <f>IFERROR((AD69/AD18),0)</f>
        <v>0</v>
      </c>
      <c r="AF69" s="191">
        <f>AF18-AF66</f>
        <v>0</v>
      </c>
      <c r="AG69" s="192">
        <f>IFERROR((AF69/AF18),0)</f>
        <v>0</v>
      </c>
      <c r="AH69" s="191">
        <f>AH18-AH66</f>
        <v>0</v>
      </c>
      <c r="AI69" s="192">
        <f>IFERROR((AH69/AH18),0)</f>
        <v>0</v>
      </c>
      <c r="AJ69" s="191">
        <f>AJ18-AJ66</f>
        <v>0</v>
      </c>
      <c r="AK69" s="192">
        <f>IFERROR((AJ69/AJ18),0)</f>
        <v>0</v>
      </c>
      <c r="AL69" s="191">
        <f>AL18-AL66</f>
        <v>0</v>
      </c>
      <c r="AM69" s="192">
        <f>IFERROR((AL69/AL18),0)</f>
        <v>0</v>
      </c>
      <c r="AO69" s="191">
        <f>AO18-AO66</f>
        <v>0</v>
      </c>
      <c r="AP69" s="192">
        <f>IFERROR((AO69/AO18),0)</f>
        <v>0</v>
      </c>
      <c r="AQ69" s="191">
        <f>AQ18-AQ66</f>
        <v>0</v>
      </c>
      <c r="AR69" s="192">
        <f>IFERROR((AQ69/AQ18),0)</f>
        <v>0</v>
      </c>
      <c r="AS69" s="191">
        <f>AS18-AS66</f>
        <v>0</v>
      </c>
      <c r="AT69" s="192">
        <f>IFERROR((AS69/AS18),0)</f>
        <v>0</v>
      </c>
      <c r="AU69" s="191">
        <f>AU18-AU66</f>
        <v>0</v>
      </c>
      <c r="AV69" s="192">
        <f>IFERROR((AU69/AU18),0)</f>
        <v>0</v>
      </c>
      <c r="AW69" s="191">
        <f>AW18-AW66</f>
        <v>0</v>
      </c>
      <c r="AX69" s="192">
        <f>IFERROR((AW69/AW18),0)</f>
        <v>0</v>
      </c>
      <c r="AY69" s="191">
        <f>AY18-AY66</f>
        <v>0</v>
      </c>
      <c r="AZ69" s="192">
        <f>IFERROR((AY69/AY18),0)</f>
        <v>0</v>
      </c>
    </row>
  </sheetData>
  <mergeCells count="52">
    <mergeCell ref="B1:M1"/>
    <mergeCell ref="L2:M2"/>
    <mergeCell ref="B20:C20"/>
    <mergeCell ref="D20:E20"/>
    <mergeCell ref="L20:M20"/>
    <mergeCell ref="F2:G2"/>
    <mergeCell ref="F20:G20"/>
    <mergeCell ref="H20:I20"/>
    <mergeCell ref="J2:K2"/>
    <mergeCell ref="J20:K20"/>
    <mergeCell ref="B2:C2"/>
    <mergeCell ref="D2:E2"/>
    <mergeCell ref="H2:I2"/>
    <mergeCell ref="Q2:R2"/>
    <mergeCell ref="S2:T2"/>
    <mergeCell ref="U2:V2"/>
    <mergeCell ref="W2:X2"/>
    <mergeCell ref="Y2:Z2"/>
    <mergeCell ref="O20:P20"/>
    <mergeCell ref="Q20:R20"/>
    <mergeCell ref="S20:T20"/>
    <mergeCell ref="U20:V20"/>
    <mergeCell ref="W20:X20"/>
    <mergeCell ref="Y20:Z20"/>
    <mergeCell ref="AB1:AM1"/>
    <mergeCell ref="AB2:AC2"/>
    <mergeCell ref="AD2:AE2"/>
    <mergeCell ref="AF2:AG2"/>
    <mergeCell ref="AH2:AI2"/>
    <mergeCell ref="AJ2:AK2"/>
    <mergeCell ref="AL2:AM2"/>
    <mergeCell ref="AB20:AC20"/>
    <mergeCell ref="AD20:AE20"/>
    <mergeCell ref="AF20:AG20"/>
    <mergeCell ref="AH20:AI20"/>
    <mergeCell ref="AJ20:AK20"/>
    <mergeCell ref="AL20:AM20"/>
    <mergeCell ref="O1:Z1"/>
    <mergeCell ref="O2:P2"/>
    <mergeCell ref="AO1:AZ1"/>
    <mergeCell ref="AO2:AP2"/>
    <mergeCell ref="AQ2:AR2"/>
    <mergeCell ref="AS2:AT2"/>
    <mergeCell ref="AU2:AV2"/>
    <mergeCell ref="AW2:AX2"/>
    <mergeCell ref="AY2:AZ2"/>
    <mergeCell ref="AY20:AZ20"/>
    <mergeCell ref="AO20:AP20"/>
    <mergeCell ref="AQ20:AR20"/>
    <mergeCell ref="AS20:AT20"/>
    <mergeCell ref="AU20:AV20"/>
    <mergeCell ref="AW20:AX20"/>
  </mergeCells>
  <conditionalFormatting sqref="C3:C18 E3:E18 G3:G18 I3:I18 K3:K18 M3:M18">
    <cfRule type="dataBar" priority="34">
      <dataBar>
        <cfvo type="min"/>
        <cfvo type="max"/>
        <color rgb="FF63C384"/>
      </dataBar>
      <extLst>
        <ext xmlns:x14="http://schemas.microsoft.com/office/spreadsheetml/2009/9/main" uri="{B025F937-C7B1-47D3-B67F-A62EFF666E3E}">
          <x14:id>{EC3B81CC-B106-4D0E-B9DE-69B998987624}</x14:id>
        </ext>
      </extLst>
    </cfRule>
  </conditionalFormatting>
  <conditionalFormatting sqref="C21:C66">
    <cfRule type="dataBar" priority="46">
      <dataBar>
        <cfvo type="min"/>
        <cfvo type="max"/>
        <color rgb="FFFF555A"/>
      </dataBar>
      <extLst>
        <ext xmlns:x14="http://schemas.microsoft.com/office/spreadsheetml/2009/9/main" uri="{B025F937-C7B1-47D3-B67F-A62EFF666E3E}">
          <x14:id>{4D85AB1A-4AFE-4FFB-822E-A36B6082A753}</x14:id>
        </ext>
      </extLst>
    </cfRule>
  </conditionalFormatting>
  <conditionalFormatting sqref="E21:E66">
    <cfRule type="dataBar" priority="48">
      <dataBar>
        <cfvo type="min"/>
        <cfvo type="max"/>
        <color rgb="FFFF555A"/>
      </dataBar>
      <extLst>
        <ext xmlns:x14="http://schemas.microsoft.com/office/spreadsheetml/2009/9/main" uri="{B025F937-C7B1-47D3-B67F-A62EFF666E3E}">
          <x14:id>{01411BDA-0A9D-47F0-819D-1EDEF6193F79}</x14:id>
        </ext>
      </extLst>
    </cfRule>
  </conditionalFormatting>
  <conditionalFormatting sqref="G21:G66">
    <cfRule type="dataBar" priority="50">
      <dataBar>
        <cfvo type="min"/>
        <cfvo type="max"/>
        <color rgb="FFFF555A"/>
      </dataBar>
      <extLst>
        <ext xmlns:x14="http://schemas.microsoft.com/office/spreadsheetml/2009/9/main" uri="{B025F937-C7B1-47D3-B67F-A62EFF666E3E}">
          <x14:id>{78948953-5C1A-4677-AB62-73B33DC98567}</x14:id>
        </ext>
      </extLst>
    </cfRule>
  </conditionalFormatting>
  <conditionalFormatting sqref="I21:I66">
    <cfRule type="dataBar" priority="52">
      <dataBar>
        <cfvo type="min"/>
        <cfvo type="max"/>
        <color rgb="FFFF555A"/>
      </dataBar>
      <extLst>
        <ext xmlns:x14="http://schemas.microsoft.com/office/spreadsheetml/2009/9/main" uri="{B025F937-C7B1-47D3-B67F-A62EFF666E3E}">
          <x14:id>{EE389FEE-E004-4D52-927B-15D86B611240}</x14:id>
        </ext>
      </extLst>
    </cfRule>
  </conditionalFormatting>
  <conditionalFormatting sqref="K21:K66">
    <cfRule type="dataBar" priority="54">
      <dataBar>
        <cfvo type="min"/>
        <cfvo type="max"/>
        <color rgb="FFFF555A"/>
      </dataBar>
      <extLst>
        <ext xmlns:x14="http://schemas.microsoft.com/office/spreadsheetml/2009/9/main" uri="{B025F937-C7B1-47D3-B67F-A62EFF666E3E}">
          <x14:id>{FC2727D1-D2F1-40F2-BBFB-E7FCEB4734A6}</x14:id>
        </ext>
      </extLst>
    </cfRule>
  </conditionalFormatting>
  <conditionalFormatting sqref="M21:M66">
    <cfRule type="dataBar" priority="56">
      <dataBar>
        <cfvo type="min"/>
        <cfvo type="max"/>
        <color rgb="FFFF555A"/>
      </dataBar>
      <extLst>
        <ext xmlns:x14="http://schemas.microsoft.com/office/spreadsheetml/2009/9/main" uri="{B025F937-C7B1-47D3-B67F-A62EFF666E3E}">
          <x14:id>{11CCE88D-B44F-4B4C-A53B-4B7BEC6225A1}</x14:id>
        </ext>
      </extLst>
    </cfRule>
  </conditionalFormatting>
  <conditionalFormatting sqref="P3:P18 R3:R18 T3:T18 V3:V18 X3:X18 Z3:Z18">
    <cfRule type="dataBar" priority="15">
      <dataBar>
        <cfvo type="min"/>
        <cfvo type="max"/>
        <color rgb="FF63C384"/>
      </dataBar>
      <extLst>
        <ext xmlns:x14="http://schemas.microsoft.com/office/spreadsheetml/2009/9/main" uri="{B025F937-C7B1-47D3-B67F-A62EFF666E3E}">
          <x14:id>{A6D34407-47AE-462A-8393-A2C26C15B41A}</x14:id>
        </ext>
      </extLst>
    </cfRule>
  </conditionalFormatting>
  <conditionalFormatting sqref="P21:P66">
    <cfRule type="dataBar" priority="58">
      <dataBar>
        <cfvo type="min"/>
        <cfvo type="max"/>
        <color rgb="FFFF555A"/>
      </dataBar>
      <extLst>
        <ext xmlns:x14="http://schemas.microsoft.com/office/spreadsheetml/2009/9/main" uri="{B025F937-C7B1-47D3-B67F-A62EFF666E3E}">
          <x14:id>{91853B16-930B-411F-AE4C-9475862CFB49}</x14:id>
        </ext>
      </extLst>
    </cfRule>
  </conditionalFormatting>
  <conditionalFormatting sqref="R21:R66">
    <cfRule type="dataBar" priority="60">
      <dataBar>
        <cfvo type="min"/>
        <cfvo type="max"/>
        <color rgb="FFFF555A"/>
      </dataBar>
      <extLst>
        <ext xmlns:x14="http://schemas.microsoft.com/office/spreadsheetml/2009/9/main" uri="{B025F937-C7B1-47D3-B67F-A62EFF666E3E}">
          <x14:id>{01FABBF2-7179-4A80-B4FE-6401B5A87C0B}</x14:id>
        </ext>
      </extLst>
    </cfRule>
  </conditionalFormatting>
  <conditionalFormatting sqref="T21:T66">
    <cfRule type="dataBar" priority="62">
      <dataBar>
        <cfvo type="min"/>
        <cfvo type="max"/>
        <color rgb="FFFF555A"/>
      </dataBar>
      <extLst>
        <ext xmlns:x14="http://schemas.microsoft.com/office/spreadsheetml/2009/9/main" uri="{B025F937-C7B1-47D3-B67F-A62EFF666E3E}">
          <x14:id>{EA94F934-8030-4D7D-885E-72BDB11CC79E}</x14:id>
        </ext>
      </extLst>
    </cfRule>
  </conditionalFormatting>
  <conditionalFormatting sqref="V21:V66">
    <cfRule type="dataBar" priority="64">
      <dataBar>
        <cfvo type="min"/>
        <cfvo type="max"/>
        <color rgb="FFFF555A"/>
      </dataBar>
      <extLst>
        <ext xmlns:x14="http://schemas.microsoft.com/office/spreadsheetml/2009/9/main" uri="{B025F937-C7B1-47D3-B67F-A62EFF666E3E}">
          <x14:id>{0E4887DF-F711-45E7-9878-A5156F40C976}</x14:id>
        </ext>
      </extLst>
    </cfRule>
  </conditionalFormatting>
  <conditionalFormatting sqref="X21:X66">
    <cfRule type="dataBar" priority="66">
      <dataBar>
        <cfvo type="min"/>
        <cfvo type="max"/>
        <color rgb="FFFF555A"/>
      </dataBar>
      <extLst>
        <ext xmlns:x14="http://schemas.microsoft.com/office/spreadsheetml/2009/9/main" uri="{B025F937-C7B1-47D3-B67F-A62EFF666E3E}">
          <x14:id>{AD77833F-F690-4FA6-A56E-967017A8A93D}</x14:id>
        </ext>
      </extLst>
    </cfRule>
  </conditionalFormatting>
  <conditionalFormatting sqref="Z21:Z66">
    <cfRule type="dataBar" priority="68">
      <dataBar>
        <cfvo type="min"/>
        <cfvo type="max"/>
        <color rgb="FFFF555A"/>
      </dataBar>
      <extLst>
        <ext xmlns:x14="http://schemas.microsoft.com/office/spreadsheetml/2009/9/main" uri="{B025F937-C7B1-47D3-B67F-A62EFF666E3E}">
          <x14:id>{B5EA925D-3686-48AB-891E-CD82274C0CD0}</x14:id>
        </ext>
      </extLst>
    </cfRule>
  </conditionalFormatting>
  <conditionalFormatting sqref="AC3:AC18 AE3:AE18 AG3:AG18 AI3:AI18 AK3:AK18 AM3:AM18">
    <cfRule type="dataBar" priority="8">
      <dataBar>
        <cfvo type="min"/>
        <cfvo type="max"/>
        <color rgb="FF63C384"/>
      </dataBar>
      <extLst>
        <ext xmlns:x14="http://schemas.microsoft.com/office/spreadsheetml/2009/9/main" uri="{B025F937-C7B1-47D3-B67F-A62EFF666E3E}">
          <x14:id>{28337ED7-1958-42EA-9A45-A6A50BF923D5}</x14:id>
        </ext>
      </extLst>
    </cfRule>
  </conditionalFormatting>
  <conditionalFormatting sqref="AC21:AC66">
    <cfRule type="dataBar" priority="9">
      <dataBar>
        <cfvo type="min"/>
        <cfvo type="max"/>
        <color rgb="FFFF555A"/>
      </dataBar>
      <extLst>
        <ext xmlns:x14="http://schemas.microsoft.com/office/spreadsheetml/2009/9/main" uri="{B025F937-C7B1-47D3-B67F-A62EFF666E3E}">
          <x14:id>{A5645223-C320-4B8E-AECB-6310707118DF}</x14:id>
        </ext>
      </extLst>
    </cfRule>
  </conditionalFormatting>
  <conditionalFormatting sqref="AE21:AE66">
    <cfRule type="dataBar" priority="10">
      <dataBar>
        <cfvo type="min"/>
        <cfvo type="max"/>
        <color rgb="FFFF555A"/>
      </dataBar>
      <extLst>
        <ext xmlns:x14="http://schemas.microsoft.com/office/spreadsheetml/2009/9/main" uri="{B025F937-C7B1-47D3-B67F-A62EFF666E3E}">
          <x14:id>{8EC69EE5-74A0-49D2-B547-5926EACE1F56}</x14:id>
        </ext>
      </extLst>
    </cfRule>
  </conditionalFormatting>
  <conditionalFormatting sqref="AG21:AG66">
    <cfRule type="dataBar" priority="11">
      <dataBar>
        <cfvo type="min"/>
        <cfvo type="max"/>
        <color rgb="FFFF555A"/>
      </dataBar>
      <extLst>
        <ext xmlns:x14="http://schemas.microsoft.com/office/spreadsheetml/2009/9/main" uri="{B025F937-C7B1-47D3-B67F-A62EFF666E3E}">
          <x14:id>{4CE287C0-AE80-41F7-A2C7-7568D8B499DD}</x14:id>
        </ext>
      </extLst>
    </cfRule>
  </conditionalFormatting>
  <conditionalFormatting sqref="AI21:AI66">
    <cfRule type="dataBar" priority="12">
      <dataBar>
        <cfvo type="min"/>
        <cfvo type="max"/>
        <color rgb="FFFF555A"/>
      </dataBar>
      <extLst>
        <ext xmlns:x14="http://schemas.microsoft.com/office/spreadsheetml/2009/9/main" uri="{B025F937-C7B1-47D3-B67F-A62EFF666E3E}">
          <x14:id>{33214899-839D-4F33-981A-742E07578D71}</x14:id>
        </ext>
      </extLst>
    </cfRule>
  </conditionalFormatting>
  <conditionalFormatting sqref="AK21:AK66">
    <cfRule type="dataBar" priority="13">
      <dataBar>
        <cfvo type="min"/>
        <cfvo type="max"/>
        <color rgb="FFFF555A"/>
      </dataBar>
      <extLst>
        <ext xmlns:x14="http://schemas.microsoft.com/office/spreadsheetml/2009/9/main" uri="{B025F937-C7B1-47D3-B67F-A62EFF666E3E}">
          <x14:id>{52275D3B-0286-48CA-85A6-E1056BF3DB59}</x14:id>
        </ext>
      </extLst>
    </cfRule>
  </conditionalFormatting>
  <conditionalFormatting sqref="AM21:AM66">
    <cfRule type="dataBar" priority="14">
      <dataBar>
        <cfvo type="min"/>
        <cfvo type="max"/>
        <color rgb="FFFF555A"/>
      </dataBar>
      <extLst>
        <ext xmlns:x14="http://schemas.microsoft.com/office/spreadsheetml/2009/9/main" uri="{B025F937-C7B1-47D3-B67F-A62EFF666E3E}">
          <x14:id>{748295A6-F809-4B89-9137-28F1834E087A}</x14:id>
        </ext>
      </extLst>
    </cfRule>
  </conditionalFormatting>
  <conditionalFormatting sqref="AP3:AP18 AR3:AR18 AT3:AT18 AV3:AV18 AX3:AX18 AZ3:AZ18">
    <cfRule type="dataBar" priority="1">
      <dataBar>
        <cfvo type="min"/>
        <cfvo type="max"/>
        <color rgb="FF63C384"/>
      </dataBar>
      <extLst>
        <ext xmlns:x14="http://schemas.microsoft.com/office/spreadsheetml/2009/9/main" uri="{B025F937-C7B1-47D3-B67F-A62EFF666E3E}">
          <x14:id>{6B06875C-E4FC-4350-9E28-7DEB9CE08053}</x14:id>
        </ext>
      </extLst>
    </cfRule>
  </conditionalFormatting>
  <conditionalFormatting sqref="AP21:AP66">
    <cfRule type="dataBar" priority="2">
      <dataBar>
        <cfvo type="min"/>
        <cfvo type="max"/>
        <color rgb="FFFF555A"/>
      </dataBar>
      <extLst>
        <ext xmlns:x14="http://schemas.microsoft.com/office/spreadsheetml/2009/9/main" uri="{B025F937-C7B1-47D3-B67F-A62EFF666E3E}">
          <x14:id>{E019FFBB-8A4D-46BE-A559-84346A94BEC2}</x14:id>
        </ext>
      </extLst>
    </cfRule>
  </conditionalFormatting>
  <conditionalFormatting sqref="AR21:AR66">
    <cfRule type="dataBar" priority="3">
      <dataBar>
        <cfvo type="min"/>
        <cfvo type="max"/>
        <color rgb="FFFF555A"/>
      </dataBar>
      <extLst>
        <ext xmlns:x14="http://schemas.microsoft.com/office/spreadsheetml/2009/9/main" uri="{B025F937-C7B1-47D3-B67F-A62EFF666E3E}">
          <x14:id>{F33DF713-6F95-4D53-8A36-8AD3720A55B7}</x14:id>
        </ext>
      </extLst>
    </cfRule>
  </conditionalFormatting>
  <conditionalFormatting sqref="AT21:AT66">
    <cfRule type="dataBar" priority="4">
      <dataBar>
        <cfvo type="min"/>
        <cfvo type="max"/>
        <color rgb="FFFF555A"/>
      </dataBar>
      <extLst>
        <ext xmlns:x14="http://schemas.microsoft.com/office/spreadsheetml/2009/9/main" uri="{B025F937-C7B1-47D3-B67F-A62EFF666E3E}">
          <x14:id>{E326AF24-BC26-45C1-A6D9-55C1F8137912}</x14:id>
        </ext>
      </extLst>
    </cfRule>
  </conditionalFormatting>
  <conditionalFormatting sqref="AV21:AV66">
    <cfRule type="dataBar" priority="5">
      <dataBar>
        <cfvo type="min"/>
        <cfvo type="max"/>
        <color rgb="FFFF555A"/>
      </dataBar>
      <extLst>
        <ext xmlns:x14="http://schemas.microsoft.com/office/spreadsheetml/2009/9/main" uri="{B025F937-C7B1-47D3-B67F-A62EFF666E3E}">
          <x14:id>{BFCFC8FC-5E7B-4238-9CB2-B407A2DE1DBB}</x14:id>
        </ext>
      </extLst>
    </cfRule>
  </conditionalFormatting>
  <conditionalFormatting sqref="AX21:AX66">
    <cfRule type="dataBar" priority="6">
      <dataBar>
        <cfvo type="min"/>
        <cfvo type="max"/>
        <color rgb="FFFF555A"/>
      </dataBar>
      <extLst>
        <ext xmlns:x14="http://schemas.microsoft.com/office/spreadsheetml/2009/9/main" uri="{B025F937-C7B1-47D3-B67F-A62EFF666E3E}">
          <x14:id>{6A997E96-0FA8-454B-B898-70247D945106}</x14:id>
        </ext>
      </extLst>
    </cfRule>
  </conditionalFormatting>
  <conditionalFormatting sqref="AZ21:AZ66">
    <cfRule type="dataBar" priority="7">
      <dataBar>
        <cfvo type="min"/>
        <cfvo type="max"/>
        <color rgb="FFFF555A"/>
      </dataBar>
      <extLst>
        <ext xmlns:x14="http://schemas.microsoft.com/office/spreadsheetml/2009/9/main" uri="{B025F937-C7B1-47D3-B67F-A62EFF666E3E}">
          <x14:id>{EC81B56D-C84E-49A2-AEA6-F4A0EECFE169}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C3B81CC-B106-4D0E-B9DE-69B998987624}">
            <x14:dataBar minLength="0" maxLength="100" border="1" negativeBarBorderColorSameAsPositive="0">
              <x14:cfvo type="autoMin"/>
              <x14:cfvo type="autoMax"/>
              <x14:borderColor rgb="FF63C384"/>
              <x14:negativeFillColor rgb="FFFF0000"/>
              <x14:negativeBorderColor rgb="FFFF0000"/>
              <x14:axisColor rgb="FF000000"/>
            </x14:dataBar>
          </x14:cfRule>
          <xm:sqref>C3:C18 E3:E18 G3:G18 I3:I18 K3:K18 M3:M18</xm:sqref>
        </x14:conditionalFormatting>
        <x14:conditionalFormatting xmlns:xm="http://schemas.microsoft.com/office/excel/2006/main">
          <x14:cfRule type="dataBar" id="{4D85AB1A-4AFE-4FFB-822E-A36B6082A753}">
            <x14:dataBar minLength="0" maxLength="100" gradient="0">
              <x14:cfvo type="autoMin"/>
              <x14:cfvo type="autoMax"/>
              <x14:negativeFillColor rgb="FFFF0000"/>
              <x14:axisColor rgb="FF000000"/>
            </x14:dataBar>
          </x14:cfRule>
          <xm:sqref>C21:C66</xm:sqref>
        </x14:conditionalFormatting>
        <x14:conditionalFormatting xmlns:xm="http://schemas.microsoft.com/office/excel/2006/main">
          <x14:cfRule type="dataBar" id="{01411BDA-0A9D-47F0-819D-1EDEF6193F79}">
            <x14:dataBar minLength="0" maxLength="100" gradient="0">
              <x14:cfvo type="autoMin"/>
              <x14:cfvo type="autoMax"/>
              <x14:negativeFillColor rgb="FFFF0000"/>
              <x14:axisColor rgb="FF000000"/>
            </x14:dataBar>
          </x14:cfRule>
          <xm:sqref>E21:E66</xm:sqref>
        </x14:conditionalFormatting>
        <x14:conditionalFormatting xmlns:xm="http://schemas.microsoft.com/office/excel/2006/main">
          <x14:cfRule type="dataBar" id="{78948953-5C1A-4677-AB62-73B33DC98567}">
            <x14:dataBar minLength="0" maxLength="100" gradient="0">
              <x14:cfvo type="autoMin"/>
              <x14:cfvo type="autoMax"/>
              <x14:negativeFillColor rgb="FFFF0000"/>
              <x14:axisColor rgb="FF000000"/>
            </x14:dataBar>
          </x14:cfRule>
          <xm:sqref>G21:G66</xm:sqref>
        </x14:conditionalFormatting>
        <x14:conditionalFormatting xmlns:xm="http://schemas.microsoft.com/office/excel/2006/main">
          <x14:cfRule type="dataBar" id="{EE389FEE-E004-4D52-927B-15D86B611240}">
            <x14:dataBar minLength="0" maxLength="100" gradient="0">
              <x14:cfvo type="autoMin"/>
              <x14:cfvo type="autoMax"/>
              <x14:negativeFillColor rgb="FFFF0000"/>
              <x14:axisColor rgb="FF000000"/>
            </x14:dataBar>
          </x14:cfRule>
          <xm:sqref>I21:I66</xm:sqref>
        </x14:conditionalFormatting>
        <x14:conditionalFormatting xmlns:xm="http://schemas.microsoft.com/office/excel/2006/main">
          <x14:cfRule type="dataBar" id="{FC2727D1-D2F1-40F2-BBFB-E7FCEB4734A6}">
            <x14:dataBar minLength="0" maxLength="100" gradient="0">
              <x14:cfvo type="autoMin"/>
              <x14:cfvo type="autoMax"/>
              <x14:negativeFillColor rgb="FFFF0000"/>
              <x14:axisColor rgb="FF000000"/>
            </x14:dataBar>
          </x14:cfRule>
          <xm:sqref>K21:K66</xm:sqref>
        </x14:conditionalFormatting>
        <x14:conditionalFormatting xmlns:xm="http://schemas.microsoft.com/office/excel/2006/main">
          <x14:cfRule type="dataBar" id="{11CCE88D-B44F-4B4C-A53B-4B7BEC6225A1}">
            <x14:dataBar minLength="0" maxLength="100" gradient="0">
              <x14:cfvo type="autoMin"/>
              <x14:cfvo type="autoMax"/>
              <x14:negativeFillColor rgb="FFFF0000"/>
              <x14:axisColor rgb="FF000000"/>
            </x14:dataBar>
          </x14:cfRule>
          <xm:sqref>M21:M66</xm:sqref>
        </x14:conditionalFormatting>
        <x14:conditionalFormatting xmlns:xm="http://schemas.microsoft.com/office/excel/2006/main">
          <x14:cfRule type="dataBar" id="{A6D34407-47AE-462A-8393-A2C26C15B41A}">
            <x14:dataBar minLength="0" maxLength="100" border="1" negativeBarBorderColorSameAsPositive="0">
              <x14:cfvo type="autoMin"/>
              <x14:cfvo type="autoMax"/>
              <x14:borderColor rgb="FF63C384"/>
              <x14:negativeFillColor rgb="FFFF0000"/>
              <x14:negativeBorderColor rgb="FFFF0000"/>
              <x14:axisColor rgb="FF000000"/>
            </x14:dataBar>
          </x14:cfRule>
          <xm:sqref>P3:P18 R3:R18 T3:T18 V3:V18 X3:X18 Z3:Z18</xm:sqref>
        </x14:conditionalFormatting>
        <x14:conditionalFormatting xmlns:xm="http://schemas.microsoft.com/office/excel/2006/main">
          <x14:cfRule type="dataBar" id="{91853B16-930B-411F-AE4C-9475862CFB49}">
            <x14:dataBar minLength="0" maxLength="100" gradient="0">
              <x14:cfvo type="autoMin"/>
              <x14:cfvo type="autoMax"/>
              <x14:negativeFillColor rgb="FFFF0000"/>
              <x14:axisColor rgb="FF000000"/>
            </x14:dataBar>
          </x14:cfRule>
          <xm:sqref>P21:P66</xm:sqref>
        </x14:conditionalFormatting>
        <x14:conditionalFormatting xmlns:xm="http://schemas.microsoft.com/office/excel/2006/main">
          <x14:cfRule type="dataBar" id="{01FABBF2-7179-4A80-B4FE-6401B5A87C0B}">
            <x14:dataBar minLength="0" maxLength="100" gradient="0">
              <x14:cfvo type="autoMin"/>
              <x14:cfvo type="autoMax"/>
              <x14:negativeFillColor rgb="FFFF0000"/>
              <x14:axisColor rgb="FF000000"/>
            </x14:dataBar>
          </x14:cfRule>
          <xm:sqref>R21:R66</xm:sqref>
        </x14:conditionalFormatting>
        <x14:conditionalFormatting xmlns:xm="http://schemas.microsoft.com/office/excel/2006/main">
          <x14:cfRule type="dataBar" id="{EA94F934-8030-4D7D-885E-72BDB11CC79E}">
            <x14:dataBar minLength="0" maxLength="100" gradient="0">
              <x14:cfvo type="autoMin"/>
              <x14:cfvo type="autoMax"/>
              <x14:negativeFillColor rgb="FFFF0000"/>
              <x14:axisColor rgb="FF000000"/>
            </x14:dataBar>
          </x14:cfRule>
          <xm:sqref>T21:T66</xm:sqref>
        </x14:conditionalFormatting>
        <x14:conditionalFormatting xmlns:xm="http://schemas.microsoft.com/office/excel/2006/main">
          <x14:cfRule type="dataBar" id="{0E4887DF-F711-45E7-9878-A5156F40C976}">
            <x14:dataBar minLength="0" maxLength="100" gradient="0">
              <x14:cfvo type="autoMin"/>
              <x14:cfvo type="autoMax"/>
              <x14:negativeFillColor rgb="FFFF0000"/>
              <x14:axisColor rgb="FF000000"/>
            </x14:dataBar>
          </x14:cfRule>
          <xm:sqref>V21:V66</xm:sqref>
        </x14:conditionalFormatting>
        <x14:conditionalFormatting xmlns:xm="http://schemas.microsoft.com/office/excel/2006/main">
          <x14:cfRule type="dataBar" id="{AD77833F-F690-4FA6-A56E-967017A8A93D}">
            <x14:dataBar minLength="0" maxLength="100" gradient="0">
              <x14:cfvo type="autoMin"/>
              <x14:cfvo type="autoMax"/>
              <x14:negativeFillColor rgb="FFFF0000"/>
              <x14:axisColor rgb="FF000000"/>
            </x14:dataBar>
          </x14:cfRule>
          <xm:sqref>X21:X66</xm:sqref>
        </x14:conditionalFormatting>
        <x14:conditionalFormatting xmlns:xm="http://schemas.microsoft.com/office/excel/2006/main">
          <x14:cfRule type="dataBar" id="{B5EA925D-3686-48AB-891E-CD82274C0CD0}">
            <x14:dataBar minLength="0" maxLength="100" gradient="0">
              <x14:cfvo type="autoMin"/>
              <x14:cfvo type="autoMax"/>
              <x14:negativeFillColor rgb="FFFF0000"/>
              <x14:axisColor rgb="FF000000"/>
            </x14:dataBar>
          </x14:cfRule>
          <xm:sqref>Z21:Z66</xm:sqref>
        </x14:conditionalFormatting>
        <x14:conditionalFormatting xmlns:xm="http://schemas.microsoft.com/office/excel/2006/main">
          <x14:cfRule type="dataBar" id="{28337ED7-1958-42EA-9A45-A6A50BF923D5}">
            <x14:dataBar minLength="0" maxLength="100" border="1" negativeBarBorderColorSameAsPositive="0">
              <x14:cfvo type="autoMin"/>
              <x14:cfvo type="autoMax"/>
              <x14:borderColor rgb="FF63C384"/>
              <x14:negativeFillColor rgb="FFFF0000"/>
              <x14:negativeBorderColor rgb="FFFF0000"/>
              <x14:axisColor rgb="FF000000"/>
            </x14:dataBar>
          </x14:cfRule>
          <xm:sqref>AC3:AC18 AE3:AE18 AG3:AG18 AI3:AI18 AK3:AK18 AM3:AM18</xm:sqref>
        </x14:conditionalFormatting>
        <x14:conditionalFormatting xmlns:xm="http://schemas.microsoft.com/office/excel/2006/main">
          <x14:cfRule type="dataBar" id="{A5645223-C320-4B8E-AECB-6310707118DF}">
            <x14:dataBar minLength="0" maxLength="100" gradient="0">
              <x14:cfvo type="autoMin"/>
              <x14:cfvo type="autoMax"/>
              <x14:negativeFillColor rgb="FFFF0000"/>
              <x14:axisColor rgb="FF000000"/>
            </x14:dataBar>
          </x14:cfRule>
          <xm:sqref>AC21:AC66</xm:sqref>
        </x14:conditionalFormatting>
        <x14:conditionalFormatting xmlns:xm="http://schemas.microsoft.com/office/excel/2006/main">
          <x14:cfRule type="dataBar" id="{8EC69EE5-74A0-49D2-B547-5926EACE1F56}">
            <x14:dataBar minLength="0" maxLength="100" gradient="0">
              <x14:cfvo type="autoMin"/>
              <x14:cfvo type="autoMax"/>
              <x14:negativeFillColor rgb="FFFF0000"/>
              <x14:axisColor rgb="FF000000"/>
            </x14:dataBar>
          </x14:cfRule>
          <xm:sqref>AE21:AE66</xm:sqref>
        </x14:conditionalFormatting>
        <x14:conditionalFormatting xmlns:xm="http://schemas.microsoft.com/office/excel/2006/main">
          <x14:cfRule type="dataBar" id="{4CE287C0-AE80-41F7-A2C7-7568D8B499DD}">
            <x14:dataBar minLength="0" maxLength="100" gradient="0">
              <x14:cfvo type="autoMin"/>
              <x14:cfvo type="autoMax"/>
              <x14:negativeFillColor rgb="FFFF0000"/>
              <x14:axisColor rgb="FF000000"/>
            </x14:dataBar>
          </x14:cfRule>
          <xm:sqref>AG21:AG66</xm:sqref>
        </x14:conditionalFormatting>
        <x14:conditionalFormatting xmlns:xm="http://schemas.microsoft.com/office/excel/2006/main">
          <x14:cfRule type="dataBar" id="{33214899-839D-4F33-981A-742E07578D71}">
            <x14:dataBar minLength="0" maxLength="100" gradient="0">
              <x14:cfvo type="autoMin"/>
              <x14:cfvo type="autoMax"/>
              <x14:negativeFillColor rgb="FFFF0000"/>
              <x14:axisColor rgb="FF000000"/>
            </x14:dataBar>
          </x14:cfRule>
          <xm:sqref>AI21:AI66</xm:sqref>
        </x14:conditionalFormatting>
        <x14:conditionalFormatting xmlns:xm="http://schemas.microsoft.com/office/excel/2006/main">
          <x14:cfRule type="dataBar" id="{52275D3B-0286-48CA-85A6-E1056BF3DB59}">
            <x14:dataBar minLength="0" maxLength="100" gradient="0">
              <x14:cfvo type="autoMin"/>
              <x14:cfvo type="autoMax"/>
              <x14:negativeFillColor rgb="FFFF0000"/>
              <x14:axisColor rgb="FF000000"/>
            </x14:dataBar>
          </x14:cfRule>
          <xm:sqref>AK21:AK66</xm:sqref>
        </x14:conditionalFormatting>
        <x14:conditionalFormatting xmlns:xm="http://schemas.microsoft.com/office/excel/2006/main">
          <x14:cfRule type="dataBar" id="{748295A6-F809-4B89-9137-28F1834E087A}">
            <x14:dataBar minLength="0" maxLength="100" gradient="0">
              <x14:cfvo type="autoMin"/>
              <x14:cfvo type="autoMax"/>
              <x14:negativeFillColor rgb="FFFF0000"/>
              <x14:axisColor rgb="FF000000"/>
            </x14:dataBar>
          </x14:cfRule>
          <xm:sqref>AM21:AM66</xm:sqref>
        </x14:conditionalFormatting>
        <x14:conditionalFormatting xmlns:xm="http://schemas.microsoft.com/office/excel/2006/main">
          <x14:cfRule type="dataBar" id="{6B06875C-E4FC-4350-9E28-7DEB9CE08053}">
            <x14:dataBar minLength="0" maxLength="100" border="1" negativeBarBorderColorSameAsPositive="0">
              <x14:cfvo type="autoMin"/>
              <x14:cfvo type="autoMax"/>
              <x14:borderColor rgb="FF63C384"/>
              <x14:negativeFillColor rgb="FFFF0000"/>
              <x14:negativeBorderColor rgb="FFFF0000"/>
              <x14:axisColor rgb="FF000000"/>
            </x14:dataBar>
          </x14:cfRule>
          <xm:sqref>AP3:AP18 AR3:AR18 AT3:AT18 AV3:AV18 AX3:AX18 AZ3:AZ18</xm:sqref>
        </x14:conditionalFormatting>
        <x14:conditionalFormatting xmlns:xm="http://schemas.microsoft.com/office/excel/2006/main">
          <x14:cfRule type="dataBar" id="{E019FFBB-8A4D-46BE-A559-84346A94BEC2}">
            <x14:dataBar minLength="0" maxLength="100" gradient="0">
              <x14:cfvo type="autoMin"/>
              <x14:cfvo type="autoMax"/>
              <x14:negativeFillColor rgb="FFFF0000"/>
              <x14:axisColor rgb="FF000000"/>
            </x14:dataBar>
          </x14:cfRule>
          <xm:sqref>AP21:AP66</xm:sqref>
        </x14:conditionalFormatting>
        <x14:conditionalFormatting xmlns:xm="http://schemas.microsoft.com/office/excel/2006/main">
          <x14:cfRule type="dataBar" id="{F33DF713-6F95-4D53-8A36-8AD3720A55B7}">
            <x14:dataBar minLength="0" maxLength="100" gradient="0">
              <x14:cfvo type="autoMin"/>
              <x14:cfvo type="autoMax"/>
              <x14:negativeFillColor rgb="FFFF0000"/>
              <x14:axisColor rgb="FF000000"/>
            </x14:dataBar>
          </x14:cfRule>
          <xm:sqref>AR21:AR66</xm:sqref>
        </x14:conditionalFormatting>
        <x14:conditionalFormatting xmlns:xm="http://schemas.microsoft.com/office/excel/2006/main">
          <x14:cfRule type="dataBar" id="{E326AF24-BC26-45C1-A6D9-55C1F8137912}">
            <x14:dataBar minLength="0" maxLength="100" gradient="0">
              <x14:cfvo type="autoMin"/>
              <x14:cfvo type="autoMax"/>
              <x14:negativeFillColor rgb="FFFF0000"/>
              <x14:axisColor rgb="FF000000"/>
            </x14:dataBar>
          </x14:cfRule>
          <xm:sqref>AT21:AT66</xm:sqref>
        </x14:conditionalFormatting>
        <x14:conditionalFormatting xmlns:xm="http://schemas.microsoft.com/office/excel/2006/main">
          <x14:cfRule type="dataBar" id="{BFCFC8FC-5E7B-4238-9CB2-B407A2DE1DBB}">
            <x14:dataBar minLength="0" maxLength="100" gradient="0">
              <x14:cfvo type="autoMin"/>
              <x14:cfvo type="autoMax"/>
              <x14:negativeFillColor rgb="FFFF0000"/>
              <x14:axisColor rgb="FF000000"/>
            </x14:dataBar>
          </x14:cfRule>
          <xm:sqref>AV21:AV66</xm:sqref>
        </x14:conditionalFormatting>
        <x14:conditionalFormatting xmlns:xm="http://schemas.microsoft.com/office/excel/2006/main">
          <x14:cfRule type="dataBar" id="{6A997E96-0FA8-454B-B898-70247D945106}">
            <x14:dataBar minLength="0" maxLength="100" gradient="0">
              <x14:cfvo type="autoMin"/>
              <x14:cfvo type="autoMax"/>
              <x14:negativeFillColor rgb="FFFF0000"/>
              <x14:axisColor rgb="FF000000"/>
            </x14:dataBar>
          </x14:cfRule>
          <xm:sqref>AX21:AX66</xm:sqref>
        </x14:conditionalFormatting>
        <x14:conditionalFormatting xmlns:xm="http://schemas.microsoft.com/office/excel/2006/main">
          <x14:cfRule type="dataBar" id="{EC81B56D-C84E-49A2-AEA6-F4A0EECFE169}">
            <x14:dataBar minLength="0" maxLength="100" gradient="0">
              <x14:cfvo type="autoMin"/>
              <x14:cfvo type="autoMax"/>
              <x14:negativeFillColor rgb="FFFF0000"/>
              <x14:axisColor rgb="FF000000"/>
            </x14:dataBar>
          </x14:cfRule>
          <xm:sqref>AZ21:AZ66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D9C53-CA7F-453D-BFBC-C87B1D184FE4}">
  <sheetPr codeName="Sheet9"/>
  <dimension ref="A1:O105"/>
  <sheetViews>
    <sheetView rightToLeft="1" zoomScale="85" zoomScaleNormal="85" workbookViewId="0">
      <selection activeCell="I12" sqref="I12"/>
    </sheetView>
  </sheetViews>
  <sheetFormatPr defaultRowHeight="15"/>
  <cols>
    <col min="1" max="1" width="30.140625" style="39" bestFit="1" customWidth="1"/>
    <col min="2" max="2" width="14.5703125" style="39" bestFit="1" customWidth="1"/>
    <col min="3" max="3" width="12.28515625" style="39" customWidth="1"/>
    <col min="4" max="4" width="18.140625" style="39" bestFit="1" customWidth="1"/>
    <col min="5" max="5" width="18.140625" style="39" customWidth="1"/>
    <col min="6" max="6" width="14.28515625" style="39" bestFit="1" customWidth="1"/>
    <col min="7" max="7" width="15.28515625" style="39" bestFit="1" customWidth="1"/>
    <col min="8" max="8" width="12" style="39" customWidth="1"/>
    <col min="9" max="9" width="38.5703125" style="39" bestFit="1" customWidth="1"/>
    <col min="10" max="10" width="14" style="39" bestFit="1" customWidth="1"/>
    <col min="11" max="11" width="12" style="39" bestFit="1" customWidth="1"/>
    <col min="12" max="12" width="9.85546875" style="84" bestFit="1" customWidth="1"/>
    <col min="13" max="13" width="13.28515625" style="39" bestFit="1" customWidth="1"/>
    <col min="14" max="14" width="13.7109375" style="39" bestFit="1" customWidth="1"/>
    <col min="15" max="15" width="11.140625" style="39" bestFit="1" customWidth="1"/>
    <col min="16" max="16" width="13.7109375" style="39" bestFit="1" customWidth="1"/>
    <col min="17" max="17" width="11.140625" style="39" bestFit="1" customWidth="1"/>
    <col min="18" max="18" width="13.7109375" style="39" bestFit="1" customWidth="1"/>
    <col min="19" max="19" width="11.140625" style="39" bestFit="1" customWidth="1"/>
    <col min="20" max="20" width="18.7109375" style="39" bestFit="1" customWidth="1"/>
    <col min="21" max="21" width="16.140625" style="39" bestFit="1" customWidth="1"/>
    <col min="22" max="22" width="9.7109375" style="39" bestFit="1" customWidth="1"/>
    <col min="23" max="23" width="9.85546875" style="39" bestFit="1" customWidth="1"/>
    <col min="24" max="24" width="11.28515625" style="39" bestFit="1" customWidth="1"/>
    <col min="25" max="16384" width="9.140625" style="39"/>
  </cols>
  <sheetData>
    <row r="1" spans="1:13" ht="15.75" thickBot="1">
      <c r="A1" s="389">
        <f ca="1">TODAY()</f>
        <v>46006</v>
      </c>
      <c r="B1" s="390"/>
      <c r="C1" s="393" t="str">
        <f ca="1">TEXT(A1,"dddd")</f>
        <v>Monday</v>
      </c>
      <c r="D1" s="394"/>
      <c r="E1" s="393" t="str">
        <f ca="1">TEXT(A1,"mmmm")</f>
        <v>December</v>
      </c>
      <c r="F1" s="394"/>
    </row>
    <row r="2" spans="1:13" ht="15.75" customHeight="1" thickBot="1">
      <c r="A2" s="391"/>
      <c r="B2" s="392"/>
      <c r="C2" s="395"/>
      <c r="D2" s="396"/>
      <c r="E2" s="395"/>
      <c r="F2" s="396"/>
      <c r="H2" s="380" t="s">
        <v>151</v>
      </c>
      <c r="I2" s="381"/>
      <c r="J2" s="381"/>
      <c r="K2" s="381"/>
      <c r="L2" s="381"/>
      <c r="M2" s="382"/>
    </row>
    <row r="3" spans="1:13" ht="16.5" customHeight="1" thickBot="1">
      <c r="A3" s="386" t="s">
        <v>152</v>
      </c>
      <c r="B3" s="387"/>
      <c r="C3" s="388"/>
      <c r="D3" s="386" t="s">
        <v>156</v>
      </c>
      <c r="E3" s="387"/>
      <c r="F3" s="388"/>
      <c r="H3" s="383"/>
      <c r="I3" s="384"/>
      <c r="J3" s="384"/>
      <c r="K3" s="384"/>
      <c r="L3" s="384"/>
      <c r="M3" s="385"/>
    </row>
    <row r="4" spans="1:13" ht="15" customHeight="1">
      <c r="A4" s="145" t="s">
        <v>205</v>
      </c>
      <c r="B4" s="146" t="s">
        <v>153</v>
      </c>
      <c r="C4" s="147" t="s">
        <v>154</v>
      </c>
      <c r="D4" s="148" t="s">
        <v>15</v>
      </c>
      <c r="E4" s="149">
        <f>'الخزينه '!A545</f>
        <v>12065</v>
      </c>
      <c r="F4" s="150"/>
      <c r="H4" s="40" t="s">
        <v>1</v>
      </c>
      <c r="I4" s="40" t="s">
        <v>52</v>
      </c>
      <c r="J4" s="39" t="s">
        <v>149</v>
      </c>
      <c r="K4" s="83" t="s">
        <v>150</v>
      </c>
      <c r="L4" s="84" t="s">
        <v>197</v>
      </c>
      <c r="M4" s="206" t="s">
        <v>363</v>
      </c>
    </row>
    <row r="5" spans="1:13" ht="15" customHeight="1">
      <c r="A5" s="151"/>
      <c r="B5" s="42">
        <f>'بنك مصر  '!A1</f>
        <v>290342.53000000026</v>
      </c>
      <c r="C5" s="45">
        <f>'بنك كريدي '!A1</f>
        <v>384822.18840526306</v>
      </c>
      <c r="D5" s="142" t="str">
        <f>'الخزينه '!C546</f>
        <v xml:space="preserve">اجمالي السلف </v>
      </c>
      <c r="E5" s="42">
        <f>'الخزينه '!A546</f>
        <v>26600</v>
      </c>
      <c r="F5" s="152"/>
      <c r="H5" s="78">
        <v>45778</v>
      </c>
      <c r="I5" s="44" t="s">
        <v>32</v>
      </c>
      <c r="J5" s="41">
        <v>186066.5152631579</v>
      </c>
      <c r="K5" s="41">
        <v>186066.5152631579</v>
      </c>
      <c r="L5" s="41">
        <v>0</v>
      </c>
      <c r="M5" s="206">
        <v>23467.848771929799</v>
      </c>
    </row>
    <row r="6" spans="1:13">
      <c r="A6" s="151"/>
      <c r="B6" s="42" t="s">
        <v>1191</v>
      </c>
      <c r="C6" s="45" t="s">
        <v>1422</v>
      </c>
      <c r="D6" s="142" t="str">
        <f>'الخزينه '!C547</f>
        <v>اجمالي العهد</v>
      </c>
      <c r="E6" s="42">
        <f>'الخزينه '!A547-E7-E8</f>
        <v>522197.06492341112</v>
      </c>
      <c r="F6" s="152"/>
      <c r="I6" s="44" t="s">
        <v>80</v>
      </c>
      <c r="J6" s="41">
        <v>71470.572894736848</v>
      </c>
      <c r="K6" s="41">
        <v>70182.814824561414</v>
      </c>
      <c r="L6" s="41">
        <v>4.7748471843078732E-12</v>
      </c>
      <c r="M6" s="206">
        <v>9014.3064912280679</v>
      </c>
    </row>
    <row r="7" spans="1:13">
      <c r="A7" s="151"/>
      <c r="B7" s="42">
        <f>+'الاهلى الكويتى'!A1</f>
        <v>153740</v>
      </c>
      <c r="C7" s="45">
        <v>2000</v>
      </c>
      <c r="D7" s="142" t="s">
        <v>1081</v>
      </c>
      <c r="E7" s="42">
        <f>+'العهد '!K5</f>
        <v>49667.985000000001</v>
      </c>
      <c r="F7" s="152"/>
      <c r="I7" s="44" t="s">
        <v>187</v>
      </c>
      <c r="J7" s="41">
        <v>243090</v>
      </c>
      <c r="K7" s="41">
        <v>243090</v>
      </c>
      <c r="L7" s="41">
        <v>0</v>
      </c>
      <c r="M7" s="206">
        <v>30659.999999999971</v>
      </c>
    </row>
    <row r="8" spans="1:13">
      <c r="A8" s="153" t="s">
        <v>263</v>
      </c>
      <c r="B8" s="43" t="s">
        <v>153</v>
      </c>
      <c r="C8" s="46"/>
      <c r="D8" s="142" t="s">
        <v>1163</v>
      </c>
      <c r="E8" s="43">
        <f>+'العهد '!K6</f>
        <v>20000</v>
      </c>
      <c r="F8" s="152" t="s">
        <v>1371</v>
      </c>
      <c r="I8" s="44" t="s">
        <v>83</v>
      </c>
      <c r="J8" s="41">
        <v>250067.86894736841</v>
      </c>
      <c r="K8" s="41">
        <v>245562.14157894734</v>
      </c>
      <c r="L8" s="41">
        <v>-1.3642420526593924E-11</v>
      </c>
      <c r="M8" s="206">
        <v>31540.091578947351</v>
      </c>
    </row>
    <row r="9" spans="1:13">
      <c r="A9" s="153"/>
      <c r="B9" s="43">
        <v>167.95</v>
      </c>
      <c r="C9" s="46"/>
      <c r="D9" s="142"/>
      <c r="E9" s="43"/>
      <c r="F9" s="152"/>
      <c r="I9" s="44" t="s">
        <v>93</v>
      </c>
      <c r="J9" s="41">
        <v>145397.71210526317</v>
      </c>
      <c r="K9" s="41">
        <v>114793</v>
      </c>
      <c r="L9" s="41">
        <v>-30604.71210526317</v>
      </c>
      <c r="M9" s="206">
        <v>18338.450175438586</v>
      </c>
    </row>
    <row r="10" spans="1:13">
      <c r="A10" s="153"/>
      <c r="B10" s="43"/>
      <c r="C10" s="46"/>
      <c r="D10" s="186"/>
      <c r="E10" s="43"/>
      <c r="F10" s="152"/>
      <c r="I10" s="44" t="s">
        <v>75</v>
      </c>
      <c r="J10" s="41">
        <v>133793.63578947369</v>
      </c>
      <c r="K10" s="41">
        <v>133793.63578947369</v>
      </c>
      <c r="L10" s="41">
        <v>0</v>
      </c>
      <c r="M10" s="206">
        <v>16874.872982456131</v>
      </c>
    </row>
    <row r="11" spans="1:13" ht="15.75" thickBot="1">
      <c r="A11" s="153"/>
      <c r="B11" s="43"/>
      <c r="C11" s="46"/>
      <c r="D11" s="186"/>
      <c r="E11" s="43"/>
      <c r="F11" s="152"/>
      <c r="I11" s="44" t="s">
        <v>396</v>
      </c>
      <c r="J11" s="41">
        <v>138007.18605263156</v>
      </c>
      <c r="K11" s="41">
        <v>138007.18605263156</v>
      </c>
      <c r="L11" s="41">
        <v>0</v>
      </c>
      <c r="M11" s="206">
        <v>17406.311754385955</v>
      </c>
    </row>
    <row r="12" spans="1:13" ht="16.5" thickBot="1">
      <c r="A12" s="154" t="s">
        <v>155</v>
      </c>
      <c r="B12" s="378">
        <f>SUM(B5:C11)</f>
        <v>831072.66840526322</v>
      </c>
      <c r="C12" s="379"/>
      <c r="D12" s="155" t="s">
        <v>155</v>
      </c>
      <c r="E12" s="156">
        <f>SUM(E4:E11)</f>
        <v>630530.0499234111</v>
      </c>
      <c r="F12" s="157"/>
      <c r="G12" s="214"/>
      <c r="I12" s="44" t="s">
        <v>411</v>
      </c>
      <c r="J12" s="41">
        <v>58417.781052631581</v>
      </c>
      <c r="K12" s="41">
        <v>58417.781052631581</v>
      </c>
      <c r="L12" s="41">
        <v>0</v>
      </c>
      <c r="M12" s="206">
        <v>7368.0084210526256</v>
      </c>
    </row>
    <row r="13" spans="1:13" ht="15.75" thickBot="1">
      <c r="A13" s="39" t="s">
        <v>157</v>
      </c>
      <c r="B13" s="39" t="s">
        <v>174</v>
      </c>
      <c r="C13" s="39" t="s">
        <v>175</v>
      </c>
      <c r="D13" s="39" t="s">
        <v>176</v>
      </c>
      <c r="E13" s="39" t="s">
        <v>12</v>
      </c>
      <c r="F13" s="214"/>
      <c r="G13" s="214"/>
      <c r="I13" s="288" t="s">
        <v>426</v>
      </c>
      <c r="J13" s="289">
        <v>77191.707631578945</v>
      </c>
      <c r="K13" s="289">
        <v>77191.707631578945</v>
      </c>
      <c r="L13" s="289">
        <v>0</v>
      </c>
      <c r="M13" s="290">
        <v>9735.891052631574</v>
      </c>
    </row>
    <row r="14" spans="1:13" ht="15.75">
      <c r="A14" s="67" t="s">
        <v>169</v>
      </c>
      <c r="B14" s="68">
        <v>397467.51</v>
      </c>
      <c r="C14" s="68">
        <f>365217.56+1044+9187.5</f>
        <v>375449.06</v>
      </c>
      <c r="D14" s="70">
        <f>Table9[[#This Row],[المبلغ]]-Table9[[#This Row],[المدفوع]]</f>
        <v>22018.450000000012</v>
      </c>
      <c r="E14" s="208" t="s">
        <v>1519</v>
      </c>
      <c r="F14" s="335">
        <f>Table9[[#This Row],[الباقي ]]+D15+D16+D17</f>
        <v>23018.445700000011</v>
      </c>
      <c r="G14" s="375">
        <f>F18+F14</f>
        <v>23018.445700000011</v>
      </c>
      <c r="I14" s="44" t="s">
        <v>1017</v>
      </c>
      <c r="J14" s="41">
        <v>228030.57157894736</v>
      </c>
      <c r="K14" s="41">
        <v>228030.57</v>
      </c>
      <c r="L14" s="41">
        <v>-1.5789473691256717E-3</v>
      </c>
      <c r="M14" s="206">
        <v>28760.612631578919</v>
      </c>
    </row>
    <row r="15" spans="1:13" ht="15.75">
      <c r="A15" s="69" t="s">
        <v>170</v>
      </c>
      <c r="B15" s="70">
        <v>8000</v>
      </c>
      <c r="C15" s="70">
        <v>8000</v>
      </c>
      <c r="D15" s="70">
        <f>Table9[[#This Row],[المبلغ]]-Table9[[#This Row],[المدفوع]]</f>
        <v>0</v>
      </c>
      <c r="E15" s="208" t="s">
        <v>1519</v>
      </c>
      <c r="F15" s="336"/>
      <c r="G15" s="376"/>
      <c r="I15" s="44" t="s">
        <v>1033</v>
      </c>
      <c r="J15" s="41">
        <v>3012.54</v>
      </c>
      <c r="K15" s="41">
        <v>3012.54</v>
      </c>
      <c r="L15" s="41">
        <v>0</v>
      </c>
      <c r="M15" s="206">
        <v>379.95999999999958</v>
      </c>
    </row>
    <row r="16" spans="1:13" ht="16.5" thickBot="1">
      <c r="A16" s="69" t="s">
        <v>365</v>
      </c>
      <c r="B16" s="70">
        <v>7651</v>
      </c>
      <c r="C16" s="70">
        <v>7651</v>
      </c>
      <c r="D16" s="70">
        <f>Table9[[#This Row],[المبلغ]]-Table9[[#This Row],[المدفوع]]</f>
        <v>0</v>
      </c>
      <c r="E16" s="267" t="s">
        <v>1519</v>
      </c>
      <c r="F16" s="336"/>
      <c r="G16" s="376"/>
      <c r="I16" s="44" t="s">
        <v>1038</v>
      </c>
      <c r="J16" s="41">
        <v>76970.418421052629</v>
      </c>
      <c r="K16" s="41">
        <v>76970.418421052629</v>
      </c>
      <c r="L16" s="41">
        <v>0</v>
      </c>
      <c r="M16" s="206">
        <v>9707.980701754379</v>
      </c>
    </row>
    <row r="17" spans="1:13" ht="16.5" thickBot="1">
      <c r="A17" s="71" t="s">
        <v>364</v>
      </c>
      <c r="B17" s="72">
        <v>21867.135699999999</v>
      </c>
      <c r="C17" s="72">
        <v>20867.14</v>
      </c>
      <c r="D17" s="72">
        <f>Table9[[#This Row],[المبلغ]]-Table9[[#This Row],[المدفوع]]</f>
        <v>999.99569999999949</v>
      </c>
      <c r="E17" s="363" t="s">
        <v>1519</v>
      </c>
      <c r="F17" s="337"/>
      <c r="G17" s="376"/>
      <c r="I17" s="44" t="s">
        <v>1078</v>
      </c>
      <c r="J17" s="41">
        <v>10101</v>
      </c>
      <c r="K17" s="41">
        <v>10101</v>
      </c>
      <c r="L17" s="41">
        <v>0</v>
      </c>
      <c r="M17" s="206">
        <v>1274</v>
      </c>
    </row>
    <row r="18" spans="1:13" ht="15.75">
      <c r="A18" s="67" t="s">
        <v>362</v>
      </c>
      <c r="B18" s="68">
        <v>12113.926224999999</v>
      </c>
      <c r="C18" s="68">
        <v>12113.926224999999</v>
      </c>
      <c r="D18" s="68">
        <f>Table9[[#This Row],[المبلغ]]-Table9[[#This Row],[المدفوع]]</f>
        <v>0</v>
      </c>
      <c r="E18" s="70" t="s">
        <v>1373</v>
      </c>
      <c r="F18" s="375">
        <f>Table9[[#This Row],[الباقي ]]+D19+D20+D21+D22+D23+D24+D26+D27+D28+D30+D29</f>
        <v>0</v>
      </c>
      <c r="G18" s="376"/>
      <c r="H18" s="78" t="s">
        <v>1097</v>
      </c>
      <c r="J18" s="41">
        <v>1621617.509736842</v>
      </c>
      <c r="K18" s="41">
        <v>1585219.310614035</v>
      </c>
      <c r="L18" s="41">
        <v>-30604.713684210546</v>
      </c>
      <c r="M18" s="206">
        <v>204528.33456140338</v>
      </c>
    </row>
    <row r="19" spans="1:13" ht="15.75">
      <c r="A19" s="69" t="s">
        <v>1054</v>
      </c>
      <c r="B19" s="70"/>
      <c r="C19" s="70"/>
      <c r="D19" s="70">
        <f>Table9[[#This Row],[المبلغ]]-Table9[[#This Row],[المدفوع]]</f>
        <v>0</v>
      </c>
      <c r="E19" s="70" t="s">
        <v>1373</v>
      </c>
      <c r="F19" s="376"/>
      <c r="G19" s="376"/>
      <c r="H19" s="78">
        <v>45809</v>
      </c>
      <c r="I19" s="44" t="s">
        <v>32</v>
      </c>
      <c r="J19" s="41">
        <v>120472.41868421053</v>
      </c>
      <c r="K19" s="41">
        <v>120472.41868421053</v>
      </c>
      <c r="L19" s="41">
        <v>0</v>
      </c>
      <c r="M19" s="206">
        <v>15194.719473684207</v>
      </c>
    </row>
    <row r="20" spans="1:13" ht="15.75">
      <c r="A20" s="69" t="s">
        <v>1200</v>
      </c>
      <c r="B20" s="70">
        <v>35825.236250000002</v>
      </c>
      <c r="C20" s="70">
        <v>35825.236250000002</v>
      </c>
      <c r="D20" s="70">
        <f>Table9[[#This Row],[المبلغ]]-Table9[[#This Row],[المدفوع]]</f>
        <v>0</v>
      </c>
      <c r="E20" s="70" t="s">
        <v>1373</v>
      </c>
      <c r="F20" s="376"/>
      <c r="G20" s="376"/>
      <c r="I20" s="44" t="s">
        <v>80</v>
      </c>
      <c r="J20" s="41">
        <v>52425.153947368424</v>
      </c>
      <c r="K20" s="41">
        <v>51480.56</v>
      </c>
      <c r="L20" s="41">
        <v>3.4210526262086205E-3</v>
      </c>
      <c r="M20" s="206">
        <v>6612.1815789473621</v>
      </c>
    </row>
    <row r="21" spans="1:13" ht="15.75">
      <c r="A21" s="69" t="s">
        <v>453</v>
      </c>
      <c r="B21" s="70">
        <v>7406.218387500001</v>
      </c>
      <c r="C21" s="70">
        <v>7406.218387500001</v>
      </c>
      <c r="D21" s="70">
        <f>Table9[[#This Row],[المبلغ]]-Table9[[#This Row],[المدفوع]]</f>
        <v>0</v>
      </c>
      <c r="E21" s="70" t="s">
        <v>1373</v>
      </c>
      <c r="F21" s="376"/>
      <c r="G21" s="376"/>
      <c r="I21" s="44" t="s">
        <v>187</v>
      </c>
      <c r="J21" s="41">
        <v>291930</v>
      </c>
      <c r="K21" s="41">
        <v>291930</v>
      </c>
      <c r="L21" s="41">
        <v>0</v>
      </c>
      <c r="M21" s="206">
        <v>36820</v>
      </c>
    </row>
    <row r="22" spans="1:13" ht="15.75">
      <c r="A22" s="69" t="s">
        <v>171</v>
      </c>
      <c r="B22" s="70">
        <v>34783.250224999996</v>
      </c>
      <c r="C22" s="70">
        <v>34783.250224999996</v>
      </c>
      <c r="D22" s="70">
        <f>Table9[[#This Row],[المبلغ]]-Table9[[#This Row],[المدفوع]]</f>
        <v>0</v>
      </c>
      <c r="E22" s="70" t="s">
        <v>1373</v>
      </c>
      <c r="F22" s="376"/>
      <c r="G22" s="376"/>
      <c r="I22" s="44" t="s">
        <v>83</v>
      </c>
      <c r="J22" s="41">
        <v>195920.10907684211</v>
      </c>
      <c r="K22" s="41">
        <v>192390.02</v>
      </c>
      <c r="L22" s="41">
        <v>2.9785964738948678E-3</v>
      </c>
      <c r="M22" s="206">
        <v>24710.644388070155</v>
      </c>
    </row>
    <row r="23" spans="1:13" ht="15.75">
      <c r="A23" s="69" t="s">
        <v>172</v>
      </c>
      <c r="B23" s="70">
        <v>70521.155299999999</v>
      </c>
      <c r="C23" s="70">
        <v>70521.155299999999</v>
      </c>
      <c r="D23" s="70">
        <f>Table9[[#This Row],[المبلغ]]-Table9[[#This Row],[المدفوع]]</f>
        <v>0</v>
      </c>
      <c r="E23" s="70" t="s">
        <v>1373</v>
      </c>
      <c r="F23" s="376"/>
      <c r="G23" s="376"/>
      <c r="I23" s="44" t="s">
        <v>93</v>
      </c>
      <c r="J23" s="41">
        <v>112611.535</v>
      </c>
      <c r="K23" s="41">
        <v>112611.535</v>
      </c>
      <c r="L23" s="41">
        <v>0</v>
      </c>
      <c r="M23" s="206">
        <v>14203.256666666653</v>
      </c>
    </row>
    <row r="24" spans="1:13" ht="15.75">
      <c r="A24" s="69" t="s">
        <v>173</v>
      </c>
      <c r="B24" s="70">
        <v>18624.188749999998</v>
      </c>
      <c r="C24" s="70">
        <v>18624.188749999998</v>
      </c>
      <c r="D24" s="70">
        <f>Table9[[#This Row],[المبلغ]]-Table9[[#This Row],[المدفوع]]</f>
        <v>0</v>
      </c>
      <c r="E24" s="70" t="s">
        <v>1373</v>
      </c>
      <c r="F24" s="376"/>
      <c r="G24" s="376"/>
      <c r="I24" s="44" t="s">
        <v>75</v>
      </c>
      <c r="J24" s="41">
        <v>119537.75</v>
      </c>
      <c r="K24" s="41">
        <v>119537.75</v>
      </c>
      <c r="L24" s="41">
        <v>0</v>
      </c>
      <c r="M24" s="206">
        <v>15076.833333333328</v>
      </c>
    </row>
    <row r="25" spans="1:13" ht="15.75">
      <c r="A25" s="69" t="s">
        <v>750</v>
      </c>
      <c r="B25" s="70">
        <v>10422.2925</v>
      </c>
      <c r="C25" s="70">
        <v>10422.2925</v>
      </c>
      <c r="D25" s="70">
        <f>Table9[[#This Row],[المبلغ]]-Table9[[#This Row],[المدفوع]]</f>
        <v>0</v>
      </c>
      <c r="E25" s="70" t="s">
        <v>1373</v>
      </c>
      <c r="F25" s="376"/>
      <c r="G25" s="376"/>
      <c r="I25" s="44" t="s">
        <v>396</v>
      </c>
      <c r="J25" s="41">
        <v>98151.253421052636</v>
      </c>
      <c r="K25" s="41">
        <v>98151.253421052636</v>
      </c>
      <c r="L25" s="41">
        <v>0</v>
      </c>
      <c r="M25" s="206">
        <v>12379.437368421044</v>
      </c>
    </row>
    <row r="26" spans="1:13" ht="15.75">
      <c r="A26" s="69" t="s">
        <v>750</v>
      </c>
      <c r="B26" s="70">
        <v>11280.84</v>
      </c>
      <c r="C26" s="70">
        <v>11280.84</v>
      </c>
      <c r="D26" s="70">
        <f>Table9[[#This Row],[المبلغ]]-Table9[[#This Row],[المدفوع]]</f>
        <v>0</v>
      </c>
      <c r="E26" s="70" t="s">
        <v>1330</v>
      </c>
      <c r="F26" s="376"/>
      <c r="G26" s="376"/>
      <c r="I26" s="44" t="s">
        <v>411</v>
      </c>
      <c r="J26" s="41">
        <v>33249.504736842107</v>
      </c>
      <c r="K26" s="41">
        <v>33249.504736842107</v>
      </c>
      <c r="L26" s="41">
        <v>0</v>
      </c>
      <c r="M26" s="206">
        <v>4193.6312280701713</v>
      </c>
    </row>
    <row r="27" spans="1:13" ht="15.75">
      <c r="A27" s="69" t="s">
        <v>401</v>
      </c>
      <c r="B27" s="70">
        <v>32242.354500000005</v>
      </c>
      <c r="C27" s="70">
        <v>32242.354500000005</v>
      </c>
      <c r="D27" s="70">
        <f>Table9[[#This Row],[المبلغ]]-Table9[[#This Row],[المدفوع]]</f>
        <v>0</v>
      </c>
      <c r="E27" s="70" t="s">
        <v>1373</v>
      </c>
      <c r="F27" s="376"/>
      <c r="G27" s="376"/>
      <c r="I27" s="288" t="s">
        <v>426</v>
      </c>
      <c r="J27" s="289">
        <v>57414.331315789474</v>
      </c>
      <c r="K27" s="289">
        <v>57414.331315789474</v>
      </c>
      <c r="L27" s="289">
        <v>0</v>
      </c>
      <c r="M27" s="290">
        <v>7241.4471929824504</v>
      </c>
    </row>
    <row r="28" spans="1:13" ht="15.75">
      <c r="A28" s="69" t="s">
        <v>1332</v>
      </c>
      <c r="B28" s="70">
        <v>24864.531074999999</v>
      </c>
      <c r="C28" s="70">
        <v>24864.531074999999</v>
      </c>
      <c r="D28" s="70">
        <f>Table9[[#This Row],[المبلغ]]-Table9[[#This Row],[المدفوع]]</f>
        <v>0</v>
      </c>
      <c r="E28" s="70" t="s">
        <v>1373</v>
      </c>
      <c r="F28" s="376"/>
      <c r="G28" s="376"/>
      <c r="I28" s="44" t="s">
        <v>979</v>
      </c>
      <c r="J28" s="41">
        <v>135975</v>
      </c>
      <c r="K28" s="41">
        <v>135975</v>
      </c>
      <c r="L28" s="41">
        <v>0</v>
      </c>
      <c r="M28" s="206">
        <v>17149.999999999985</v>
      </c>
    </row>
    <row r="29" spans="1:13" ht="15.75">
      <c r="A29" s="69" t="s">
        <v>1457</v>
      </c>
      <c r="B29" s="70">
        <v>0</v>
      </c>
      <c r="C29" s="70">
        <v>0</v>
      </c>
      <c r="D29" s="70">
        <f>Table9[[#This Row],[المبلغ]]-Table9[[#This Row],[المدفوع]]</f>
        <v>0</v>
      </c>
      <c r="E29" s="70" t="s">
        <v>1373</v>
      </c>
      <c r="F29" s="376"/>
      <c r="G29" s="376"/>
      <c r="I29" s="44" t="s">
        <v>1033</v>
      </c>
      <c r="J29" s="41">
        <v>2220</v>
      </c>
      <c r="K29" s="41"/>
      <c r="L29" s="41">
        <v>-2220</v>
      </c>
      <c r="M29" s="206">
        <v>279.99999999999977</v>
      </c>
    </row>
    <row r="30" spans="1:13" ht="16.5" thickBot="1">
      <c r="A30" s="69" t="s">
        <v>1458</v>
      </c>
      <c r="B30" s="72">
        <v>7794.4746499999983</v>
      </c>
      <c r="C30" s="72">
        <v>7794.4746499999983</v>
      </c>
      <c r="D30" s="72">
        <f>Table9[[#This Row],[المبلغ]]-Table9[[#This Row],[المدفوع]]</f>
        <v>0</v>
      </c>
      <c r="E30" s="70" t="s">
        <v>1373</v>
      </c>
      <c r="F30" s="377"/>
      <c r="G30" s="377"/>
      <c r="I30" s="44" t="s">
        <v>1038</v>
      </c>
      <c r="J30" s="41">
        <v>62180.661578947373</v>
      </c>
      <c r="K30" s="41">
        <v>62180.661578947373</v>
      </c>
      <c r="L30" s="41">
        <v>0</v>
      </c>
      <c r="M30" s="206">
        <v>7842.6059649122762</v>
      </c>
    </row>
    <row r="31" spans="1:13" ht="16.5" thickBot="1">
      <c r="A31" s="67" t="s">
        <v>158</v>
      </c>
      <c r="B31" s="68">
        <v>14800</v>
      </c>
      <c r="C31" s="64"/>
      <c r="D31" s="68">
        <f>Table9[[#This Row],[المبلغ]]-Table9[[#This Row],[المدفوع]]</f>
        <v>14800</v>
      </c>
      <c r="E31" s="68" t="s">
        <v>1519</v>
      </c>
      <c r="F31" s="375">
        <f>+Table9[[#This Row],[الباقي ]]+D32+D33+D34</f>
        <v>45000</v>
      </c>
      <c r="G31" s="65"/>
      <c r="I31" s="44" t="s">
        <v>1078</v>
      </c>
      <c r="J31" s="41">
        <v>22546.32</v>
      </c>
      <c r="K31" s="41">
        <v>22546.32</v>
      </c>
      <c r="L31" s="41">
        <v>0</v>
      </c>
      <c r="M31" s="206">
        <v>2843.6799999999967</v>
      </c>
    </row>
    <row r="32" spans="1:13" ht="16.5" thickBot="1">
      <c r="A32" s="69" t="s">
        <v>159</v>
      </c>
      <c r="B32" s="70">
        <f>13225+215</f>
        <v>13440</v>
      </c>
      <c r="C32" s="68">
        <v>2440</v>
      </c>
      <c r="D32" s="70">
        <f>Table9[[#This Row],[المبلغ]]-Table9[[#This Row],[المدفوع]]</f>
        <v>11000</v>
      </c>
      <c r="E32" s="68" t="s">
        <v>1519</v>
      </c>
      <c r="F32" s="376"/>
      <c r="G32" s="65"/>
      <c r="I32" s="44" t="s">
        <v>1197</v>
      </c>
      <c r="J32" s="41">
        <v>86933.291578947363</v>
      </c>
      <c r="K32" s="41">
        <v>86933.291578947363</v>
      </c>
      <c r="L32" s="41">
        <v>0</v>
      </c>
      <c r="M32" s="206">
        <v>10964.5592982456</v>
      </c>
    </row>
    <row r="33" spans="1:15" ht="16.5" thickBot="1">
      <c r="A33" s="278" t="s">
        <v>160</v>
      </c>
      <c r="B33" s="267">
        <v>19200</v>
      </c>
      <c r="C33" s="267"/>
      <c r="D33" s="267">
        <f>Table9[[#This Row],[المبلغ]]-Table9[[#This Row],[المدفوع]]</f>
        <v>19200</v>
      </c>
      <c r="E33" s="68" t="s">
        <v>1519</v>
      </c>
      <c r="F33" s="376"/>
      <c r="I33" s="44" t="s">
        <v>1196</v>
      </c>
      <c r="J33" s="41">
        <v>59808.864210526313</v>
      </c>
      <c r="K33" s="41">
        <v>59808.864210526313</v>
      </c>
      <c r="L33" s="41">
        <v>0</v>
      </c>
      <c r="M33" s="206">
        <v>7543.4603508771906</v>
      </c>
      <c r="N33" s="269"/>
      <c r="O33" s="269"/>
    </row>
    <row r="34" spans="1:15" ht="16.5" thickBot="1">
      <c r="A34" s="278" t="s">
        <v>161</v>
      </c>
      <c r="B34" s="267">
        <v>5500</v>
      </c>
      <c r="C34" s="267">
        <v>5500</v>
      </c>
      <c r="D34" s="267">
        <f>Table9[[#This Row],[المبلغ]]-Table9[[#This Row],[المدفوع]]</f>
        <v>0</v>
      </c>
      <c r="E34" s="68" t="s">
        <v>1519</v>
      </c>
      <c r="F34" s="377"/>
      <c r="G34" s="66"/>
      <c r="I34" s="44" t="s">
        <v>1195</v>
      </c>
      <c r="J34" s="41">
        <v>39948.695526315787</v>
      </c>
      <c r="K34" s="41">
        <v>39948</v>
      </c>
      <c r="L34" s="41">
        <v>-0.6955263157869922</v>
      </c>
      <c r="M34" s="206">
        <v>5038.5742105263125</v>
      </c>
    </row>
    <row r="35" spans="1:15" ht="15.75">
      <c r="A35" s="69" t="s">
        <v>410</v>
      </c>
      <c r="B35" s="70">
        <v>286904.76</v>
      </c>
      <c r="C35" s="70"/>
      <c r="D35" s="70">
        <f>Table9[[#This Row],[المبلغ]]-Table9[[#This Row],[المدفوع]]</f>
        <v>286904.76</v>
      </c>
      <c r="E35" s="276" t="s">
        <v>1139</v>
      </c>
      <c r="F35" s="375">
        <f>SUM(D35:D40)</f>
        <v>817446.72</v>
      </c>
      <c r="G35" s="66"/>
      <c r="H35" s="78" t="s">
        <v>1138</v>
      </c>
      <c r="J35" s="41">
        <v>1491324.8890768422</v>
      </c>
      <c r="K35" s="41">
        <v>1484629.5105263158</v>
      </c>
      <c r="L35" s="41">
        <v>-2220.6891266666871</v>
      </c>
      <c r="M35" s="206">
        <v>188095.0310547367</v>
      </c>
    </row>
    <row r="36" spans="1:15" ht="15.75">
      <c r="A36" s="69" t="s">
        <v>410</v>
      </c>
      <c r="B36" s="70">
        <v>200120.18</v>
      </c>
      <c r="C36" s="70"/>
      <c r="D36" s="70">
        <f>Table9[[#This Row],[المبلغ]]-Table9[[#This Row],[المدفوع]]</f>
        <v>200120.18</v>
      </c>
      <c r="E36" s="276" t="s">
        <v>1199</v>
      </c>
      <c r="F36" s="376"/>
      <c r="G36" s="66"/>
      <c r="H36" s="78">
        <v>45839</v>
      </c>
      <c r="I36" s="44" t="s">
        <v>32</v>
      </c>
      <c r="J36" s="41">
        <v>110907.16894736842</v>
      </c>
      <c r="K36" s="41">
        <v>110907.16894736842</v>
      </c>
      <c r="L36" s="41">
        <v>0</v>
      </c>
      <c r="M36" s="206">
        <v>13988.291578947363</v>
      </c>
    </row>
    <row r="37" spans="1:15" ht="16.5" thickBot="1">
      <c r="A37" s="71" t="s">
        <v>410</v>
      </c>
      <c r="B37" s="72">
        <v>168663</v>
      </c>
      <c r="C37" s="72"/>
      <c r="D37" s="334">
        <f>Table9[[#This Row],[المبلغ]]-Table9[[#This Row],[المدفوع]]</f>
        <v>168663</v>
      </c>
      <c r="E37" s="284" t="s">
        <v>1330</v>
      </c>
      <c r="F37" s="376"/>
      <c r="G37" s="66"/>
      <c r="I37" s="44" t="s">
        <v>80</v>
      </c>
      <c r="J37" s="41">
        <v>73190.576315789469</v>
      </c>
      <c r="K37" s="41">
        <v>71871.827192982499</v>
      </c>
      <c r="L37" s="41">
        <v>4.75210981676355E-11</v>
      </c>
      <c r="M37" s="206">
        <v>9231.243859649112</v>
      </c>
    </row>
    <row r="38" spans="1:15" ht="16.5" thickBot="1">
      <c r="A38" s="71" t="s">
        <v>410</v>
      </c>
      <c r="B38" s="70">
        <v>161758.78</v>
      </c>
      <c r="C38" s="70"/>
      <c r="D38" s="334">
        <f>Table9[[#This Row],[المبلغ]]-Table9[[#This Row],[المدفوع]]</f>
        <v>161758.78</v>
      </c>
      <c r="E38" s="276" t="s">
        <v>1373</v>
      </c>
      <c r="F38" s="376"/>
      <c r="G38" s="66"/>
      <c r="I38" s="44" t="s">
        <v>187</v>
      </c>
      <c r="J38" s="41">
        <v>611610</v>
      </c>
      <c r="K38" s="41">
        <v>611610</v>
      </c>
      <c r="L38" s="41">
        <v>0</v>
      </c>
      <c r="M38" s="206">
        <v>77140</v>
      </c>
    </row>
    <row r="39" spans="1:15" ht="15.75">
      <c r="A39" s="69"/>
      <c r="B39" s="70"/>
      <c r="C39" s="70"/>
      <c r="D39" s="70"/>
      <c r="E39" s="276"/>
      <c r="F39" s="376"/>
      <c r="G39" s="66"/>
      <c r="I39" s="44" t="s">
        <v>83</v>
      </c>
      <c r="J39" s="41">
        <v>218183.89789473685</v>
      </c>
      <c r="K39" s="41">
        <v>214252.65649122806</v>
      </c>
      <c r="L39" s="41">
        <v>-1.3187673175707459E-11</v>
      </c>
      <c r="M39" s="206">
        <v>27518.689824561385</v>
      </c>
    </row>
    <row r="40" spans="1:15" ht="16.5" thickBot="1">
      <c r="A40" s="71"/>
      <c r="B40" s="72"/>
      <c r="C40" s="72"/>
      <c r="D40" s="334"/>
      <c r="E40" s="284"/>
      <c r="F40" s="377"/>
      <c r="G40" s="66"/>
      <c r="I40" s="44" t="s">
        <v>93</v>
      </c>
      <c r="J40" s="41">
        <v>126950.31052631578</v>
      </c>
      <c r="K40" s="41">
        <v>126950.31052631578</v>
      </c>
      <c r="L40" s="41">
        <v>0</v>
      </c>
      <c r="M40" s="206">
        <v>16011.750877192972</v>
      </c>
    </row>
    <row r="41" spans="1:15" ht="16.5" thickBot="1">
      <c r="A41" s="69" t="s">
        <v>264</v>
      </c>
      <c r="B41" s="70">
        <v>2500</v>
      </c>
      <c r="C41" s="70"/>
      <c r="D41" s="279">
        <f>+Table9[[#This Row],[المبلغ]]-Table9[[#This Row],[المدفوع]]</f>
        <v>2500</v>
      </c>
      <c r="E41" s="276" t="s">
        <v>1519</v>
      </c>
      <c r="F41" s="300">
        <f>+Table9[[#This Row],[الباقي ]]</f>
        <v>2500</v>
      </c>
      <c r="G41" s="66"/>
      <c r="I41" s="44" t="s">
        <v>75</v>
      </c>
      <c r="J41" s="41">
        <v>183534.55657894738</v>
      </c>
      <c r="K41" s="41">
        <v>183534.55657894738</v>
      </c>
      <c r="L41" s="41">
        <v>0</v>
      </c>
      <c r="M41" s="206">
        <v>23148.502631578944</v>
      </c>
    </row>
    <row r="42" spans="1:15" ht="16.5" thickBot="1">
      <c r="A42" s="71" t="s">
        <v>1027</v>
      </c>
      <c r="B42" s="72">
        <v>1270</v>
      </c>
      <c r="C42" s="72">
        <v>1290.69</v>
      </c>
      <c r="D42" s="72">
        <f>+Table9[[#This Row],[المبلغ]]-Table9[[#This Row],[المدفوع]]</f>
        <v>-20.690000000000055</v>
      </c>
      <c r="E42" s="277" t="s">
        <v>1331</v>
      </c>
      <c r="F42" s="298">
        <f>+Table9[[#This Row],[الباقي ]]</f>
        <v>-20.690000000000055</v>
      </c>
      <c r="G42" s="66"/>
      <c r="I42" s="44" t="s">
        <v>354</v>
      </c>
      <c r="J42" s="41">
        <v>182040</v>
      </c>
      <c r="K42" s="41">
        <v>182040</v>
      </c>
      <c r="L42" s="41">
        <v>0</v>
      </c>
      <c r="M42" s="206">
        <v>22960</v>
      </c>
    </row>
    <row r="43" spans="1:15" ht="16.5" thickBot="1">
      <c r="A43" s="210" t="s">
        <v>369</v>
      </c>
      <c r="B43" s="211">
        <v>29741.24</v>
      </c>
      <c r="C43" s="211"/>
      <c r="D43" s="212">
        <f>+Table9[[#This Row],[المبلغ]]-Table9[[#This Row],[المدفوع]]</f>
        <v>29741.24</v>
      </c>
      <c r="E43" s="282">
        <v>2024</v>
      </c>
      <c r="F43" s="281">
        <f>+Table9[[#This Row],[الباقي ]]</f>
        <v>29741.24</v>
      </c>
      <c r="G43" s="66"/>
      <c r="I43" s="44" t="s">
        <v>396</v>
      </c>
      <c r="J43" s="41">
        <v>189744.00368421053</v>
      </c>
      <c r="K43" s="41">
        <v>189744.00368421053</v>
      </c>
      <c r="L43" s="41">
        <v>0</v>
      </c>
      <c r="M43" s="206">
        <v>23931.676140350872</v>
      </c>
    </row>
    <row r="44" spans="1:15" ht="15.75">
      <c r="A44" s="207" t="s">
        <v>1345</v>
      </c>
      <c r="B44" s="208">
        <v>181692</v>
      </c>
      <c r="C44" s="208">
        <v>181692</v>
      </c>
      <c r="D44" s="209">
        <f>+Table9[[#This Row],[المبلغ]]-Table9[[#This Row],[المدفوع]]</f>
        <v>0</v>
      </c>
      <c r="E44" s="283" t="s">
        <v>1330</v>
      </c>
      <c r="F44" s="66"/>
      <c r="G44" s="66"/>
      <c r="I44" s="44" t="s">
        <v>411</v>
      </c>
      <c r="J44" s="41">
        <v>46668.869210526318</v>
      </c>
      <c r="K44" s="41">
        <v>46668.869210526318</v>
      </c>
      <c r="L44" s="41">
        <v>0</v>
      </c>
      <c r="M44" s="206">
        <v>5886.1636842105218</v>
      </c>
    </row>
    <row r="45" spans="1:15" ht="16.5" thickBot="1">
      <c r="A45" s="207" t="s">
        <v>1213</v>
      </c>
      <c r="B45" s="72"/>
      <c r="C45" s="72"/>
      <c r="D45" s="72">
        <f>+Table9[[#This Row],[المبلغ]]-Table9[[#This Row],[المدفوع]]</f>
        <v>0</v>
      </c>
      <c r="E45" s="284" t="s">
        <v>1139</v>
      </c>
      <c r="F45" s="66"/>
      <c r="G45" s="66"/>
      <c r="I45" s="288" t="s">
        <v>426</v>
      </c>
      <c r="J45" s="289">
        <v>77313.340263157894</v>
      </c>
      <c r="K45" s="289">
        <v>77313.340263157894</v>
      </c>
      <c r="L45" s="289">
        <v>0</v>
      </c>
      <c r="M45" s="290">
        <v>9751.2321052631451</v>
      </c>
    </row>
    <row r="46" spans="1:15" ht="15.75">
      <c r="A46" s="143" t="s">
        <v>1268</v>
      </c>
      <c r="B46" s="64">
        <v>30181</v>
      </c>
      <c r="C46" s="64">
        <v>30181</v>
      </c>
      <c r="D46" s="64">
        <f>+Table9[[#This Row],[المبلغ]]-Table9[[#This Row],[المدفوع]]</f>
        <v>0</v>
      </c>
      <c r="E46" s="64" t="s">
        <v>1139</v>
      </c>
      <c r="F46" s="66"/>
      <c r="G46" s="66"/>
      <c r="I46" s="44" t="s">
        <v>1033</v>
      </c>
      <c r="J46" s="41">
        <v>3330</v>
      </c>
      <c r="K46" s="41"/>
      <c r="L46" s="41">
        <v>-3330</v>
      </c>
      <c r="M46" s="206">
        <v>419.99999999999955</v>
      </c>
      <c r="O46" s="269"/>
    </row>
    <row r="47" spans="1:15" ht="15.75">
      <c r="A47" s="144" t="s">
        <v>162</v>
      </c>
      <c r="B47" s="64">
        <v>20000</v>
      </c>
      <c r="C47" s="64"/>
      <c r="D47" s="64">
        <f>+Table9[[#This Row],[المبلغ]]-Table9[[#This Row],[المدفوع]]</f>
        <v>20000</v>
      </c>
      <c r="E47" s="64" t="s">
        <v>1519</v>
      </c>
      <c r="F47" s="66"/>
      <c r="G47" s="66"/>
      <c r="I47" s="44" t="s">
        <v>1038</v>
      </c>
      <c r="J47" s="41">
        <v>103474.25842105263</v>
      </c>
      <c r="K47" s="41">
        <v>103474.25842105263</v>
      </c>
      <c r="L47" s="41">
        <v>0</v>
      </c>
      <c r="M47" s="206">
        <v>13050.807368421039</v>
      </c>
    </row>
    <row r="48" spans="1:15" ht="15.75">
      <c r="A48" s="143" t="s">
        <v>163</v>
      </c>
      <c r="B48" s="64">
        <v>9600</v>
      </c>
      <c r="C48" s="64"/>
      <c r="D48" s="64">
        <f>+Table9[[#This Row],[المبلغ]]-Table9[[#This Row],[المدفوع]]</f>
        <v>9600</v>
      </c>
      <c r="E48" s="64" t="s">
        <v>1519</v>
      </c>
      <c r="F48" s="66"/>
      <c r="G48" s="66"/>
      <c r="I48" s="44" t="s">
        <v>1078</v>
      </c>
      <c r="J48" s="41">
        <v>86580</v>
      </c>
      <c r="K48" s="41">
        <v>86580</v>
      </c>
      <c r="L48" s="41">
        <v>0</v>
      </c>
      <c r="M48" s="206">
        <v>10920</v>
      </c>
    </row>
    <row r="49" spans="1:14" ht="15.75">
      <c r="A49" s="143" t="s">
        <v>164</v>
      </c>
      <c r="B49" s="64">
        <v>8000</v>
      </c>
      <c r="C49" s="64"/>
      <c r="D49" s="64">
        <f>+Table9[[#This Row],[المبلغ]]-Table9[[#This Row],[المدفوع]]</f>
        <v>8000</v>
      </c>
      <c r="E49" s="64" t="s">
        <v>1519</v>
      </c>
      <c r="F49" s="66"/>
      <c r="G49" s="66"/>
      <c r="I49" s="44" t="s">
        <v>1197</v>
      </c>
      <c r="J49" s="41">
        <v>74605.670526315778</v>
      </c>
      <c r="K49" s="41">
        <v>74605.670526315778</v>
      </c>
      <c r="L49" s="41">
        <v>0</v>
      </c>
      <c r="M49" s="206">
        <v>9409.724210526314</v>
      </c>
    </row>
    <row r="50" spans="1:14" ht="15.75">
      <c r="A50" s="143" t="s">
        <v>165</v>
      </c>
      <c r="B50" s="64">
        <v>6000</v>
      </c>
      <c r="C50" s="64"/>
      <c r="D50" s="64">
        <f>+Table9[[#This Row],[المبلغ]]-Table9[[#This Row],[المدفوع]]</f>
        <v>6000</v>
      </c>
      <c r="E50" s="64" t="s">
        <v>1519</v>
      </c>
      <c r="F50" s="66"/>
      <c r="I50" s="44" t="s">
        <v>1196</v>
      </c>
      <c r="J50" s="41">
        <v>52469.252105263156</v>
      </c>
      <c r="K50" s="41">
        <v>52469.252105263156</v>
      </c>
      <c r="L50" s="41">
        <v>0</v>
      </c>
      <c r="M50" s="206">
        <v>6617.7435087719277</v>
      </c>
    </row>
    <row r="51" spans="1:14" ht="15.75">
      <c r="A51" s="143" t="s">
        <v>166</v>
      </c>
      <c r="B51" s="64">
        <v>1000</v>
      </c>
      <c r="C51" s="64"/>
      <c r="D51" s="64">
        <f>+Table9[[#This Row],[المبلغ]]-Table9[[#This Row],[المدفوع]]</f>
        <v>1000</v>
      </c>
      <c r="E51" s="64" t="s">
        <v>1519</v>
      </c>
      <c r="I51" s="44" t="s">
        <v>1195</v>
      </c>
      <c r="J51" s="41">
        <v>13449.207894736843</v>
      </c>
      <c r="K51" s="41">
        <v>13449.207894736843</v>
      </c>
      <c r="L51" s="41">
        <v>0</v>
      </c>
      <c r="M51" s="206">
        <v>1696.2964912280695</v>
      </c>
    </row>
    <row r="52" spans="1:14" ht="15.75">
      <c r="A52" s="44" t="s">
        <v>305</v>
      </c>
      <c r="B52" s="64">
        <v>20000</v>
      </c>
      <c r="C52" s="64">
        <v>10596.45</v>
      </c>
      <c r="D52" s="64">
        <f>+Table9[[#This Row],[المبلغ]]-Table9[[#This Row],[المدفوع]]</f>
        <v>9403.5499999999993</v>
      </c>
      <c r="E52" s="64" t="s">
        <v>1519</v>
      </c>
      <c r="I52" s="44" t="s">
        <v>1405</v>
      </c>
      <c r="J52" s="41">
        <v>75200.28</v>
      </c>
      <c r="K52" s="41">
        <v>75200.28</v>
      </c>
      <c r="L52" s="41">
        <v>0</v>
      </c>
      <c r="M52" s="206">
        <v>9484.7200000000012</v>
      </c>
    </row>
    <row r="53" spans="1:14" ht="15.75">
      <c r="A53" s="44" t="s">
        <v>978</v>
      </c>
      <c r="B53" s="64">
        <v>8000</v>
      </c>
      <c r="C53" s="64">
        <v>5665</v>
      </c>
      <c r="D53" s="64">
        <f>+Table9[[#This Row],[المبلغ]]-Table9[[#This Row],[المدفوع]]</f>
        <v>2335</v>
      </c>
      <c r="E53" s="64" t="s">
        <v>1519</v>
      </c>
      <c r="F53" s="236"/>
      <c r="H53" s="78" t="s">
        <v>1149</v>
      </c>
      <c r="J53" s="41">
        <v>2229251.392368421</v>
      </c>
      <c r="K53" s="41">
        <v>2220671.4018421052</v>
      </c>
      <c r="L53" s="41">
        <v>-3329.9999999999654</v>
      </c>
      <c r="M53" s="206">
        <v>281166.84228070173</v>
      </c>
    </row>
    <row r="54" spans="1:14" ht="15.75">
      <c r="A54" s="44" t="s">
        <v>168</v>
      </c>
      <c r="B54" s="64">
        <v>84673.3</v>
      </c>
      <c r="C54" s="64"/>
      <c r="D54" s="64">
        <f>+Table9[[#This Row],[المبلغ]]-Table9[[#This Row],[المدفوع]]</f>
        <v>84673.3</v>
      </c>
      <c r="E54" s="64" t="s">
        <v>1519</v>
      </c>
      <c r="H54" s="78">
        <v>45870</v>
      </c>
      <c r="I54" s="44" t="s">
        <v>32</v>
      </c>
      <c r="J54" s="41">
        <v>317120.33999999997</v>
      </c>
      <c r="K54" s="41">
        <v>317120.33999999997</v>
      </c>
      <c r="L54" s="41">
        <v>0</v>
      </c>
      <c r="M54" s="206">
        <v>39997.159999999974</v>
      </c>
    </row>
    <row r="55" spans="1:14" ht="15.75">
      <c r="A55" s="44" t="s">
        <v>1296</v>
      </c>
      <c r="B55" s="64">
        <v>40000</v>
      </c>
      <c r="C55" s="64"/>
      <c r="D55" s="64">
        <f>+Table9[[#This Row],[المبلغ]]-Table9[[#This Row],[المدفوع]]</f>
        <v>40000</v>
      </c>
      <c r="E55" s="64" t="s">
        <v>1519</v>
      </c>
      <c r="I55" s="44" t="s">
        <v>80</v>
      </c>
      <c r="J55" s="41">
        <v>65060.82921052631</v>
      </c>
      <c r="K55" s="41">
        <v>63888.562017543903</v>
      </c>
      <c r="L55" s="41">
        <v>4.9794834922067821E-11</v>
      </c>
      <c r="M55" s="206">
        <v>8205.8703508771869</v>
      </c>
    </row>
    <row r="56" spans="1:14" ht="15.75">
      <c r="A56" s="44"/>
      <c r="B56" s="64"/>
      <c r="C56" s="64"/>
      <c r="D56" s="64"/>
      <c r="E56" s="64"/>
      <c r="I56" s="44" t="s">
        <v>187</v>
      </c>
      <c r="J56" s="41">
        <v>297480</v>
      </c>
      <c r="K56" s="41"/>
      <c r="L56" s="41">
        <v>-297480</v>
      </c>
      <c r="M56" s="206">
        <v>37520</v>
      </c>
    </row>
    <row r="57" spans="1:14" ht="15.75">
      <c r="A57" s="44"/>
      <c r="B57" s="64"/>
      <c r="C57" s="64"/>
      <c r="D57" s="64"/>
      <c r="E57" s="64"/>
      <c r="I57" s="44" t="s">
        <v>83</v>
      </c>
      <c r="J57" s="41">
        <v>367140.90269999998</v>
      </c>
      <c r="K57" s="41">
        <v>360525.7513</v>
      </c>
      <c r="L57" s="41">
        <v>2.7284841053187847E-11</v>
      </c>
      <c r="M57" s="206">
        <v>46306.059799999988</v>
      </c>
      <c r="N57" s="269"/>
    </row>
    <row r="58" spans="1:14" ht="15.75">
      <c r="A58" s="44"/>
      <c r="B58" s="64"/>
      <c r="C58" s="64"/>
      <c r="D58" s="64"/>
      <c r="E58" s="64"/>
      <c r="I58" s="44" t="s">
        <v>93</v>
      </c>
      <c r="J58" s="41">
        <v>99376.610025000002</v>
      </c>
      <c r="K58" s="41">
        <v>99376</v>
      </c>
      <c r="L58" s="41">
        <v>-0.61002500000176951</v>
      </c>
      <c r="M58" s="206">
        <v>12533.986849999987</v>
      </c>
    </row>
    <row r="59" spans="1:14" ht="15.75">
      <c r="A59" s="44"/>
      <c r="B59" s="64"/>
      <c r="C59" s="64"/>
      <c r="D59" s="64"/>
      <c r="E59" s="64"/>
      <c r="I59" s="44" t="s">
        <v>75</v>
      </c>
      <c r="J59" s="41">
        <v>177192.88315789474</v>
      </c>
      <c r="K59" s="41">
        <v>177192.88315789474</v>
      </c>
      <c r="L59" s="41">
        <v>0</v>
      </c>
      <c r="M59" s="206">
        <v>22348.651929824555</v>
      </c>
    </row>
    <row r="60" spans="1:14" ht="15.75">
      <c r="A60" s="44"/>
      <c r="B60" s="64"/>
      <c r="C60" s="64"/>
      <c r="D60" s="64"/>
      <c r="E60" s="64"/>
      <c r="I60" s="44" t="s">
        <v>337</v>
      </c>
      <c r="J60" s="41">
        <v>236763</v>
      </c>
      <c r="K60" s="41">
        <v>236763</v>
      </c>
      <c r="L60" s="41">
        <v>0</v>
      </c>
      <c r="M60" s="206">
        <v>29861.999999999971</v>
      </c>
    </row>
    <row r="61" spans="1:14" ht="15.75">
      <c r="A61" s="44"/>
      <c r="B61" s="64"/>
      <c r="C61" s="64"/>
      <c r="D61" s="64"/>
      <c r="E61" s="64"/>
      <c r="I61" s="44" t="s">
        <v>388</v>
      </c>
      <c r="J61" s="41">
        <v>73652.696578947362</v>
      </c>
      <c r="K61" s="41"/>
      <c r="L61" s="41">
        <v>-73652.696578947362</v>
      </c>
      <c r="M61" s="206">
        <v>9289.5292982456012</v>
      </c>
    </row>
    <row r="62" spans="1:14" ht="15.75">
      <c r="A62" s="44"/>
      <c r="B62" s="64"/>
      <c r="C62" s="64"/>
      <c r="D62" s="64"/>
      <c r="E62" s="64"/>
      <c r="I62" s="44" t="s">
        <v>396</v>
      </c>
      <c r="J62" s="41">
        <v>120157.44157894737</v>
      </c>
      <c r="K62" s="41">
        <v>120157.44</v>
      </c>
      <c r="L62" s="41">
        <v>-1.5789473691256717E-3</v>
      </c>
      <c r="M62" s="206">
        <v>15154.992631578934</v>
      </c>
    </row>
    <row r="63" spans="1:14" ht="15.75">
      <c r="A63" s="44"/>
      <c r="B63" s="64"/>
      <c r="C63" s="64"/>
      <c r="D63" s="64"/>
      <c r="E63" s="64"/>
      <c r="I63" s="44" t="s">
        <v>426</v>
      </c>
      <c r="J63" s="41">
        <v>75606.559473684203</v>
      </c>
      <c r="K63" s="41">
        <v>75606.559473684203</v>
      </c>
      <c r="L63" s="41">
        <v>0</v>
      </c>
      <c r="M63" s="206">
        <v>9535.9624561403471</v>
      </c>
    </row>
    <row r="64" spans="1:14" ht="15.75">
      <c r="A64" s="44"/>
      <c r="B64" s="64"/>
      <c r="C64" s="64"/>
      <c r="D64" s="64"/>
      <c r="E64" s="64"/>
      <c r="I64" s="44" t="s">
        <v>1017</v>
      </c>
      <c r="J64" s="41">
        <v>55122.6</v>
      </c>
      <c r="K64" s="41">
        <v>55122.6</v>
      </c>
      <c r="L64" s="41">
        <v>0</v>
      </c>
      <c r="M64" s="206">
        <v>6952.3999999999942</v>
      </c>
    </row>
    <row r="65" spans="1:13" ht="15.75">
      <c r="A65" s="44"/>
      <c r="B65" s="64"/>
      <c r="C65" s="64"/>
      <c r="D65" s="64"/>
      <c r="E65" s="213"/>
      <c r="I65" s="44" t="s">
        <v>1033</v>
      </c>
      <c r="J65" s="41">
        <v>3330</v>
      </c>
      <c r="K65" s="41"/>
      <c r="L65" s="41">
        <v>-3330</v>
      </c>
      <c r="M65" s="206">
        <v>419.99999999999955</v>
      </c>
    </row>
    <row r="66" spans="1:13" ht="15.75">
      <c r="A66" s="44"/>
      <c r="B66" s="64"/>
      <c r="C66" s="64"/>
      <c r="D66" s="64"/>
      <c r="E66" s="213"/>
      <c r="I66" s="44" t="s">
        <v>1038</v>
      </c>
      <c r="J66" s="41">
        <v>12777.648157894737</v>
      </c>
      <c r="K66" s="41">
        <v>12777.648157894737</v>
      </c>
      <c r="L66" s="41">
        <v>0</v>
      </c>
      <c r="M66" s="206">
        <v>1611.595263157893</v>
      </c>
    </row>
    <row r="67" spans="1:13" ht="15.75">
      <c r="A67" s="44"/>
      <c r="B67" s="64"/>
      <c r="C67" s="64"/>
      <c r="D67" s="64"/>
      <c r="E67" s="213"/>
      <c r="I67" s="44" t="s">
        <v>1197</v>
      </c>
      <c r="J67" s="41">
        <v>126389.17631578947</v>
      </c>
      <c r="K67" s="41">
        <v>126389.17631578947</v>
      </c>
      <c r="L67" s="41">
        <v>0</v>
      </c>
      <c r="M67" s="206">
        <v>15940.977192982449</v>
      </c>
    </row>
    <row r="68" spans="1:13" ht="15.75">
      <c r="A68" s="44"/>
      <c r="B68" s="64"/>
      <c r="C68" s="64"/>
      <c r="D68" s="64"/>
      <c r="E68" s="213"/>
      <c r="I68" s="44" t="s">
        <v>1196</v>
      </c>
      <c r="J68" s="41">
        <v>48093.972894736842</v>
      </c>
      <c r="K68" s="41">
        <v>48093.972894736842</v>
      </c>
      <c r="L68" s="41">
        <v>0</v>
      </c>
      <c r="M68" s="206">
        <v>6065.9064912280664</v>
      </c>
    </row>
    <row r="69" spans="1:13" ht="15.75">
      <c r="A69" s="39" t="s">
        <v>14</v>
      </c>
      <c r="B69" s="82">
        <f>SUBTOTAL(109,Table9[المبلغ])</f>
        <v>2013908.3735624999</v>
      </c>
      <c r="C69" s="82">
        <f>SUBTOTAL(109,Table9[المدفوع])</f>
        <v>915210.80786249973</v>
      </c>
      <c r="D69" s="82">
        <f>SUBTOTAL(109,Table9[[الباقي ]])</f>
        <v>1098697.5657000002</v>
      </c>
      <c r="E69" s="275"/>
      <c r="I69" s="44" t="s">
        <v>1195</v>
      </c>
      <c r="J69" s="41">
        <v>15198.606842105262</v>
      </c>
      <c r="K69" s="41">
        <v>15198.606842105262</v>
      </c>
      <c r="L69" s="41">
        <v>0</v>
      </c>
      <c r="M69" s="206">
        <v>1916.9414035087702</v>
      </c>
    </row>
    <row r="70" spans="1:13">
      <c r="I70" s="44" t="s">
        <v>1147</v>
      </c>
      <c r="J70" s="41">
        <v>46078.125263157897</v>
      </c>
      <c r="K70" s="41">
        <v>46078.125263157897</v>
      </c>
      <c r="L70" s="41">
        <v>0</v>
      </c>
      <c r="M70" s="206">
        <v>5811.6554385964846</v>
      </c>
    </row>
    <row r="71" spans="1:13">
      <c r="I71" s="44" t="s">
        <v>1405</v>
      </c>
      <c r="J71" s="41">
        <v>20523.899999999998</v>
      </c>
      <c r="K71" s="41">
        <v>20523.900000000001</v>
      </c>
      <c r="L71" s="41">
        <v>3.637978807091713E-12</v>
      </c>
      <c r="M71" s="206">
        <v>2588.5999999999985</v>
      </c>
    </row>
    <row r="72" spans="1:13">
      <c r="H72" s="78" t="s">
        <v>1293</v>
      </c>
      <c r="J72" s="41">
        <v>2157065.2921986845</v>
      </c>
      <c r="K72" s="41">
        <v>1774814.5654228074</v>
      </c>
      <c r="L72" s="41">
        <v>-374463.30818289466</v>
      </c>
      <c r="M72" s="206">
        <v>272062.28910614015</v>
      </c>
    </row>
    <row r="73" spans="1:13">
      <c r="H73" s="78">
        <v>45901</v>
      </c>
      <c r="I73" s="44" t="s">
        <v>32</v>
      </c>
      <c r="J73" s="41">
        <v>338507.60578947369</v>
      </c>
      <c r="K73" s="41">
        <v>338507.60578947369</v>
      </c>
      <c r="L73" s="41">
        <v>0</v>
      </c>
      <c r="M73" s="206">
        <v>42694.652982456144</v>
      </c>
    </row>
    <row r="74" spans="1:13">
      <c r="I74" s="44" t="s">
        <v>80</v>
      </c>
      <c r="J74" s="41">
        <v>92538.635789473672</v>
      </c>
      <c r="K74" s="41"/>
      <c r="L74" s="41">
        <v>-90871.272982456125</v>
      </c>
      <c r="M74" s="206">
        <v>11671.539649122802</v>
      </c>
    </row>
    <row r="75" spans="1:13">
      <c r="I75" s="44" t="s">
        <v>83</v>
      </c>
      <c r="J75" s="41">
        <v>150905.34710526315</v>
      </c>
      <c r="K75" s="41">
        <v>148186.33184210525</v>
      </c>
      <c r="L75" s="41">
        <v>0</v>
      </c>
      <c r="M75" s="206">
        <v>19033.106842105248</v>
      </c>
    </row>
    <row r="76" spans="1:13">
      <c r="I76" s="44" t="s">
        <v>93</v>
      </c>
      <c r="J76" s="41">
        <v>61061.246052631584</v>
      </c>
      <c r="K76" s="41">
        <v>61061.246052631584</v>
      </c>
      <c r="L76" s="41">
        <v>0</v>
      </c>
      <c r="M76" s="206">
        <v>7701.4184210526291</v>
      </c>
    </row>
    <row r="77" spans="1:13">
      <c r="I77" s="44" t="s">
        <v>75</v>
      </c>
      <c r="J77" s="41">
        <v>135658.2702631579</v>
      </c>
      <c r="K77" s="41">
        <v>135658.27026315799</v>
      </c>
      <c r="L77" s="41">
        <v>8.7311491370201111E-11</v>
      </c>
      <c r="M77" s="206">
        <v>17110.052105263152</v>
      </c>
    </row>
    <row r="78" spans="1:13">
      <c r="I78" s="44" t="s">
        <v>396</v>
      </c>
      <c r="J78" s="41">
        <v>120106.0505263158</v>
      </c>
      <c r="K78" s="41">
        <v>120106.0505263158</v>
      </c>
      <c r="L78" s="41">
        <v>0</v>
      </c>
      <c r="M78" s="206">
        <v>15148.510877192981</v>
      </c>
    </row>
    <row r="79" spans="1:13">
      <c r="I79" s="44" t="s">
        <v>411</v>
      </c>
      <c r="J79" s="41">
        <v>106729.87868421053</v>
      </c>
      <c r="K79" s="41"/>
      <c r="L79" s="41">
        <v>-106729.87868421053</v>
      </c>
      <c r="M79" s="206">
        <v>13461.426140350872</v>
      </c>
    </row>
    <row r="80" spans="1:13">
      <c r="I80" s="44" t="s">
        <v>426</v>
      </c>
      <c r="J80" s="41">
        <v>70918.332899999994</v>
      </c>
      <c r="K80" s="41"/>
      <c r="L80" s="41">
        <v>-70918.332899999994</v>
      </c>
      <c r="M80" s="206">
        <v>8944.6545999999944</v>
      </c>
    </row>
    <row r="81" spans="8:13">
      <c r="I81" s="44" t="s">
        <v>1078</v>
      </c>
      <c r="J81" s="41">
        <v>22546.32</v>
      </c>
      <c r="K81" s="41">
        <v>22546.32</v>
      </c>
      <c r="L81" s="41">
        <v>0</v>
      </c>
      <c r="M81" s="206">
        <v>2843.6799999999967</v>
      </c>
    </row>
    <row r="82" spans="8:13">
      <c r="I82" s="44" t="s">
        <v>1197</v>
      </c>
      <c r="J82" s="41">
        <v>52061.132368421051</v>
      </c>
      <c r="K82" s="41">
        <v>52061.132368421051</v>
      </c>
      <c r="L82" s="41">
        <v>0</v>
      </c>
      <c r="M82" s="206">
        <v>6566.268947368415</v>
      </c>
    </row>
    <row r="83" spans="8:13">
      <c r="I83" s="44" t="s">
        <v>1196</v>
      </c>
      <c r="J83" s="41">
        <v>46318.634999999995</v>
      </c>
      <c r="K83" s="41">
        <v>46318.634999999995</v>
      </c>
      <c r="L83" s="41">
        <v>0</v>
      </c>
      <c r="M83" s="206">
        <v>5841.989999999998</v>
      </c>
    </row>
    <row r="84" spans="8:13">
      <c r="I84" s="44" t="s">
        <v>1195</v>
      </c>
      <c r="J84" s="41">
        <v>20274.724473684208</v>
      </c>
      <c r="K84" s="41">
        <v>20274.724473684208</v>
      </c>
      <c r="L84" s="41">
        <v>0</v>
      </c>
      <c r="M84" s="206">
        <v>2557.1724561403498</v>
      </c>
    </row>
    <row r="85" spans="8:13">
      <c r="I85" s="44" t="s">
        <v>1147</v>
      </c>
      <c r="J85" s="41">
        <v>253681.54210526316</v>
      </c>
      <c r="K85" s="41">
        <v>253681.54210526316</v>
      </c>
      <c r="L85" s="41">
        <v>0</v>
      </c>
      <c r="M85" s="206">
        <v>31995.870175438584</v>
      </c>
    </row>
    <row r="86" spans="8:13">
      <c r="I86" s="44" t="s">
        <v>1404</v>
      </c>
      <c r="J86" s="41">
        <v>75930.611315789472</v>
      </c>
      <c r="K86" s="41">
        <v>75930.611315789472</v>
      </c>
      <c r="L86" s="41">
        <v>0</v>
      </c>
      <c r="M86" s="206">
        <v>9576.833859649123</v>
      </c>
    </row>
    <row r="87" spans="8:13">
      <c r="I87" s="44" t="s">
        <v>1421</v>
      </c>
      <c r="J87" s="41">
        <v>4101.45</v>
      </c>
      <c r="K87" s="41">
        <v>4101.45</v>
      </c>
      <c r="L87" s="41">
        <v>0</v>
      </c>
      <c r="M87" s="206">
        <v>517.29999999999973</v>
      </c>
    </row>
    <row r="88" spans="8:13">
      <c r="H88" s="78" t="s">
        <v>1376</v>
      </c>
      <c r="J88" s="41">
        <v>1551339.782373684</v>
      </c>
      <c r="K88" s="41">
        <v>1278433.9197368422</v>
      </c>
      <c r="L88" s="41">
        <v>-268519.48456666654</v>
      </c>
      <c r="M88" s="206">
        <v>195664.47705614025</v>
      </c>
    </row>
    <row r="89" spans="8:13">
      <c r="H89" s="78">
        <v>45931</v>
      </c>
      <c r="I89" s="44" t="s">
        <v>32</v>
      </c>
      <c r="J89" s="41">
        <v>192322.06631578947</v>
      </c>
      <c r="K89" s="41">
        <v>192322.06631578947</v>
      </c>
      <c r="L89" s="41">
        <v>0</v>
      </c>
      <c r="M89" s="206">
        <v>24256.837192982435</v>
      </c>
    </row>
    <row r="90" spans="8:13">
      <c r="I90" s="44" t="s">
        <v>83</v>
      </c>
      <c r="J90" s="41">
        <v>473304.81789473689</v>
      </c>
      <c r="K90" s="41">
        <v>464776.80315789476</v>
      </c>
      <c r="L90" s="41">
        <v>-2.3646862246096134E-11</v>
      </c>
      <c r="M90" s="206">
        <v>59696.103157894686</v>
      </c>
    </row>
    <row r="91" spans="8:13">
      <c r="I91" s="44" t="s">
        <v>75</v>
      </c>
      <c r="J91" s="41">
        <v>100112.1755263158</v>
      </c>
      <c r="K91" s="41"/>
      <c r="L91" s="41">
        <v>-100112.1755263158</v>
      </c>
      <c r="M91" s="206">
        <v>12626.760877192981</v>
      </c>
    </row>
    <row r="92" spans="8:13">
      <c r="I92" s="44" t="s">
        <v>396</v>
      </c>
      <c r="J92" s="41">
        <v>199816.02684210526</v>
      </c>
      <c r="K92" s="41"/>
      <c r="L92" s="41">
        <v>-199816.02684210526</v>
      </c>
      <c r="M92" s="206">
        <v>25202.021403508756</v>
      </c>
    </row>
    <row r="93" spans="8:13">
      <c r="I93" s="44" t="s">
        <v>411</v>
      </c>
      <c r="J93" s="41">
        <v>35002.817894736836</v>
      </c>
      <c r="K93" s="41"/>
      <c r="L93" s="41">
        <v>-35002.817894736836</v>
      </c>
      <c r="M93" s="206">
        <v>4414.769824561401</v>
      </c>
    </row>
    <row r="94" spans="8:13">
      <c r="I94" s="44" t="s">
        <v>426</v>
      </c>
      <c r="J94" s="41">
        <v>61185.011052631584</v>
      </c>
      <c r="K94" s="41"/>
      <c r="L94" s="41">
        <v>-61185.011052631584</v>
      </c>
      <c r="M94" s="206">
        <v>7717.0284210526297</v>
      </c>
    </row>
    <row r="95" spans="8:13">
      <c r="I95" s="44" t="s">
        <v>979</v>
      </c>
      <c r="J95" s="41">
        <v>66045</v>
      </c>
      <c r="K95" s="41">
        <v>66045</v>
      </c>
      <c r="L95" s="41">
        <v>0</v>
      </c>
      <c r="M95" s="206">
        <v>8329.9999999999927</v>
      </c>
    </row>
    <row r="96" spans="8:13">
      <c r="I96" s="44" t="s">
        <v>1017</v>
      </c>
      <c r="J96" s="41">
        <v>389671.60500000004</v>
      </c>
      <c r="K96" s="41"/>
      <c r="L96" s="41">
        <v>-389671.60500000004</v>
      </c>
      <c r="M96" s="206">
        <v>49147.76999999996</v>
      </c>
    </row>
    <row r="97" spans="8:13">
      <c r="I97" s="44" t="s">
        <v>1078</v>
      </c>
      <c r="J97" s="41">
        <v>249750</v>
      </c>
      <c r="K97" s="41">
        <v>249750</v>
      </c>
      <c r="L97" s="41">
        <v>0</v>
      </c>
      <c r="M97" s="206">
        <v>31499.999999999971</v>
      </c>
    </row>
    <row r="98" spans="8:13">
      <c r="I98" s="44" t="s">
        <v>1197</v>
      </c>
      <c r="J98" s="41">
        <v>122522.49131578948</v>
      </c>
      <c r="K98" s="41"/>
      <c r="L98" s="41">
        <v>-122522.49131578948</v>
      </c>
      <c r="M98" s="206">
        <v>15453.287192982447</v>
      </c>
    </row>
    <row r="99" spans="8:13">
      <c r="I99" s="44" t="s">
        <v>1196</v>
      </c>
      <c r="J99" s="41">
        <v>51640.997368421049</v>
      </c>
      <c r="K99" s="41"/>
      <c r="L99" s="41">
        <v>-51640.997368421049</v>
      </c>
      <c r="M99" s="206">
        <v>6513.278947368417</v>
      </c>
    </row>
    <row r="100" spans="8:13">
      <c r="I100" s="44" t="s">
        <v>1195</v>
      </c>
      <c r="J100" s="41">
        <v>8509.0360526315799</v>
      </c>
      <c r="K100" s="41"/>
      <c r="L100" s="41">
        <v>-8509.0360526315799</v>
      </c>
      <c r="M100" s="206">
        <v>1073.211754385964</v>
      </c>
    </row>
    <row r="101" spans="8:13">
      <c r="I101" s="44" t="s">
        <v>1147</v>
      </c>
      <c r="J101" s="41">
        <v>100172.51473684212</v>
      </c>
      <c r="K101" s="41">
        <v>100172.51473684212</v>
      </c>
      <c r="L101" s="41">
        <v>0</v>
      </c>
      <c r="M101" s="206">
        <v>12634.371228070173</v>
      </c>
    </row>
    <row r="102" spans="8:13">
      <c r="I102" s="44" t="s">
        <v>1404</v>
      </c>
      <c r="J102" s="41">
        <v>82010.743421052626</v>
      </c>
      <c r="K102" s="41">
        <v>82010.75</v>
      </c>
      <c r="L102" s="41">
        <v>6.5789473737822846E-3</v>
      </c>
      <c r="M102" s="206">
        <v>10343.697368421053</v>
      </c>
    </row>
    <row r="103" spans="8:13">
      <c r="I103" s="44" t="s">
        <v>1574</v>
      </c>
      <c r="J103" s="41">
        <v>27750</v>
      </c>
      <c r="K103" s="41"/>
      <c r="L103" s="41">
        <v>-27750</v>
      </c>
      <c r="M103" s="206">
        <v>3499.9999999999964</v>
      </c>
    </row>
    <row r="104" spans="8:13">
      <c r="H104" s="78" t="s">
        <v>1518</v>
      </c>
      <c r="J104" s="41">
        <v>2159815.3034210531</v>
      </c>
      <c r="K104" s="41">
        <v>1155077.1342105262</v>
      </c>
      <c r="L104" s="41">
        <v>-996210.15447368426</v>
      </c>
      <c r="M104" s="206">
        <v>272409.1373684209</v>
      </c>
    </row>
    <row r="105" spans="8:13">
      <c r="H105" s="78" t="s">
        <v>39</v>
      </c>
      <c r="J105" s="41">
        <v>11210414.169175522</v>
      </c>
      <c r="K105" s="41">
        <v>9498845.8423526287</v>
      </c>
      <c r="L105" s="41">
        <v>-1675348.3500341228</v>
      </c>
      <c r="M105" s="206">
        <v>1413926.1114275435</v>
      </c>
    </row>
  </sheetData>
  <mergeCells count="11">
    <mergeCell ref="H2:M3"/>
    <mergeCell ref="A3:C3"/>
    <mergeCell ref="D3:F3"/>
    <mergeCell ref="A1:B2"/>
    <mergeCell ref="E1:F2"/>
    <mergeCell ref="C1:D2"/>
    <mergeCell ref="G14:G30"/>
    <mergeCell ref="F31:F34"/>
    <mergeCell ref="B12:C12"/>
    <mergeCell ref="F35:F40"/>
    <mergeCell ref="F18:F30"/>
  </mergeCells>
  <pageMargins left="0.24" right="0.17" top="0.75" bottom="0.75" header="0.3" footer="0.3"/>
  <pageSetup paperSize="9" scale="45" orientation="portrait" r:id="rId2"/>
  <ignoredErrors>
    <ignoredError sqref="D41:D55" calculatedColumn="1"/>
  </ignoredErrors>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A4D1-597A-4D31-B13C-A7EBE4EFF87C}">
  <sheetPr codeName="Sheet11"/>
  <dimension ref="A1:V156"/>
  <sheetViews>
    <sheetView rightToLeft="1" workbookViewId="0">
      <selection activeCell="A151" sqref="A151:XFD165"/>
    </sheetView>
  </sheetViews>
  <sheetFormatPr defaultRowHeight="17.25"/>
  <cols>
    <col min="1" max="1" width="45.5703125" style="47" bestFit="1" customWidth="1"/>
    <col min="2" max="2" width="14.5703125" style="47" bestFit="1" customWidth="1"/>
    <col min="3" max="3" width="12.42578125" style="47" customWidth="1"/>
    <col min="4" max="4" width="25.85546875" style="47" customWidth="1"/>
    <col min="5" max="5" width="19.140625" style="47" bestFit="1" customWidth="1"/>
    <col min="6" max="7" width="17" style="47" customWidth="1"/>
    <col min="8" max="8" width="15" style="47" customWidth="1"/>
    <col min="9" max="9" width="17.7109375" style="47" customWidth="1"/>
    <col min="10" max="10" width="18.28515625" style="47" bestFit="1" customWidth="1"/>
    <col min="11" max="11" width="15" style="47" customWidth="1"/>
    <col min="12" max="13" width="18.42578125" style="47" bestFit="1" customWidth="1"/>
    <col min="14" max="14" width="14.85546875" style="47" bestFit="1" customWidth="1"/>
    <col min="15" max="15" width="19.140625" style="47" bestFit="1" customWidth="1"/>
    <col min="16" max="16" width="15.28515625" style="47" bestFit="1" customWidth="1"/>
    <col min="17" max="17" width="15.42578125" style="125" bestFit="1" customWidth="1"/>
    <col min="18" max="18" width="10.42578125" style="81" customWidth="1"/>
    <col min="19" max="19" width="11.140625" style="130" customWidth="1"/>
    <col min="20" max="20" width="17.5703125" style="47" bestFit="1" customWidth="1"/>
    <col min="21" max="21" width="18.85546875" style="47" bestFit="1" customWidth="1"/>
    <col min="22" max="22" width="77.85546875" style="219" bestFit="1" customWidth="1"/>
    <col min="23" max="23" width="3.140625" style="47" customWidth="1"/>
    <col min="24" max="24" width="33.28515625" style="47" customWidth="1"/>
    <col min="25" max="25" width="16.28515625" style="47" customWidth="1"/>
    <col min="26" max="16384" width="9.140625" style="47"/>
  </cols>
  <sheetData>
    <row r="1" spans="1:22" ht="26.25" customHeight="1">
      <c r="A1" s="129" t="s">
        <v>51</v>
      </c>
      <c r="B1" s="129"/>
      <c r="C1" s="129"/>
      <c r="D1" s="129"/>
      <c r="E1" s="129"/>
      <c r="F1" s="221"/>
      <c r="G1" s="129"/>
      <c r="H1" s="129"/>
      <c r="I1" s="129"/>
      <c r="J1" s="129"/>
      <c r="P1" s="48"/>
      <c r="R1" s="131"/>
      <c r="S1" s="397">
        <f ca="1">TODAY()</f>
        <v>46006</v>
      </c>
      <c r="T1" s="397"/>
    </row>
    <row r="2" spans="1:22">
      <c r="A2" s="49"/>
      <c r="B2" s="49"/>
      <c r="C2" s="49"/>
      <c r="D2" s="50">
        <f>SUBTOTAL(9,D4:D1048576)</f>
        <v>16938610.316802002</v>
      </c>
      <c r="E2" s="50">
        <f>SUBTOTAL(9,E4:E1048576)</f>
        <v>14858430.102457898</v>
      </c>
      <c r="F2" s="50">
        <f>SUBTOTAL(9,F4:F1048576)</f>
        <v>0</v>
      </c>
      <c r="G2" s="50">
        <f>SUBTOTAL(9,G4:G1048576)</f>
        <v>0</v>
      </c>
      <c r="H2" s="50">
        <f>SUBTOTAL(9,H4:H1048576)</f>
        <v>0</v>
      </c>
      <c r="I2" s="50">
        <f>SUBTOTAL(9,I4:I1048576)</f>
        <v>14858430.102457898</v>
      </c>
      <c r="J2" s="50">
        <f>SUBTOTAL(9,J4:J1048576)</f>
        <v>2080180.2143441043</v>
      </c>
      <c r="K2" s="50">
        <f>SUBTOTAL(9,K4:K1048576)</f>
        <v>445752.90307373693</v>
      </c>
      <c r="L2" s="50">
        <f>SUBTOTAL(9,L4:L1048576)</f>
        <v>16492857.413728261</v>
      </c>
      <c r="M2" s="50">
        <f>SUBTOTAL(9,M4:M1048576)</f>
        <v>15679253.29101547</v>
      </c>
      <c r="N2" s="50">
        <f>SUBTOTAL(9,N4:N1048576)</f>
        <v>-52083.663447859661</v>
      </c>
      <c r="O2" s="50">
        <f>SUBTOTAL(9,O4:O1048576)</f>
        <v>-761520.45926492976</v>
      </c>
      <c r="P2" s="49"/>
      <c r="Q2" s="126"/>
      <c r="R2" s="132"/>
      <c r="S2" s="397"/>
      <c r="T2" s="397"/>
    </row>
    <row r="3" spans="1:22" s="57" customFormat="1" ht="36" customHeight="1">
      <c r="A3" s="51" t="s">
        <v>52</v>
      </c>
      <c r="B3" s="52" t="s">
        <v>1</v>
      </c>
      <c r="C3" s="86" t="s">
        <v>53</v>
      </c>
      <c r="D3" s="53" t="s">
        <v>54</v>
      </c>
      <c r="E3" s="52" t="s">
        <v>55</v>
      </c>
      <c r="F3" s="52" t="s">
        <v>110</v>
      </c>
      <c r="G3" s="52" t="s">
        <v>111</v>
      </c>
      <c r="H3" s="52" t="s">
        <v>112</v>
      </c>
      <c r="I3" s="52" t="s">
        <v>322</v>
      </c>
      <c r="J3" s="54" t="s">
        <v>147</v>
      </c>
      <c r="K3" s="54" t="s">
        <v>148</v>
      </c>
      <c r="L3" s="52" t="s">
        <v>56</v>
      </c>
      <c r="M3" s="55" t="s">
        <v>57</v>
      </c>
      <c r="N3" s="55" t="s">
        <v>58</v>
      </c>
      <c r="O3" s="55" t="s">
        <v>59</v>
      </c>
      <c r="P3" s="56" t="s">
        <v>200</v>
      </c>
      <c r="Q3" s="127" t="s">
        <v>299</v>
      </c>
      <c r="R3" s="128" t="s">
        <v>300</v>
      </c>
      <c r="S3" s="55" t="s">
        <v>201</v>
      </c>
      <c r="T3" s="55" t="s">
        <v>60</v>
      </c>
      <c r="U3" s="55" t="s">
        <v>308</v>
      </c>
      <c r="V3" s="218" t="s">
        <v>385</v>
      </c>
    </row>
    <row r="4" spans="1:22">
      <c r="A4" s="58" t="s">
        <v>426</v>
      </c>
      <c r="B4" s="59">
        <v>45566</v>
      </c>
      <c r="C4" s="60">
        <v>45635</v>
      </c>
      <c r="D4" s="61">
        <v>30574.66</v>
      </c>
      <c r="E4" s="61">
        <f t="shared" ref="E4:E35" si="0">D4/1.14</f>
        <v>26819.877192982458</v>
      </c>
      <c r="F4" s="61"/>
      <c r="G4" s="61"/>
      <c r="H4" s="61"/>
      <c r="I4" s="203">
        <f>Table8[[#This Row],[الاجمالي بدون الضريبه14%]]-Table8[[#This Row],[القاهرة ]]-Table8[[#This Row],[المنصورة ]]-Table8[[#This Row],[القانونيه ]]</f>
        <v>26819.877192982458</v>
      </c>
      <c r="J4" s="61">
        <f t="shared" ref="J4:J35" si="1">D4-E4</f>
        <v>3754.7828070175419</v>
      </c>
      <c r="K4" s="61">
        <f t="shared" ref="K4:K35" si="2">E4*$K$3</f>
        <v>804.59631578947369</v>
      </c>
      <c r="L4" s="61">
        <f t="shared" ref="L4:L35" si="3">D4-K4</f>
        <v>29770.063684210527</v>
      </c>
      <c r="M4" s="270">
        <v>29770.063684210527</v>
      </c>
      <c r="N4" s="181"/>
      <c r="O4" s="62">
        <f t="shared" ref="O4:O35" si="4">M4-L4-N4</f>
        <v>0</v>
      </c>
      <c r="P4" s="63"/>
      <c r="Q4" s="134">
        <f>IFERROR((Table8[[#This Row],[تاريخ الاستحقاق]]-Table8[[#This Row],[تاريخ اصدار الفاتورة ]]),0)</f>
        <v>-45635</v>
      </c>
      <c r="R4" s="133" t="str">
        <f ca="1">IF(Table8[[#This Row],[تاريخ الاستحقاق]]&lt;$S$1,"مستحق","غير مستحق")</f>
        <v>مستحق</v>
      </c>
      <c r="S4" s="135">
        <f ca="1">Table8[[#This Row],[تاريخ الاستحقاق]]-$S$1</f>
        <v>-46006</v>
      </c>
      <c r="T4" s="136"/>
      <c r="U4" s="184">
        <f>Table8[[#This Row],[المبلغ المسدد]]/1.14</f>
        <v>26114.090951061869</v>
      </c>
      <c r="V4" s="220"/>
    </row>
    <row r="5" spans="1:22">
      <c r="A5" s="58" t="s">
        <v>85</v>
      </c>
      <c r="B5" s="59">
        <v>45597</v>
      </c>
      <c r="C5" s="60">
        <v>45641</v>
      </c>
      <c r="D5" s="61">
        <v>98980.800000000003</v>
      </c>
      <c r="E5" s="61">
        <f t="shared" si="0"/>
        <v>86825.263157894748</v>
      </c>
      <c r="F5" s="61"/>
      <c r="G5" s="61"/>
      <c r="H5" s="61"/>
      <c r="I5" s="203">
        <f>Table8[[#This Row],[الاجمالي بدون الضريبه14%]]-Table8[[#This Row],[القاهرة ]]-Table8[[#This Row],[المنصورة ]]-Table8[[#This Row],[القانونيه ]]</f>
        <v>86825.263157894748</v>
      </c>
      <c r="J5" s="61">
        <f t="shared" si="1"/>
        <v>12155.536842105255</v>
      </c>
      <c r="K5" s="61">
        <f t="shared" si="2"/>
        <v>2604.7578947368424</v>
      </c>
      <c r="L5" s="61">
        <f t="shared" si="3"/>
        <v>96376.042105263157</v>
      </c>
      <c r="M5" s="270">
        <v>96376.042105263157</v>
      </c>
      <c r="N5" s="181"/>
      <c r="O5" s="62">
        <f t="shared" si="4"/>
        <v>0</v>
      </c>
      <c r="P5" s="63"/>
      <c r="Q5" s="134">
        <f>IFERROR((Table8[[#This Row],[تاريخ الاستحقاق]]-Table8[[#This Row],[تاريخ اصدار الفاتورة ]]),0)</f>
        <v>-45641</v>
      </c>
      <c r="R5" s="133" t="str">
        <f ca="1">IF(Table8[[#This Row],[تاريخ الاستحقاق]]&lt;$S$1,"مستحق","غير مستحق")</f>
        <v>مستحق</v>
      </c>
      <c r="S5" s="135">
        <f ca="1">Table8[[#This Row],[تاريخ الاستحقاق]]-$S$1</f>
        <v>-46006</v>
      </c>
      <c r="T5" s="136"/>
      <c r="U5" s="184">
        <f>Table8[[#This Row],[المبلغ المسدد]]/1.14</f>
        <v>84540.387811634355</v>
      </c>
      <c r="V5" s="220"/>
    </row>
    <row r="6" spans="1:22">
      <c r="A6" s="58" t="s">
        <v>337</v>
      </c>
      <c r="B6" s="59">
        <v>45627</v>
      </c>
      <c r="C6" s="60">
        <v>45643</v>
      </c>
      <c r="D6" s="61">
        <v>122094</v>
      </c>
      <c r="E6" s="61">
        <f t="shared" si="0"/>
        <v>107100.00000000001</v>
      </c>
      <c r="F6" s="61"/>
      <c r="G6" s="61"/>
      <c r="H6" s="61"/>
      <c r="I6" s="203">
        <f>Table8[[#This Row],[الاجمالي بدون الضريبه14%]]-Table8[[#This Row],[القاهرة ]]-Table8[[#This Row],[المنصورة ]]-Table8[[#This Row],[القانونيه ]]</f>
        <v>107100.00000000001</v>
      </c>
      <c r="J6" s="61">
        <f t="shared" si="1"/>
        <v>14993.999999999985</v>
      </c>
      <c r="K6" s="61">
        <f t="shared" si="2"/>
        <v>3213.0000000000005</v>
      </c>
      <c r="L6" s="61">
        <f t="shared" si="3"/>
        <v>118881</v>
      </c>
      <c r="M6" s="270">
        <v>118881</v>
      </c>
      <c r="N6" s="181"/>
      <c r="O6" s="62">
        <f t="shared" si="4"/>
        <v>0</v>
      </c>
      <c r="P6" s="63"/>
      <c r="Q6" s="134">
        <f>IFERROR((Table8[[#This Row],[تاريخ الاستحقاق]]-Table8[[#This Row],[تاريخ اصدار الفاتورة ]]),0)</f>
        <v>-45643</v>
      </c>
      <c r="R6" s="133" t="str">
        <f ca="1">IF(Table8[[#This Row],[تاريخ الاستحقاق]]&lt;$S$1,"مستحق","غير مستحق")</f>
        <v>مستحق</v>
      </c>
      <c r="S6" s="135">
        <f ca="1">Table8[[#This Row],[تاريخ الاستحقاق]]-$S$1</f>
        <v>-46006</v>
      </c>
      <c r="T6" s="136"/>
      <c r="U6" s="184">
        <f>Table8[[#This Row],[المبلغ المسدد]]/1.14</f>
        <v>104281.57894736843</v>
      </c>
      <c r="V6" s="220"/>
    </row>
    <row r="7" spans="1:22">
      <c r="A7" s="58" t="s">
        <v>213</v>
      </c>
      <c r="B7" s="59">
        <v>45627</v>
      </c>
      <c r="C7" s="60">
        <v>45648</v>
      </c>
      <c r="D7" s="61">
        <v>364000.01</v>
      </c>
      <c r="E7" s="61">
        <f t="shared" si="0"/>
        <v>319298.25438596494</v>
      </c>
      <c r="F7" s="61"/>
      <c r="G7" s="61"/>
      <c r="H7" s="61"/>
      <c r="I7" s="203">
        <f>Table8[[#This Row],[الاجمالي بدون الضريبه14%]]-Table8[[#This Row],[القاهرة ]]-Table8[[#This Row],[المنصورة ]]-Table8[[#This Row],[القانونيه ]]</f>
        <v>319298.25438596494</v>
      </c>
      <c r="J7" s="61">
        <f t="shared" si="1"/>
        <v>44701.755614035064</v>
      </c>
      <c r="K7" s="61">
        <f t="shared" si="2"/>
        <v>9578.9476315789489</v>
      </c>
      <c r="L7" s="61">
        <f t="shared" si="3"/>
        <v>354421.06236842106</v>
      </c>
      <c r="M7" s="62"/>
      <c r="N7" s="181"/>
      <c r="O7" s="62">
        <f t="shared" si="4"/>
        <v>-354421.06236842106</v>
      </c>
      <c r="P7" s="63"/>
      <c r="Q7" s="134">
        <f>IFERROR((Table8[[#This Row],[تاريخ الاستحقاق]]-Table8[[#This Row],[تاريخ اصدار الفاتورة ]]),0)</f>
        <v>-45648</v>
      </c>
      <c r="R7" s="133" t="str">
        <f ca="1">IF(Table8[[#This Row],[تاريخ الاستحقاق]]&lt;$S$1,"مستحق","غير مستحق")</f>
        <v>مستحق</v>
      </c>
      <c r="S7" s="135">
        <f ca="1">Table8[[#This Row],[تاريخ الاستحقاق]]-$S$1</f>
        <v>-46006</v>
      </c>
      <c r="T7" s="136"/>
      <c r="U7" s="184">
        <f>Table8[[#This Row],[المبلغ المسدد]]/1.14</f>
        <v>0</v>
      </c>
      <c r="V7" s="220"/>
    </row>
    <row r="8" spans="1:22">
      <c r="A8" s="58" t="s">
        <v>213</v>
      </c>
      <c r="B8" s="59">
        <v>45627</v>
      </c>
      <c r="C8" s="60">
        <v>45648</v>
      </c>
      <c r="D8" s="61">
        <v>201210</v>
      </c>
      <c r="E8" s="61">
        <f t="shared" si="0"/>
        <v>176500.00000000003</v>
      </c>
      <c r="F8" s="61"/>
      <c r="G8" s="61"/>
      <c r="H8" s="61"/>
      <c r="I8" s="203">
        <f>Table8[[#This Row],[الاجمالي بدون الضريبه14%]]-Table8[[#This Row],[القاهرة ]]-Table8[[#This Row],[المنصورة ]]-Table8[[#This Row],[القانونيه ]]</f>
        <v>176500.00000000003</v>
      </c>
      <c r="J8" s="61">
        <f t="shared" si="1"/>
        <v>24709.999999999971</v>
      </c>
      <c r="K8" s="61">
        <f t="shared" si="2"/>
        <v>5295.0000000000009</v>
      </c>
      <c r="L8" s="61">
        <f t="shared" si="3"/>
        <v>195915</v>
      </c>
      <c r="M8" s="270">
        <v>195915</v>
      </c>
      <c r="N8" s="181"/>
      <c r="O8" s="62">
        <f t="shared" si="4"/>
        <v>0</v>
      </c>
      <c r="P8" s="63"/>
      <c r="Q8" s="134">
        <f>IFERROR((Table8[[#This Row],[تاريخ الاستحقاق]]-Table8[[#This Row],[تاريخ اصدار الفاتورة ]]),0)</f>
        <v>-45648</v>
      </c>
      <c r="R8" s="133" t="str">
        <f ca="1">IF(Table8[[#This Row],[تاريخ الاستحقاق]]&lt;$S$1,"مستحق","غير مستحق")</f>
        <v>مستحق</v>
      </c>
      <c r="S8" s="135">
        <f ca="1">Table8[[#This Row],[تاريخ الاستحقاق]]-$S$1</f>
        <v>-46006</v>
      </c>
      <c r="T8" s="136"/>
      <c r="U8" s="184">
        <f>Table8[[#This Row],[المبلغ المسدد]]/1.14</f>
        <v>171855.26315789475</v>
      </c>
      <c r="V8" s="220"/>
    </row>
    <row r="9" spans="1:22">
      <c r="A9" s="58" t="s">
        <v>93</v>
      </c>
      <c r="B9" s="59">
        <v>45597</v>
      </c>
      <c r="C9" s="60">
        <v>45649</v>
      </c>
      <c r="D9" s="61">
        <v>35142.79</v>
      </c>
      <c r="E9" s="61">
        <f t="shared" si="0"/>
        <v>30827.008771929828</v>
      </c>
      <c r="F9" s="61"/>
      <c r="G9" s="61"/>
      <c r="H9" s="61"/>
      <c r="I9" s="203">
        <f>Table8[[#This Row],[الاجمالي بدون الضريبه14%]]-Table8[[#This Row],[القاهرة ]]-Table8[[#This Row],[المنصورة ]]-Table8[[#This Row],[القانونيه ]]</f>
        <v>30827.008771929828</v>
      </c>
      <c r="J9" s="61">
        <f t="shared" si="1"/>
        <v>4315.7812280701728</v>
      </c>
      <c r="K9" s="61">
        <f t="shared" si="2"/>
        <v>924.81026315789484</v>
      </c>
      <c r="L9" s="61">
        <f t="shared" si="3"/>
        <v>34217.979736842106</v>
      </c>
      <c r="M9" s="270">
        <v>34217.979736842106</v>
      </c>
      <c r="N9" s="181"/>
      <c r="O9" s="62">
        <f t="shared" si="4"/>
        <v>0</v>
      </c>
      <c r="P9" s="63"/>
      <c r="Q9" s="134">
        <f>IFERROR((Table8[[#This Row],[تاريخ الاستحقاق]]-Table8[[#This Row],[تاريخ اصدار الفاتورة ]]),0)</f>
        <v>-45649</v>
      </c>
      <c r="R9" s="133" t="str">
        <f ca="1">IF(Table8[[#This Row],[تاريخ الاستحقاق]]&lt;$S$1,"مستحق","غير مستحق")</f>
        <v>مستحق</v>
      </c>
      <c r="S9" s="135">
        <f ca="1">Table8[[#This Row],[تاريخ الاستحقاق]]-$S$1</f>
        <v>-46006</v>
      </c>
      <c r="T9" s="136"/>
      <c r="U9" s="184">
        <f>Table8[[#This Row],[المبلغ المسدد]]/1.14</f>
        <v>30015.771698984307</v>
      </c>
      <c r="V9" s="220"/>
    </row>
    <row r="10" spans="1:22">
      <c r="A10" s="58" t="s">
        <v>372</v>
      </c>
      <c r="B10" s="59">
        <v>45597</v>
      </c>
      <c r="C10" s="60">
        <v>45649</v>
      </c>
      <c r="D10" s="61">
        <v>358197.59</v>
      </c>
      <c r="E10" s="61">
        <f t="shared" si="0"/>
        <v>314208.4122807018</v>
      </c>
      <c r="F10" s="61"/>
      <c r="G10" s="61"/>
      <c r="H10" s="61"/>
      <c r="I10" s="203">
        <f>Table8[[#This Row],[الاجمالي بدون الضريبه14%]]-Table8[[#This Row],[القاهرة ]]-Table8[[#This Row],[المنصورة ]]-Table8[[#This Row],[القانونيه ]]</f>
        <v>314208.4122807018</v>
      </c>
      <c r="J10" s="61">
        <f t="shared" si="1"/>
        <v>43989.177719298226</v>
      </c>
      <c r="K10" s="61">
        <f t="shared" si="2"/>
        <v>9426.2523684210537</v>
      </c>
      <c r="L10" s="61">
        <f t="shared" si="3"/>
        <v>348771.33763157896</v>
      </c>
      <c r="M10" s="270">
        <v>348771.33763157896</v>
      </c>
      <c r="N10" s="181"/>
      <c r="O10" s="62">
        <f t="shared" si="4"/>
        <v>0</v>
      </c>
      <c r="P10" s="63"/>
      <c r="Q10" s="134">
        <f>IFERROR((Table8[[#This Row],[تاريخ الاستحقاق]]-Table8[[#This Row],[تاريخ اصدار الفاتورة ]]),0)</f>
        <v>-45649</v>
      </c>
      <c r="R10" s="133" t="str">
        <f ca="1">IF(Table8[[#This Row],[تاريخ الاستحقاق]]&lt;$S$1,"مستحق","غير مستحق")</f>
        <v>مستحق</v>
      </c>
      <c r="S10" s="135">
        <f ca="1">Table8[[#This Row],[تاريخ الاستحقاق]]-$S$1</f>
        <v>-46006</v>
      </c>
      <c r="T10" s="136"/>
      <c r="U10" s="184">
        <f>Table8[[#This Row],[المبلغ المسدد]]/1.14</f>
        <v>305939.76985226228</v>
      </c>
      <c r="V10" s="220"/>
    </row>
    <row r="11" spans="1:22">
      <c r="A11" s="58" t="s">
        <v>411</v>
      </c>
      <c r="B11" s="59">
        <v>45566</v>
      </c>
      <c r="C11" s="60">
        <v>45650</v>
      </c>
      <c r="D11" s="61">
        <v>16691.91</v>
      </c>
      <c r="E11" s="61">
        <f t="shared" si="0"/>
        <v>14642.026315789475</v>
      </c>
      <c r="F11" s="61"/>
      <c r="G11" s="61"/>
      <c r="H11" s="61"/>
      <c r="I11" s="203">
        <f>Table8[[#This Row],[الاجمالي بدون الضريبه14%]]-Table8[[#This Row],[القاهرة ]]-Table8[[#This Row],[المنصورة ]]-Table8[[#This Row],[القانونيه ]]</f>
        <v>14642.026315789475</v>
      </c>
      <c r="J11" s="61">
        <f t="shared" si="1"/>
        <v>2049.8836842105247</v>
      </c>
      <c r="K11" s="61">
        <f t="shared" si="2"/>
        <v>439.26078947368421</v>
      </c>
      <c r="L11" s="61">
        <f t="shared" si="3"/>
        <v>16252.649210526315</v>
      </c>
      <c r="M11" s="62">
        <v>16252.649210526315</v>
      </c>
      <c r="N11" s="181"/>
      <c r="O11" s="62">
        <f t="shared" si="4"/>
        <v>0</v>
      </c>
      <c r="P11" s="63"/>
      <c r="Q11" s="134">
        <f>IFERROR((Table8[[#This Row],[تاريخ الاستحقاق]]-Table8[[#This Row],[تاريخ اصدار الفاتورة ]]),0)</f>
        <v>-45650</v>
      </c>
      <c r="R11" s="133" t="str">
        <f ca="1">IF(Table8[[#This Row],[تاريخ الاستحقاق]]&lt;$S$1,"مستحق","غير مستحق")</f>
        <v>مستحق</v>
      </c>
      <c r="S11" s="135">
        <f ca="1">Table8[[#This Row],[تاريخ الاستحقاق]]-$S$1</f>
        <v>-46006</v>
      </c>
      <c r="T11" s="136"/>
      <c r="U11" s="184">
        <f>Table8[[#This Row],[المبلغ المسدد]]/1.14</f>
        <v>14256.709833795014</v>
      </c>
      <c r="V11" s="220"/>
    </row>
    <row r="12" spans="1:22">
      <c r="A12" s="58" t="s">
        <v>354</v>
      </c>
      <c r="B12" s="59">
        <v>45536</v>
      </c>
      <c r="C12" s="60">
        <v>45652</v>
      </c>
      <c r="D12" s="61">
        <v>42616.05</v>
      </c>
      <c r="E12" s="61">
        <f t="shared" si="0"/>
        <v>37382.500000000007</v>
      </c>
      <c r="F12" s="61"/>
      <c r="G12" s="61"/>
      <c r="H12" s="61"/>
      <c r="I12" s="203">
        <f>Table8[[#This Row],[الاجمالي بدون الضريبه14%]]-Table8[[#This Row],[القاهرة ]]-Table8[[#This Row],[المنصورة ]]-Table8[[#This Row],[القانونيه ]]</f>
        <v>37382.500000000007</v>
      </c>
      <c r="J12" s="61">
        <f t="shared" si="1"/>
        <v>5233.5499999999956</v>
      </c>
      <c r="K12" s="61">
        <f t="shared" si="2"/>
        <v>1121.4750000000001</v>
      </c>
      <c r="L12" s="61">
        <f t="shared" si="3"/>
        <v>41494.575000000004</v>
      </c>
      <c r="M12" s="270">
        <v>41494.575000000004</v>
      </c>
      <c r="N12" s="181"/>
      <c r="O12" s="62">
        <f t="shared" si="4"/>
        <v>0</v>
      </c>
      <c r="P12" s="63"/>
      <c r="Q12" s="134">
        <f>IFERROR((Table8[[#This Row],[تاريخ الاستحقاق]]-Table8[[#This Row],[تاريخ اصدار الفاتورة ]]),0)</f>
        <v>-45652</v>
      </c>
      <c r="R12" s="133" t="str">
        <f ca="1">IF(Table8[[#This Row],[تاريخ الاستحقاق]]&lt;$S$1,"مستحق","غير مستحق")</f>
        <v>مستحق</v>
      </c>
      <c r="S12" s="135">
        <f ca="1">Table8[[#This Row],[تاريخ الاستحقاق]]-$S$1</f>
        <v>-46006</v>
      </c>
      <c r="T12" s="136"/>
      <c r="U12" s="184">
        <f>Table8[[#This Row],[المبلغ المسدد]]/1.14</f>
        <v>36398.750000000007</v>
      </c>
      <c r="V12" s="220"/>
    </row>
    <row r="13" spans="1:22">
      <c r="A13" s="58" t="s">
        <v>75</v>
      </c>
      <c r="B13" s="59">
        <v>45597</v>
      </c>
      <c r="C13" s="60">
        <v>45656</v>
      </c>
      <c r="D13" s="61">
        <v>114176.28</v>
      </c>
      <c r="E13" s="61">
        <f t="shared" si="0"/>
        <v>100154.63157894737</v>
      </c>
      <c r="F13" s="61"/>
      <c r="G13" s="61"/>
      <c r="H13" s="61"/>
      <c r="I13" s="203">
        <f>Table8[[#This Row],[الاجمالي بدون الضريبه14%]]-Table8[[#This Row],[القاهرة ]]-Table8[[#This Row],[المنصورة ]]-Table8[[#This Row],[القانونيه ]]</f>
        <v>100154.63157894737</v>
      </c>
      <c r="J13" s="61">
        <f t="shared" si="1"/>
        <v>14021.648421052625</v>
      </c>
      <c r="K13" s="61">
        <f t="shared" si="2"/>
        <v>3004.6389473684212</v>
      </c>
      <c r="L13" s="61">
        <f t="shared" si="3"/>
        <v>111171.64105263157</v>
      </c>
      <c r="M13" s="270">
        <v>111171.64105263157</v>
      </c>
      <c r="N13" s="181"/>
      <c r="O13" s="62">
        <f t="shared" si="4"/>
        <v>0</v>
      </c>
      <c r="P13" s="63"/>
      <c r="Q13" s="134">
        <f>IFERROR((Table8[[#This Row],[تاريخ الاستحقاق]]-Table8[[#This Row],[تاريخ اصدار الفاتورة ]]),0)</f>
        <v>-45656</v>
      </c>
      <c r="R13" s="133" t="str">
        <f ca="1">IF(Table8[[#This Row],[تاريخ الاستحقاق]]&lt;$S$1,"مستحق","غير مستحق")</f>
        <v>مستحق</v>
      </c>
      <c r="S13" s="135">
        <f ca="1">Table8[[#This Row],[تاريخ الاستحقاق]]-$S$1</f>
        <v>-46006</v>
      </c>
      <c r="T13" s="136"/>
      <c r="U13" s="184">
        <f>Table8[[#This Row],[المبلغ المسدد]]/1.14</f>
        <v>97518.983379501384</v>
      </c>
      <c r="V13" s="220"/>
    </row>
    <row r="14" spans="1:22">
      <c r="A14" s="58" t="s">
        <v>85</v>
      </c>
      <c r="B14" s="59">
        <v>45627</v>
      </c>
      <c r="C14" s="60">
        <v>45658</v>
      </c>
      <c r="D14" s="61">
        <v>168615.72</v>
      </c>
      <c r="E14" s="61">
        <f t="shared" si="0"/>
        <v>147908.5263157895</v>
      </c>
      <c r="F14" s="61"/>
      <c r="G14" s="61"/>
      <c r="H14" s="61"/>
      <c r="I14" s="203">
        <f>Table8[[#This Row],[الاجمالي بدون الضريبه14%]]-Table8[[#This Row],[القاهرة ]]-Table8[[#This Row],[المنصورة ]]-Table8[[#This Row],[القانونيه ]]</f>
        <v>147908.5263157895</v>
      </c>
      <c r="J14" s="61">
        <f t="shared" si="1"/>
        <v>20707.193684210506</v>
      </c>
      <c r="K14" s="61">
        <f t="shared" si="2"/>
        <v>4437.2557894736847</v>
      </c>
      <c r="L14" s="61">
        <f t="shared" si="3"/>
        <v>164178.46421052632</v>
      </c>
      <c r="M14" s="270">
        <v>164178.46421052632</v>
      </c>
      <c r="N14" s="181"/>
      <c r="O14" s="62">
        <f t="shared" si="4"/>
        <v>0</v>
      </c>
      <c r="P14" s="63"/>
      <c r="Q14" s="134">
        <f>IFERROR((Table8[[#This Row],[تاريخ الاستحقاق]]-Table8[[#This Row],[تاريخ اصدار الفاتورة ]]),0)</f>
        <v>-45658</v>
      </c>
      <c r="R14" s="133" t="str">
        <f ca="1">IF(Table8[[#This Row],[تاريخ الاستحقاق]]&lt;$S$1,"مستحق","غير مستحق")</f>
        <v>مستحق</v>
      </c>
      <c r="S14" s="135">
        <f ca="1">Table8[[#This Row],[تاريخ الاستحقاق]]-$S$1</f>
        <v>-46006</v>
      </c>
      <c r="T14" s="136"/>
      <c r="U14" s="184">
        <f>Table8[[#This Row],[المبلغ المسدد]]/1.14</f>
        <v>144016.19667590028</v>
      </c>
      <c r="V14" s="220"/>
    </row>
    <row r="15" spans="1:22">
      <c r="A15" s="58" t="s">
        <v>80</v>
      </c>
      <c r="B15" s="59">
        <v>45627</v>
      </c>
      <c r="C15" s="60">
        <v>45663</v>
      </c>
      <c r="D15" s="61">
        <v>108900.53</v>
      </c>
      <c r="E15" s="61">
        <f t="shared" si="0"/>
        <v>95526.780701754396</v>
      </c>
      <c r="F15" s="61"/>
      <c r="G15" s="61"/>
      <c r="H15" s="61"/>
      <c r="I15" s="203">
        <f>Table8[[#This Row],[الاجمالي بدون الضريبه14%]]-Table8[[#This Row],[القاهرة ]]-Table8[[#This Row],[المنصورة ]]-Table8[[#This Row],[القانونيه ]]</f>
        <v>95526.780701754396</v>
      </c>
      <c r="J15" s="61">
        <f t="shared" si="1"/>
        <v>13373.749298245602</v>
      </c>
      <c r="K15" s="61">
        <f t="shared" si="2"/>
        <v>2865.8034210526316</v>
      </c>
      <c r="L15" s="61">
        <f t="shared" si="3"/>
        <v>106034.72657894736</v>
      </c>
      <c r="M15" s="270">
        <f>+Table8[[#This Row],[المطلوب تحويله ]]+Table8[[#This Row],[مصروفات ]]</f>
        <v>104124.19096491227</v>
      </c>
      <c r="N15" s="181">
        <f>-Table8[[#This Row],[الاجمالي بدون الضريبه14%]]*0.02</f>
        <v>-1910.535614035088</v>
      </c>
      <c r="O15" s="62">
        <f t="shared" si="4"/>
        <v>-4.3200998334214091E-12</v>
      </c>
      <c r="P15" s="63"/>
      <c r="Q15" s="134">
        <f>IFERROR((Table8[[#This Row],[تاريخ الاستحقاق]]-Table8[[#This Row],[تاريخ اصدار الفاتورة ]]),0)</f>
        <v>-45663</v>
      </c>
      <c r="R15" s="133" t="str">
        <f ca="1">IF(Table8[[#This Row],[تاريخ الاستحقاق]]&lt;$S$1,"مستحق","غير مستحق")</f>
        <v>مستحق</v>
      </c>
      <c r="S15" s="135">
        <f ca="1">Table8[[#This Row],[تاريخ الاستحقاق]]-$S$1</f>
        <v>-46006</v>
      </c>
      <c r="T15" s="136"/>
      <c r="U15" s="184">
        <f>Table8[[#This Row],[المبلغ المسدد]]/1.14</f>
        <v>91337.009618344106</v>
      </c>
      <c r="V15" s="220"/>
    </row>
    <row r="16" spans="1:22">
      <c r="A16" s="58" t="s">
        <v>411</v>
      </c>
      <c r="B16" s="59">
        <v>45597</v>
      </c>
      <c r="C16" s="60">
        <v>45665</v>
      </c>
      <c r="D16" s="61">
        <v>32130.6</v>
      </c>
      <c r="E16" s="61">
        <f t="shared" si="0"/>
        <v>28184.736842105263</v>
      </c>
      <c r="F16" s="61"/>
      <c r="G16" s="61"/>
      <c r="H16" s="61"/>
      <c r="I16" s="203">
        <f>Table8[[#This Row],[الاجمالي بدون الضريبه14%]]-Table8[[#This Row],[القاهرة ]]-Table8[[#This Row],[المنصورة ]]-Table8[[#This Row],[القانونيه ]]</f>
        <v>28184.736842105263</v>
      </c>
      <c r="J16" s="61">
        <f t="shared" si="1"/>
        <v>3945.8631578947352</v>
      </c>
      <c r="K16" s="61">
        <f t="shared" si="2"/>
        <v>845.54210526315785</v>
      </c>
      <c r="L16" s="61">
        <f t="shared" si="3"/>
        <v>31285.057894736841</v>
      </c>
      <c r="M16" s="62">
        <v>31285.057894736841</v>
      </c>
      <c r="N16" s="181"/>
      <c r="O16" s="62">
        <f t="shared" si="4"/>
        <v>0</v>
      </c>
      <c r="P16" s="63"/>
      <c r="Q16" s="134">
        <f>IFERROR((Table8[[#This Row],[تاريخ الاستحقاق]]-Table8[[#This Row],[تاريخ اصدار الفاتورة ]]),0)</f>
        <v>-45665</v>
      </c>
      <c r="R16" s="133" t="str">
        <f ca="1">IF(Table8[[#This Row],[تاريخ الاستحقاق]]&lt;$S$1,"مستحق","غير مستحق")</f>
        <v>مستحق</v>
      </c>
      <c r="S16" s="135">
        <f ca="1">Table8[[#This Row],[تاريخ الاستحقاق]]-$S$1</f>
        <v>-46006</v>
      </c>
      <c r="T16" s="136"/>
      <c r="U16" s="184">
        <f>Table8[[#This Row],[المبلغ المسدد]]/1.14</f>
        <v>27443.033240997232</v>
      </c>
      <c r="V16" s="220"/>
    </row>
    <row r="17" spans="1:22">
      <c r="A17" s="58" t="s">
        <v>83</v>
      </c>
      <c r="B17" s="59">
        <v>45627</v>
      </c>
      <c r="C17" s="60">
        <v>45671</v>
      </c>
      <c r="D17" s="61">
        <v>355629.84</v>
      </c>
      <c r="E17" s="61">
        <f t="shared" si="0"/>
        <v>311956.00000000006</v>
      </c>
      <c r="F17" s="61"/>
      <c r="G17" s="61"/>
      <c r="H17" s="61"/>
      <c r="I17" s="203">
        <f>Table8[[#This Row],[الاجمالي بدون الضريبه14%]]-Table8[[#This Row],[القاهرة ]]-Table8[[#This Row],[المنصورة ]]-Table8[[#This Row],[القانونيه ]]</f>
        <v>311956.00000000006</v>
      </c>
      <c r="J17" s="61">
        <f t="shared" si="1"/>
        <v>43673.839999999967</v>
      </c>
      <c r="K17" s="61">
        <f t="shared" si="2"/>
        <v>9358.6800000000021</v>
      </c>
      <c r="L17" s="61">
        <f t="shared" si="3"/>
        <v>346271.16000000003</v>
      </c>
      <c r="M17" s="270">
        <v>340032.04</v>
      </c>
      <c r="N17" s="181">
        <f>-Table8[[#This Row],[الاجمالي بدون الضريبه14%]]*0.02</f>
        <v>-6239.1200000000017</v>
      </c>
      <c r="O17" s="62">
        <f t="shared" si="4"/>
        <v>-5.184119800105691E-11</v>
      </c>
      <c r="P17" s="63"/>
      <c r="Q17" s="134">
        <f>IFERROR((Table8[[#This Row],[تاريخ الاستحقاق]]-Table8[[#This Row],[تاريخ اصدار الفاتورة ]]),0)</f>
        <v>-45671</v>
      </c>
      <c r="R17" s="133" t="str">
        <f ca="1">IF(Table8[[#This Row],[تاريخ الاستحقاق]]&lt;$S$1,"مستحق","غير مستحق")</f>
        <v>مستحق</v>
      </c>
      <c r="S17" s="135">
        <f ca="1">Table8[[#This Row],[تاريخ الاستحقاق]]-$S$1</f>
        <v>-46006</v>
      </c>
      <c r="T17" s="136"/>
      <c r="U17" s="184">
        <f>Table8[[#This Row],[المبلغ المسدد]]/1.14</f>
        <v>298273.71929824562</v>
      </c>
      <c r="V17" s="220"/>
    </row>
    <row r="18" spans="1:22">
      <c r="A18" s="58" t="s">
        <v>32</v>
      </c>
      <c r="B18" s="59">
        <v>45627</v>
      </c>
      <c r="C18" s="60">
        <v>45671</v>
      </c>
      <c r="D18" s="61">
        <v>83502.13</v>
      </c>
      <c r="E18" s="61">
        <f t="shared" si="0"/>
        <v>73247.482456140366</v>
      </c>
      <c r="F18" s="61"/>
      <c r="G18" s="61"/>
      <c r="H18" s="61"/>
      <c r="I18" s="203">
        <f>Table8[[#This Row],[الاجمالي بدون الضريبه14%]]-Table8[[#This Row],[القاهرة ]]-Table8[[#This Row],[المنصورة ]]-Table8[[#This Row],[القانونيه ]]</f>
        <v>73247.482456140366</v>
      </c>
      <c r="J18" s="61">
        <f t="shared" si="1"/>
        <v>10254.647543859639</v>
      </c>
      <c r="K18" s="61">
        <f t="shared" si="2"/>
        <v>2197.4244736842111</v>
      </c>
      <c r="L18" s="61">
        <f t="shared" si="3"/>
        <v>81304.705526315796</v>
      </c>
      <c r="M18" s="270">
        <v>81304.705526315796</v>
      </c>
      <c r="N18" s="181"/>
      <c r="O18" s="62">
        <f t="shared" si="4"/>
        <v>0</v>
      </c>
      <c r="P18" s="63"/>
      <c r="Q18" s="134">
        <f>IFERROR((Table8[[#This Row],[تاريخ الاستحقاق]]-Table8[[#This Row],[تاريخ اصدار الفاتورة ]]),0)</f>
        <v>-45671</v>
      </c>
      <c r="R18" s="133" t="str">
        <f ca="1">IF(Table8[[#This Row],[تاريخ الاستحقاق]]&lt;$S$1,"مستحق","غير مستحق")</f>
        <v>مستحق</v>
      </c>
      <c r="S18" s="135">
        <f ca="1">Table8[[#This Row],[تاريخ الاستحقاق]]-$S$1</f>
        <v>-46006</v>
      </c>
      <c r="T18" s="136"/>
      <c r="U18" s="184">
        <f>Table8[[#This Row],[المبلغ المسدد]]/1.14</f>
        <v>71319.917128347195</v>
      </c>
      <c r="V18" s="220"/>
    </row>
    <row r="19" spans="1:22">
      <c r="A19" s="58" t="s">
        <v>75</v>
      </c>
      <c r="B19" s="59">
        <v>45627</v>
      </c>
      <c r="C19" s="60">
        <v>45671</v>
      </c>
      <c r="D19" s="61">
        <v>133733.57999999999</v>
      </c>
      <c r="E19" s="61">
        <f t="shared" si="0"/>
        <v>117310.15789473684</v>
      </c>
      <c r="F19" s="61"/>
      <c r="G19" s="61"/>
      <c r="H19" s="61"/>
      <c r="I19" s="203">
        <f>Table8[[#This Row],[الاجمالي بدون الضريبه14%]]-Table8[[#This Row],[القاهرة ]]-Table8[[#This Row],[المنصورة ]]-Table8[[#This Row],[القانونيه ]]</f>
        <v>117310.15789473684</v>
      </c>
      <c r="J19" s="61">
        <f t="shared" si="1"/>
        <v>16423.422105263147</v>
      </c>
      <c r="K19" s="61">
        <f t="shared" si="2"/>
        <v>3519.3047368421053</v>
      </c>
      <c r="L19" s="61">
        <f t="shared" si="3"/>
        <v>130214.27526315788</v>
      </c>
      <c r="M19" s="270">
        <v>133733.57999999999</v>
      </c>
      <c r="N19" s="181"/>
      <c r="O19" s="62">
        <f t="shared" si="4"/>
        <v>3519.3047368421103</v>
      </c>
      <c r="P19" s="63"/>
      <c r="Q19" s="134">
        <f>IFERROR((Table8[[#This Row],[تاريخ الاستحقاق]]-Table8[[#This Row],[تاريخ اصدار الفاتورة ]]),0)</f>
        <v>-45671</v>
      </c>
      <c r="R19" s="133" t="str">
        <f ca="1">IF(Table8[[#This Row],[تاريخ الاستحقاق]]&lt;$S$1,"مستحق","غير مستحق")</f>
        <v>مستحق</v>
      </c>
      <c r="S19" s="135">
        <f ca="1">Table8[[#This Row],[تاريخ الاستحقاق]]-$S$1</f>
        <v>-46006</v>
      </c>
      <c r="T19" s="136"/>
      <c r="U19" s="184">
        <f>Table8[[#This Row],[المبلغ المسدد]]/1.14</f>
        <v>117310.15789473684</v>
      </c>
      <c r="V19" s="220"/>
    </row>
    <row r="20" spans="1:22">
      <c r="A20" s="58" t="s">
        <v>372</v>
      </c>
      <c r="B20" s="59">
        <v>45627</v>
      </c>
      <c r="C20" s="60">
        <v>45672</v>
      </c>
      <c r="D20" s="61">
        <v>68483.199999999997</v>
      </c>
      <c r="E20" s="61">
        <f t="shared" si="0"/>
        <v>60072.982456140351</v>
      </c>
      <c r="F20" s="61"/>
      <c r="G20" s="61"/>
      <c r="H20" s="61"/>
      <c r="I20" s="203">
        <f>Table8[[#This Row],[الاجمالي بدون الضريبه14%]]-Table8[[#This Row],[القاهرة ]]-Table8[[#This Row],[المنصورة ]]-Table8[[#This Row],[القانونيه ]]</f>
        <v>60072.982456140351</v>
      </c>
      <c r="J20" s="61">
        <f t="shared" si="1"/>
        <v>8410.217543859646</v>
      </c>
      <c r="K20" s="61">
        <f t="shared" si="2"/>
        <v>1802.1894736842105</v>
      </c>
      <c r="L20" s="61">
        <f t="shared" si="3"/>
        <v>66681.010526315789</v>
      </c>
      <c r="M20" s="270">
        <v>66681.010526315789</v>
      </c>
      <c r="N20" s="181"/>
      <c r="O20" s="62">
        <f t="shared" si="4"/>
        <v>0</v>
      </c>
      <c r="P20" s="63"/>
      <c r="Q20" s="134">
        <f>IFERROR((Table8[[#This Row],[تاريخ الاستحقاق]]-Table8[[#This Row],[تاريخ اصدار الفاتورة ]]),0)</f>
        <v>-45672</v>
      </c>
      <c r="R20" s="133" t="str">
        <f ca="1">IF(Table8[[#This Row],[تاريخ الاستحقاق]]&lt;$S$1,"مستحق","غير مستحق")</f>
        <v>مستحق</v>
      </c>
      <c r="S20" s="135">
        <f ca="1">Table8[[#This Row],[تاريخ الاستحقاق]]-$S$1</f>
        <v>-46006</v>
      </c>
      <c r="T20" s="136"/>
      <c r="U20" s="184">
        <f>Table8[[#This Row],[المبلغ المسدد]]/1.14</f>
        <v>58492.114496768241</v>
      </c>
      <c r="V20" s="220"/>
    </row>
    <row r="21" spans="1:22">
      <c r="A21" s="58" t="s">
        <v>396</v>
      </c>
      <c r="B21" s="59">
        <v>45597</v>
      </c>
      <c r="C21" s="60">
        <v>45677</v>
      </c>
      <c r="D21" s="61">
        <v>125671.25</v>
      </c>
      <c r="E21" s="61">
        <f t="shared" si="0"/>
        <v>110237.93859649124</v>
      </c>
      <c r="F21" s="61"/>
      <c r="G21" s="61"/>
      <c r="H21" s="61"/>
      <c r="I21" s="203">
        <f>Table8[[#This Row],[الاجمالي بدون الضريبه14%]]-Table8[[#This Row],[القاهرة ]]-Table8[[#This Row],[المنصورة ]]-Table8[[#This Row],[القانونيه ]]</f>
        <v>110237.93859649124</v>
      </c>
      <c r="J21" s="61">
        <f t="shared" si="1"/>
        <v>15433.311403508764</v>
      </c>
      <c r="K21" s="61">
        <f t="shared" si="2"/>
        <v>3307.1381578947371</v>
      </c>
      <c r="L21" s="61">
        <f t="shared" si="3"/>
        <v>122364.11184210527</v>
      </c>
      <c r="M21" s="270">
        <v>122364.11</v>
      </c>
      <c r="N21" s="181"/>
      <c r="O21" s="62">
        <f t="shared" si="4"/>
        <v>-1.8421052664052695E-3</v>
      </c>
      <c r="P21" s="63"/>
      <c r="Q21" s="134">
        <f>IFERROR((Table8[[#This Row],[تاريخ الاستحقاق]]-Table8[[#This Row],[تاريخ اصدار الفاتورة ]]),0)</f>
        <v>-45677</v>
      </c>
      <c r="R21" s="133" t="str">
        <f ca="1">IF(Table8[[#This Row],[تاريخ الاستحقاق]]&lt;$S$1,"مستحق","غير مستحق")</f>
        <v>مستحق</v>
      </c>
      <c r="S21" s="135">
        <f ca="1">Table8[[#This Row],[تاريخ الاستحقاق]]-$S$1</f>
        <v>-46006</v>
      </c>
      <c r="T21" s="136"/>
      <c r="U21" s="184">
        <f>Table8[[#This Row],[المبلغ المسدد]]/1.14</f>
        <v>107336.93859649124</v>
      </c>
      <c r="V21" s="220"/>
    </row>
    <row r="22" spans="1:22">
      <c r="A22" s="58" t="s">
        <v>411</v>
      </c>
      <c r="B22" s="59">
        <v>45627</v>
      </c>
      <c r="C22" s="60">
        <v>45685</v>
      </c>
      <c r="D22" s="61">
        <v>21097.95</v>
      </c>
      <c r="E22" s="61">
        <f t="shared" si="0"/>
        <v>18506.97368421053</v>
      </c>
      <c r="F22" s="61"/>
      <c r="G22" s="61"/>
      <c r="H22" s="61"/>
      <c r="I22" s="203">
        <f>Table8[[#This Row],[الاجمالي بدون الضريبه14%]]-Table8[[#This Row],[القاهرة ]]-Table8[[#This Row],[المنصورة ]]-Table8[[#This Row],[القانونيه ]]</f>
        <v>18506.97368421053</v>
      </c>
      <c r="J22" s="61">
        <f t="shared" si="1"/>
        <v>2590.9763157894704</v>
      </c>
      <c r="K22" s="61">
        <f t="shared" si="2"/>
        <v>555.20921052631593</v>
      </c>
      <c r="L22" s="61">
        <f t="shared" si="3"/>
        <v>20542.740789473686</v>
      </c>
      <c r="M22" s="62">
        <v>20542.740789473686</v>
      </c>
      <c r="N22" s="181"/>
      <c r="O22" s="62">
        <f t="shared" si="4"/>
        <v>0</v>
      </c>
      <c r="P22" s="63"/>
      <c r="Q22" s="134">
        <f>IFERROR((Table8[[#This Row],[تاريخ الاستحقاق]]-Table8[[#This Row],[تاريخ اصدار الفاتورة ]]),0)</f>
        <v>-45685</v>
      </c>
      <c r="R22" s="133" t="str">
        <f ca="1">IF(Table8[[#This Row],[تاريخ الاستحقاق]]&lt;$S$1,"مستحق","غير مستحق")</f>
        <v>مستحق</v>
      </c>
      <c r="S22" s="135">
        <f ca="1">Table8[[#This Row],[تاريخ الاستحقاق]]-$S$1</f>
        <v>-46006</v>
      </c>
      <c r="T22" s="136"/>
      <c r="U22" s="184">
        <f>Table8[[#This Row],[المبلغ المسدد]]/1.14</f>
        <v>18019.948060941831</v>
      </c>
      <c r="V22" s="220"/>
    </row>
    <row r="23" spans="1:22">
      <c r="A23" s="58" t="s">
        <v>426</v>
      </c>
      <c r="B23" s="59">
        <v>45597</v>
      </c>
      <c r="C23" s="60">
        <v>45686</v>
      </c>
      <c r="D23" s="61">
        <v>35781.370000000003</v>
      </c>
      <c r="E23" s="61">
        <f t="shared" si="0"/>
        <v>31387.166666666672</v>
      </c>
      <c r="F23" s="61"/>
      <c r="G23" s="61"/>
      <c r="H23" s="61"/>
      <c r="I23" s="203">
        <f>Table8[[#This Row],[الاجمالي بدون الضريبه14%]]-Table8[[#This Row],[القاهرة ]]-Table8[[#This Row],[المنصورة ]]-Table8[[#This Row],[القانونيه ]]</f>
        <v>31387.166666666672</v>
      </c>
      <c r="J23" s="61">
        <f t="shared" si="1"/>
        <v>4394.2033333333311</v>
      </c>
      <c r="K23" s="61">
        <f t="shared" si="2"/>
        <v>941.61500000000012</v>
      </c>
      <c r="L23" s="61">
        <f t="shared" si="3"/>
        <v>34839.755000000005</v>
      </c>
      <c r="M23" s="270">
        <v>34839.755000000005</v>
      </c>
      <c r="N23" s="181"/>
      <c r="O23" s="62">
        <f t="shared" si="4"/>
        <v>0</v>
      </c>
      <c r="P23" s="63"/>
      <c r="Q23" s="134">
        <f>IFERROR((Table8[[#This Row],[تاريخ الاستحقاق]]-Table8[[#This Row],[تاريخ اصدار الفاتورة ]]),0)</f>
        <v>-45686</v>
      </c>
      <c r="R23" s="133" t="str">
        <f ca="1">IF(Table8[[#This Row],[تاريخ الاستحقاق]]&lt;$S$1,"مستحق","غير مستحق")</f>
        <v>مستحق</v>
      </c>
      <c r="S23" s="135">
        <f ca="1">Table8[[#This Row],[تاريخ الاستحقاق]]-$S$1</f>
        <v>-46006</v>
      </c>
      <c r="T23" s="136"/>
      <c r="U23" s="184">
        <f>Table8[[#This Row],[المبلغ المسدد]]/1.14</f>
        <v>30561.188596491236</v>
      </c>
      <c r="V23" s="220"/>
    </row>
    <row r="24" spans="1:22">
      <c r="A24" s="58" t="s">
        <v>426</v>
      </c>
      <c r="B24" s="59">
        <v>45627</v>
      </c>
      <c r="C24" s="60">
        <v>45686</v>
      </c>
      <c r="D24" s="61">
        <v>44975.82</v>
      </c>
      <c r="E24" s="61">
        <f t="shared" si="0"/>
        <v>39452.473684210527</v>
      </c>
      <c r="F24" s="61"/>
      <c r="G24" s="61"/>
      <c r="H24" s="61"/>
      <c r="I24" s="203">
        <f>Table8[[#This Row],[الاجمالي بدون الضريبه14%]]-Table8[[#This Row],[القاهرة ]]-Table8[[#This Row],[المنصورة ]]-Table8[[#This Row],[القانونيه ]]</f>
        <v>39452.473684210527</v>
      </c>
      <c r="J24" s="61">
        <f t="shared" si="1"/>
        <v>5523.346315789473</v>
      </c>
      <c r="K24" s="61">
        <f t="shared" si="2"/>
        <v>1183.5742105263157</v>
      </c>
      <c r="L24" s="61">
        <f t="shared" si="3"/>
        <v>43792.245789473687</v>
      </c>
      <c r="M24" s="270">
        <v>43792.245789473687</v>
      </c>
      <c r="N24" s="181"/>
      <c r="O24" s="62">
        <f t="shared" si="4"/>
        <v>0</v>
      </c>
      <c r="P24" s="63"/>
      <c r="Q24" s="134">
        <f>IFERROR((Table8[[#This Row],[تاريخ الاستحقاق]]-Table8[[#This Row],[تاريخ اصدار الفاتورة ]]),0)</f>
        <v>-45686</v>
      </c>
      <c r="R24" s="133" t="str">
        <f ca="1">IF(Table8[[#This Row],[تاريخ الاستحقاق]]&lt;$S$1,"مستحق","غير مستحق")</f>
        <v>مستحق</v>
      </c>
      <c r="S24" s="135">
        <f ca="1">Table8[[#This Row],[تاريخ الاستحقاق]]-$S$1</f>
        <v>-46006</v>
      </c>
      <c r="T24" s="136"/>
      <c r="U24" s="184">
        <f>Table8[[#This Row],[المبلغ المسدد]]/1.14</f>
        <v>38414.250692520778</v>
      </c>
      <c r="V24" s="220"/>
    </row>
    <row r="25" spans="1:22">
      <c r="A25" s="58" t="s">
        <v>93</v>
      </c>
      <c r="B25" s="59">
        <v>45627</v>
      </c>
      <c r="C25" s="60">
        <v>45696</v>
      </c>
      <c r="D25" s="61">
        <v>31430.58</v>
      </c>
      <c r="E25" s="61">
        <f t="shared" si="0"/>
        <v>27570.68421052632</v>
      </c>
      <c r="F25" s="61"/>
      <c r="G25" s="61"/>
      <c r="H25" s="61"/>
      <c r="I25" s="203">
        <f>Table8[[#This Row],[الاجمالي بدون الضريبه14%]]-Table8[[#This Row],[القاهرة ]]-Table8[[#This Row],[المنصورة ]]-Table8[[#This Row],[القانونيه ]]</f>
        <v>27570.68421052632</v>
      </c>
      <c r="J25" s="61">
        <f t="shared" si="1"/>
        <v>3859.8957894736814</v>
      </c>
      <c r="K25" s="61">
        <f t="shared" si="2"/>
        <v>827.12052631578956</v>
      </c>
      <c r="L25" s="61">
        <f t="shared" si="3"/>
        <v>30603.459473684212</v>
      </c>
      <c r="M25" s="270">
        <v>30603.47</v>
      </c>
      <c r="N25" s="181"/>
      <c r="O25" s="62">
        <f t="shared" si="4"/>
        <v>1.0526315789320506E-2</v>
      </c>
      <c r="P25" s="63"/>
      <c r="Q25" s="134">
        <f>IFERROR((Table8[[#This Row],[تاريخ الاستحقاق]]-Table8[[#This Row],[تاريخ اصدار الفاتورة ]]),0)</f>
        <v>-45696</v>
      </c>
      <c r="R25" s="133" t="str">
        <f ca="1">IF(Table8[[#This Row],[تاريخ الاستحقاق]]&lt;$S$1,"مستحق","غير مستحق")</f>
        <v>مستحق</v>
      </c>
      <c r="S25" s="135">
        <f ca="1">Table8[[#This Row],[تاريخ الاستحقاق]]-$S$1</f>
        <v>-46006</v>
      </c>
      <c r="T25" s="136"/>
      <c r="U25" s="184">
        <f>Table8[[#This Row],[المبلغ المسدد]]/1.14</f>
        <v>26845.149122807023</v>
      </c>
      <c r="V25" s="220"/>
    </row>
    <row r="26" spans="1:22">
      <c r="A26" s="58" t="s">
        <v>396</v>
      </c>
      <c r="B26" s="59">
        <v>45627</v>
      </c>
      <c r="C26" s="60">
        <v>45697</v>
      </c>
      <c r="D26" s="61">
        <v>168413.43</v>
      </c>
      <c r="E26" s="61">
        <f t="shared" si="0"/>
        <v>147731.07894736843</v>
      </c>
      <c r="F26" s="61"/>
      <c r="G26" s="61"/>
      <c r="H26" s="61"/>
      <c r="I26" s="203">
        <f>Table8[[#This Row],[الاجمالي بدون الضريبه14%]]-Table8[[#This Row],[القاهرة ]]-Table8[[#This Row],[المنصورة ]]-Table8[[#This Row],[القانونيه ]]</f>
        <v>147731.07894736843</v>
      </c>
      <c r="J26" s="61">
        <f t="shared" si="1"/>
        <v>20682.351052631566</v>
      </c>
      <c r="K26" s="61">
        <f t="shared" si="2"/>
        <v>4431.9323684210531</v>
      </c>
      <c r="L26" s="61">
        <f t="shared" si="3"/>
        <v>163981.49763157894</v>
      </c>
      <c r="M26" s="270">
        <v>163981.49763157894</v>
      </c>
      <c r="N26" s="181"/>
      <c r="O26" s="62">
        <f t="shared" si="4"/>
        <v>0</v>
      </c>
      <c r="P26" s="63"/>
      <c r="Q26" s="134">
        <f>IFERROR((Table8[[#This Row],[تاريخ الاستحقاق]]-Table8[[#This Row],[تاريخ اصدار الفاتورة ]]),0)</f>
        <v>-45697</v>
      </c>
      <c r="R26" s="133" t="str">
        <f ca="1">IF(Table8[[#This Row],[تاريخ الاستحقاق]]&lt;$S$1,"مستحق","غير مستحق")</f>
        <v>مستحق</v>
      </c>
      <c r="S26" s="135">
        <f ca="1">Table8[[#This Row],[تاريخ الاستحقاق]]-$S$1</f>
        <v>-46006</v>
      </c>
      <c r="T26" s="136"/>
      <c r="U26" s="184">
        <f>Table8[[#This Row],[المبلغ المسدد]]/1.14</f>
        <v>143843.41897506925</v>
      </c>
      <c r="V26" s="220"/>
    </row>
    <row r="27" spans="1:22">
      <c r="A27" s="58" t="s">
        <v>80</v>
      </c>
      <c r="B27" s="59">
        <v>45658</v>
      </c>
      <c r="C27" s="60">
        <v>45697</v>
      </c>
      <c r="D27" s="61">
        <v>76472.11</v>
      </c>
      <c r="E27" s="61">
        <f t="shared" si="0"/>
        <v>67080.798245614045</v>
      </c>
      <c r="F27" s="61"/>
      <c r="G27" s="61"/>
      <c r="H27" s="61"/>
      <c r="I27" s="203">
        <f>Table8[[#This Row],[الاجمالي بدون الضريبه14%]]-Table8[[#This Row],[القاهرة ]]-Table8[[#This Row],[المنصورة ]]-Table8[[#This Row],[القانونيه ]]</f>
        <v>67080.798245614045</v>
      </c>
      <c r="J27" s="61">
        <f t="shared" si="1"/>
        <v>9391.3117543859553</v>
      </c>
      <c r="K27" s="61">
        <f t="shared" si="2"/>
        <v>2012.4239473684213</v>
      </c>
      <c r="L27" s="61">
        <f t="shared" si="3"/>
        <v>74459.686052631572</v>
      </c>
      <c r="M27" s="270">
        <v>73118.070087719287</v>
      </c>
      <c r="N27" s="181">
        <f>-Table8[[#This Row],[الاجمالي بدون الضريبه14%]]*0.02</f>
        <v>-1341.615964912281</v>
      </c>
      <c r="O27" s="62">
        <f t="shared" si="4"/>
        <v>-4.5474735088646412E-12</v>
      </c>
      <c r="P27" s="63"/>
      <c r="Q27" s="134">
        <f>IFERROR((Table8[[#This Row],[تاريخ الاستحقاق]]-Table8[[#This Row],[تاريخ اصدار الفاتورة ]]),0)</f>
        <v>-45697</v>
      </c>
      <c r="R27" s="133" t="str">
        <f ca="1">IF(Table8[[#This Row],[تاريخ الاستحقاق]]&lt;$S$1,"مستحق","غير مستحق")</f>
        <v>مستحق</v>
      </c>
      <c r="S27" s="135">
        <f ca="1">Table8[[#This Row],[تاريخ الاستحقاق]]-$S$1</f>
        <v>-46006</v>
      </c>
      <c r="T27" s="136"/>
      <c r="U27" s="184">
        <f>Table8[[#This Row],[المبلغ المسدد]]/1.14</f>
        <v>64138.657971683591</v>
      </c>
      <c r="V27" s="220"/>
    </row>
    <row r="28" spans="1:22">
      <c r="A28" s="58" t="s">
        <v>83</v>
      </c>
      <c r="B28" s="59">
        <v>45658</v>
      </c>
      <c r="C28" s="60">
        <v>45698</v>
      </c>
      <c r="D28" s="61">
        <v>140469.98000000001</v>
      </c>
      <c r="E28" s="61">
        <f t="shared" si="0"/>
        <v>123219.28070175441</v>
      </c>
      <c r="F28" s="61"/>
      <c r="G28" s="61"/>
      <c r="H28" s="61"/>
      <c r="I28" s="203">
        <f>Table8[[#This Row],[الاجمالي بدون الضريبه14%]]-Table8[[#This Row],[القاهرة ]]-Table8[[#This Row],[المنصورة ]]-Table8[[#This Row],[القانونيه ]]</f>
        <v>123219.28070175441</v>
      </c>
      <c r="J28" s="61">
        <f t="shared" si="1"/>
        <v>17250.699298245599</v>
      </c>
      <c r="K28" s="61">
        <f t="shared" si="2"/>
        <v>3696.5784210526322</v>
      </c>
      <c r="L28" s="61">
        <f t="shared" si="3"/>
        <v>136773.40157894738</v>
      </c>
      <c r="M28" s="270">
        <v>134309.01596491228</v>
      </c>
      <c r="N28" s="181">
        <f>-Table8[[#This Row],[الاجمالي بدون الضريبه14%]]*0.02</f>
        <v>-2464.3856140350881</v>
      </c>
      <c r="O28" s="62">
        <f t="shared" si="4"/>
        <v>-1.0004441719502211E-11</v>
      </c>
      <c r="P28" s="63"/>
      <c r="Q28" s="134">
        <f>IFERROR((Table8[[#This Row],[تاريخ الاستحقاق]]-Table8[[#This Row],[تاريخ اصدار الفاتورة ]]),0)</f>
        <v>-45698</v>
      </c>
      <c r="R28" s="133" t="str">
        <f ca="1">IF(Table8[[#This Row],[تاريخ الاستحقاق]]&lt;$S$1,"مستحق","غير مستحق")</f>
        <v>مستحق</v>
      </c>
      <c r="S28" s="135">
        <f ca="1">Table8[[#This Row],[تاريخ الاستحقاق]]-$S$1</f>
        <v>-46006</v>
      </c>
      <c r="T28" s="136"/>
      <c r="U28" s="184">
        <f>Table8[[#This Row],[المبلغ المسدد]]/1.14</f>
        <v>117814.92628501078</v>
      </c>
      <c r="V28" s="220"/>
    </row>
    <row r="29" spans="1:22">
      <c r="A29" s="58" t="s">
        <v>32</v>
      </c>
      <c r="B29" s="59">
        <v>45658</v>
      </c>
      <c r="C29" s="60">
        <v>45700</v>
      </c>
      <c r="D29" s="61">
        <v>75749.22</v>
      </c>
      <c r="E29" s="61">
        <f t="shared" si="0"/>
        <v>66446.68421052632</v>
      </c>
      <c r="F29" s="61"/>
      <c r="G29" s="61"/>
      <c r="H29" s="61"/>
      <c r="I29" s="203">
        <f>Table8[[#This Row],[الاجمالي بدون الضريبه14%]]-Table8[[#This Row],[القاهرة ]]-Table8[[#This Row],[المنصورة ]]-Table8[[#This Row],[القانونيه ]]</f>
        <v>66446.68421052632</v>
      </c>
      <c r="J29" s="61">
        <f t="shared" si="1"/>
        <v>9302.5357894736808</v>
      </c>
      <c r="K29" s="61">
        <f t="shared" si="2"/>
        <v>1993.4005263157896</v>
      </c>
      <c r="L29" s="61">
        <f t="shared" si="3"/>
        <v>73755.819473684212</v>
      </c>
      <c r="M29" s="270">
        <v>73755.819473684212</v>
      </c>
      <c r="N29" s="181"/>
      <c r="O29" s="62">
        <f t="shared" si="4"/>
        <v>0</v>
      </c>
      <c r="P29" s="63"/>
      <c r="Q29" s="134">
        <f>IFERROR((Table8[[#This Row],[تاريخ الاستحقاق]]-Table8[[#This Row],[تاريخ اصدار الفاتورة ]]),0)</f>
        <v>-45700</v>
      </c>
      <c r="R29" s="133" t="str">
        <f ca="1">IF(Table8[[#This Row],[تاريخ الاستحقاق]]&lt;$S$1,"مستحق","غير مستحق")</f>
        <v>مستحق</v>
      </c>
      <c r="S29" s="135">
        <f ca="1">Table8[[#This Row],[تاريخ الاستحقاق]]-$S$1</f>
        <v>-46006</v>
      </c>
      <c r="T29" s="136"/>
      <c r="U29" s="184">
        <f>Table8[[#This Row],[المبلغ المسدد]]/1.14</f>
        <v>64698.087257617735</v>
      </c>
      <c r="V29" s="220"/>
    </row>
    <row r="30" spans="1:22">
      <c r="A30" s="58" t="s">
        <v>372</v>
      </c>
      <c r="B30" s="59">
        <v>45658</v>
      </c>
      <c r="C30" s="60">
        <v>45705</v>
      </c>
      <c r="D30" s="61">
        <v>71142.720000000001</v>
      </c>
      <c r="E30" s="61">
        <f t="shared" si="0"/>
        <v>62405.894736842114</v>
      </c>
      <c r="F30" s="61"/>
      <c r="G30" s="61"/>
      <c r="H30" s="61"/>
      <c r="I30" s="203">
        <f>Table8[[#This Row],[الاجمالي بدون الضريبه14%]]-Table8[[#This Row],[القاهرة ]]-Table8[[#This Row],[المنصورة ]]-Table8[[#This Row],[القانونيه ]]</f>
        <v>62405.894736842114</v>
      </c>
      <c r="J30" s="61">
        <f t="shared" si="1"/>
        <v>8736.8252631578871</v>
      </c>
      <c r="K30" s="61">
        <f t="shared" si="2"/>
        <v>1872.1768421052634</v>
      </c>
      <c r="L30" s="61">
        <f t="shared" si="3"/>
        <v>69270.543157894732</v>
      </c>
      <c r="M30" s="270">
        <v>69270.543157894732</v>
      </c>
      <c r="N30" s="181"/>
      <c r="O30" s="62">
        <f t="shared" si="4"/>
        <v>0</v>
      </c>
      <c r="P30" s="63"/>
      <c r="Q30" s="134">
        <f>IFERROR((Table8[[#This Row],[تاريخ الاستحقاق]]-Table8[[#This Row],[تاريخ اصدار الفاتورة ]]),0)</f>
        <v>-45705</v>
      </c>
      <c r="R30" s="133" t="str">
        <f ca="1">IF(Table8[[#This Row],[تاريخ الاستحقاق]]&lt;$S$1,"مستحق","غير مستحق")</f>
        <v>مستحق</v>
      </c>
      <c r="S30" s="135">
        <f ca="1">Table8[[#This Row],[تاريخ الاستحقاق]]-$S$1</f>
        <v>-46006</v>
      </c>
      <c r="T30" s="136"/>
      <c r="U30" s="184">
        <f>Table8[[#This Row],[المبلغ المسدد]]/1.14</f>
        <v>60763.634349030472</v>
      </c>
      <c r="V30" s="220"/>
    </row>
    <row r="31" spans="1:22">
      <c r="A31" s="58" t="s">
        <v>75</v>
      </c>
      <c r="B31" s="59">
        <v>45658</v>
      </c>
      <c r="C31" s="60">
        <v>45708</v>
      </c>
      <c r="D31" s="61">
        <v>156782.6</v>
      </c>
      <c r="E31" s="61">
        <f t="shared" si="0"/>
        <v>137528.59649122809</v>
      </c>
      <c r="F31" s="61"/>
      <c r="G31" s="61"/>
      <c r="H31" s="61"/>
      <c r="I31" s="203">
        <f>Table8[[#This Row],[الاجمالي بدون الضريبه14%]]-Table8[[#This Row],[القاهرة ]]-Table8[[#This Row],[المنصورة ]]-Table8[[#This Row],[القانونيه ]]</f>
        <v>137528.59649122809</v>
      </c>
      <c r="J31" s="61">
        <f t="shared" si="1"/>
        <v>19254.003508771915</v>
      </c>
      <c r="K31" s="61">
        <f t="shared" si="2"/>
        <v>4125.8578947368424</v>
      </c>
      <c r="L31" s="61">
        <f t="shared" si="3"/>
        <v>152656.74210526317</v>
      </c>
      <c r="M31" s="270">
        <v>152656.75</v>
      </c>
      <c r="N31" s="181"/>
      <c r="O31" s="62">
        <f t="shared" si="4"/>
        <v>7.8947368310764432E-3</v>
      </c>
      <c r="P31" s="63"/>
      <c r="Q31" s="134">
        <f>IFERROR((Table8[[#This Row],[تاريخ الاستحقاق]]-Table8[[#This Row],[تاريخ اصدار الفاتورة ]]),0)</f>
        <v>-45708</v>
      </c>
      <c r="R31" s="133" t="str">
        <f ca="1">IF(Table8[[#This Row],[تاريخ الاستحقاق]]&lt;$S$1,"مستحق","غير مستحق")</f>
        <v>مستحق</v>
      </c>
      <c r="S31" s="135">
        <f ca="1">Table8[[#This Row],[تاريخ الاستحقاق]]-$S$1</f>
        <v>-46006</v>
      </c>
      <c r="T31" s="136"/>
      <c r="U31" s="184">
        <f>Table8[[#This Row],[المبلغ المسدد]]/1.14</f>
        <v>133909.4298245614</v>
      </c>
      <c r="V31" s="220"/>
    </row>
    <row r="32" spans="1:22">
      <c r="A32" s="58" t="s">
        <v>187</v>
      </c>
      <c r="B32" s="59">
        <v>45658</v>
      </c>
      <c r="C32" s="60">
        <v>45708</v>
      </c>
      <c r="D32" s="61">
        <v>197277</v>
      </c>
      <c r="E32" s="61">
        <f t="shared" si="0"/>
        <v>173050.00000000003</v>
      </c>
      <c r="F32" s="61"/>
      <c r="G32" s="61"/>
      <c r="H32" s="61"/>
      <c r="I32" s="203">
        <f>Table8[[#This Row],[الاجمالي بدون الضريبه14%]]-Table8[[#This Row],[القاهرة ]]-Table8[[#This Row],[المنصورة ]]-Table8[[#This Row],[القانونيه ]]</f>
        <v>173050.00000000003</v>
      </c>
      <c r="J32" s="61">
        <f t="shared" si="1"/>
        <v>24226.999999999971</v>
      </c>
      <c r="K32" s="61">
        <f t="shared" si="2"/>
        <v>5191.5000000000009</v>
      </c>
      <c r="L32" s="61">
        <f t="shared" si="3"/>
        <v>192085.5</v>
      </c>
      <c r="M32" s="270">
        <v>192085.5</v>
      </c>
      <c r="N32" s="181"/>
      <c r="O32" s="62">
        <f t="shared" si="4"/>
        <v>0</v>
      </c>
      <c r="P32" s="63"/>
      <c r="Q32" s="134">
        <f>IFERROR((Table8[[#This Row],[تاريخ الاستحقاق]]-Table8[[#This Row],[تاريخ اصدار الفاتورة ]]),0)</f>
        <v>-45708</v>
      </c>
      <c r="R32" s="133" t="str">
        <f ca="1">IF(Table8[[#This Row],[تاريخ الاستحقاق]]&lt;$S$1,"مستحق","غير مستحق")</f>
        <v>مستحق</v>
      </c>
      <c r="S32" s="135">
        <f ca="1">Table8[[#This Row],[تاريخ الاستحقاق]]-$S$1</f>
        <v>-46006</v>
      </c>
      <c r="T32" s="136"/>
      <c r="U32" s="184">
        <f>Table8[[#This Row],[المبلغ المسدد]]/1.14</f>
        <v>168496.05263157896</v>
      </c>
      <c r="V32" s="220"/>
    </row>
    <row r="33" spans="1:22">
      <c r="A33" s="58" t="s">
        <v>93</v>
      </c>
      <c r="B33" s="59">
        <v>45658</v>
      </c>
      <c r="C33" s="60">
        <v>45711</v>
      </c>
      <c r="D33" s="61">
        <v>31904.685924000005</v>
      </c>
      <c r="E33" s="61">
        <f t="shared" si="0"/>
        <v>27986.566600000006</v>
      </c>
      <c r="F33" s="61"/>
      <c r="G33" s="61"/>
      <c r="H33" s="61"/>
      <c r="I33" s="203">
        <f>Table8[[#This Row],[الاجمالي بدون الضريبه14%]]-Table8[[#This Row],[القاهرة ]]-Table8[[#This Row],[المنصورة ]]-Table8[[#This Row],[القانونيه ]]</f>
        <v>27986.566600000006</v>
      </c>
      <c r="J33" s="61">
        <f t="shared" si="1"/>
        <v>3918.1193239999993</v>
      </c>
      <c r="K33" s="61">
        <f t="shared" si="2"/>
        <v>839.5969980000001</v>
      </c>
      <c r="L33" s="61">
        <f t="shared" si="3"/>
        <v>31065.088926000004</v>
      </c>
      <c r="M33" s="270">
        <v>31065.088926000004</v>
      </c>
      <c r="N33" s="181"/>
      <c r="O33" s="62">
        <f t="shared" si="4"/>
        <v>0</v>
      </c>
      <c r="P33" s="63"/>
      <c r="Q33" s="134">
        <f>IFERROR((Table8[[#This Row],[تاريخ الاستحقاق]]-Table8[[#This Row],[تاريخ اصدار الفاتورة ]]),0)</f>
        <v>-45711</v>
      </c>
      <c r="R33" s="133" t="str">
        <f ca="1">IF(Table8[[#This Row],[تاريخ الاستحقاق]]&lt;$S$1,"مستحق","غير مستحق")</f>
        <v>مستحق</v>
      </c>
      <c r="S33" s="135">
        <f ca="1">Table8[[#This Row],[تاريخ الاستحقاق]]-$S$1</f>
        <v>-46006</v>
      </c>
      <c r="T33" s="136"/>
      <c r="U33" s="184">
        <f>Table8[[#This Row],[المبلغ المسدد]]/1.14</f>
        <v>27250.078005263164</v>
      </c>
      <c r="V33" s="220"/>
    </row>
    <row r="34" spans="1:22">
      <c r="A34" s="58" t="s">
        <v>85</v>
      </c>
      <c r="B34" s="59">
        <v>45658</v>
      </c>
      <c r="C34" s="60">
        <v>45711</v>
      </c>
      <c r="D34" s="61">
        <v>156576.51999999999</v>
      </c>
      <c r="E34" s="61">
        <f t="shared" si="0"/>
        <v>137347.82456140351</v>
      </c>
      <c r="F34" s="61"/>
      <c r="G34" s="61"/>
      <c r="H34" s="61"/>
      <c r="I34" s="203">
        <f>Table8[[#This Row],[الاجمالي بدون الضريبه14%]]-Table8[[#This Row],[القاهرة ]]-Table8[[#This Row],[المنصورة ]]-Table8[[#This Row],[القانونيه ]]</f>
        <v>137347.82456140351</v>
      </c>
      <c r="J34" s="61">
        <f t="shared" si="1"/>
        <v>19228.695438596478</v>
      </c>
      <c r="K34" s="61">
        <f t="shared" si="2"/>
        <v>4120.4347368421049</v>
      </c>
      <c r="L34" s="61">
        <f t="shared" si="3"/>
        <v>152456.08526315787</v>
      </c>
      <c r="M34" s="62">
        <v>152456.08526315787</v>
      </c>
      <c r="N34" s="181"/>
      <c r="O34" s="62">
        <f t="shared" si="4"/>
        <v>0</v>
      </c>
      <c r="P34" s="63"/>
      <c r="Q34" s="134">
        <f>IFERROR((Table8[[#This Row],[تاريخ الاستحقاق]]-Table8[[#This Row],[تاريخ اصدار الفاتورة ]]),0)</f>
        <v>-45711</v>
      </c>
      <c r="R34" s="133" t="str">
        <f ca="1">IF(Table8[[#This Row],[تاريخ الاستحقاق]]&lt;$S$1,"مستحق","غير مستحق")</f>
        <v>مستحق</v>
      </c>
      <c r="S34" s="135">
        <f ca="1">Table8[[#This Row],[تاريخ الاستحقاق]]-$S$1</f>
        <v>-46006</v>
      </c>
      <c r="T34" s="136"/>
      <c r="U34" s="184">
        <f>Table8[[#This Row],[المبلغ المسدد]]/1.14</f>
        <v>133733.40812557709</v>
      </c>
      <c r="V34" s="220"/>
    </row>
    <row r="35" spans="1:22" s="264" customFormat="1">
      <c r="A35" s="255" t="s">
        <v>213</v>
      </c>
      <c r="B35" s="59">
        <v>45658</v>
      </c>
      <c r="C35" s="60">
        <v>45712</v>
      </c>
      <c r="D35" s="256">
        <v>135090</v>
      </c>
      <c r="E35" s="256">
        <f t="shared" si="0"/>
        <v>118500.00000000001</v>
      </c>
      <c r="F35" s="256"/>
      <c r="G35" s="256"/>
      <c r="H35" s="256"/>
      <c r="I35" s="256">
        <f>Table8[[#This Row],[الاجمالي بدون الضريبه14%]]-Table8[[#This Row],[القاهرة ]]-Table8[[#This Row],[المنصورة ]]-Table8[[#This Row],[القانونيه ]]</f>
        <v>118500.00000000001</v>
      </c>
      <c r="J35" s="256">
        <f t="shared" si="1"/>
        <v>16589.999999999985</v>
      </c>
      <c r="K35" s="256">
        <f t="shared" si="2"/>
        <v>3555.0000000000005</v>
      </c>
      <c r="L35" s="256">
        <f t="shared" si="3"/>
        <v>131535</v>
      </c>
      <c r="M35" s="271">
        <v>131535</v>
      </c>
      <c r="N35" s="181"/>
      <c r="O35" s="181">
        <f t="shared" si="4"/>
        <v>0</v>
      </c>
      <c r="P35" s="257"/>
      <c r="Q35" s="258">
        <f>IFERROR((Table8[[#This Row],[تاريخ الاستحقاق]]-Table8[[#This Row],[تاريخ اصدار الفاتورة ]]),0)</f>
        <v>-45712</v>
      </c>
      <c r="R35" s="259" t="str">
        <f ca="1">IF(Table8[[#This Row],[تاريخ الاستحقاق]]&lt;$S$1,"مستحق","غير مستحق")</f>
        <v>مستحق</v>
      </c>
      <c r="S35" s="260">
        <f ca="1">Table8[[#This Row],[تاريخ الاستحقاق]]-$S$1</f>
        <v>-46006</v>
      </c>
      <c r="T35" s="261"/>
      <c r="U35" s="262">
        <f>Table8[[#This Row],[المبلغ المسدد]]/1.14</f>
        <v>115381.57894736843</v>
      </c>
      <c r="V35" s="263"/>
    </row>
    <row r="36" spans="1:22" s="264" customFormat="1">
      <c r="A36" s="255" t="s">
        <v>958</v>
      </c>
      <c r="B36" s="265">
        <v>45658</v>
      </c>
      <c r="C36" s="266">
        <v>45712</v>
      </c>
      <c r="D36" s="256">
        <v>22800</v>
      </c>
      <c r="E36" s="256">
        <f t="shared" ref="E36:E67" si="5">D36/1.14</f>
        <v>20000</v>
      </c>
      <c r="F36" s="61"/>
      <c r="G36" s="61"/>
      <c r="H36" s="61"/>
      <c r="I36" s="203">
        <f>Table8[[#This Row],[الاجمالي بدون الضريبه14%]]-Table8[[#This Row],[القاهرة ]]-Table8[[#This Row],[المنصورة ]]-Table8[[#This Row],[القانونيه ]]</f>
        <v>20000</v>
      </c>
      <c r="J36" s="256">
        <f t="shared" ref="J36:J67" si="6">D36-E36</f>
        <v>2800</v>
      </c>
      <c r="K36" s="256">
        <f t="shared" ref="K36:K67" si="7">E36*$K$3</f>
        <v>600</v>
      </c>
      <c r="L36" s="256">
        <f t="shared" ref="L36:L67" si="8">D36-K36</f>
        <v>22200</v>
      </c>
      <c r="M36" s="271">
        <v>22200</v>
      </c>
      <c r="N36" s="181"/>
      <c r="O36" s="181">
        <f t="shared" ref="O36:O67" si="9">M36-L36-N36</f>
        <v>0</v>
      </c>
      <c r="P36" s="257"/>
      <c r="Q36" s="258">
        <f>IFERROR((Table8[[#This Row],[تاريخ الاستحقاق]]-Table8[[#This Row],[تاريخ اصدار الفاتورة ]]),0)</f>
        <v>-45712</v>
      </c>
      <c r="R36" s="259" t="str">
        <f ca="1">IF(Table8[[#This Row],[تاريخ الاستحقاق]]&lt;$S$1,"مستحق","غير مستحق")</f>
        <v>مستحق</v>
      </c>
      <c r="S36" s="260">
        <f ca="1">Table8[[#This Row],[تاريخ الاستحقاق]]-$S$1</f>
        <v>-46006</v>
      </c>
      <c r="T36" s="261"/>
      <c r="U36" s="262">
        <f>Table8[[#This Row],[المبلغ المسدد]]/1.14</f>
        <v>19473.684210526317</v>
      </c>
      <c r="V36" s="263"/>
    </row>
    <row r="37" spans="1:22">
      <c r="A37" s="58" t="s">
        <v>426</v>
      </c>
      <c r="B37" s="59">
        <v>45658</v>
      </c>
      <c r="C37" s="60">
        <v>45720</v>
      </c>
      <c r="D37" s="61">
        <v>41256.019999999997</v>
      </c>
      <c r="E37" s="61">
        <f t="shared" si="5"/>
        <v>36189.491228070176</v>
      </c>
      <c r="F37" s="61"/>
      <c r="G37" s="61"/>
      <c r="H37" s="61"/>
      <c r="I37" s="203">
        <f>Table8[[#This Row],[الاجمالي بدون الضريبه14%]]-Table8[[#This Row],[القاهرة ]]-Table8[[#This Row],[المنصورة ]]-Table8[[#This Row],[القانونيه ]]</f>
        <v>36189.491228070176</v>
      </c>
      <c r="J37" s="61">
        <f t="shared" si="6"/>
        <v>5066.5287719298212</v>
      </c>
      <c r="K37" s="61">
        <f t="shared" si="7"/>
        <v>1085.6847368421052</v>
      </c>
      <c r="L37" s="61">
        <f t="shared" si="8"/>
        <v>40170.335263157889</v>
      </c>
      <c r="M37" s="62">
        <v>40170.335263157889</v>
      </c>
      <c r="N37" s="181"/>
      <c r="O37" s="62">
        <f t="shared" si="9"/>
        <v>0</v>
      </c>
      <c r="P37" s="63"/>
      <c r="Q37" s="134">
        <f>IFERROR((Table8[[#This Row],[تاريخ الاستحقاق]]-Table8[[#This Row],[تاريخ اصدار الفاتورة ]]),0)</f>
        <v>-45720</v>
      </c>
      <c r="R37" s="133" t="str">
        <f ca="1">IF(Table8[[#This Row],[تاريخ الاستحقاق]]&lt;$S$1,"مستحق","غير مستحق")</f>
        <v>مستحق</v>
      </c>
      <c r="S37" s="135">
        <f ca="1">Table8[[#This Row],[تاريخ الاستحقاق]]-$S$1</f>
        <v>-46006</v>
      </c>
      <c r="T37" s="136"/>
      <c r="U37" s="184">
        <f>Table8[[#This Row],[المبلغ المسدد]]/1.14</f>
        <v>35237.136195752537</v>
      </c>
      <c r="V37" s="220"/>
    </row>
    <row r="38" spans="1:22">
      <c r="A38" s="58" t="s">
        <v>396</v>
      </c>
      <c r="B38" s="59">
        <v>45658</v>
      </c>
      <c r="C38" s="60">
        <v>45720</v>
      </c>
      <c r="D38" s="61">
        <v>167226.57</v>
      </c>
      <c r="E38" s="61">
        <f t="shared" si="5"/>
        <v>146689.97368421053</v>
      </c>
      <c r="F38" s="61"/>
      <c r="G38" s="61"/>
      <c r="H38" s="61"/>
      <c r="I38" s="203">
        <f>Table8[[#This Row],[الاجمالي بدون الضريبه14%]]-Table8[[#This Row],[القاهرة ]]-Table8[[#This Row],[المنصورة ]]-Table8[[#This Row],[القانونيه ]]</f>
        <v>146689.97368421053</v>
      </c>
      <c r="J38" s="61">
        <f t="shared" si="6"/>
        <v>20536.596315789473</v>
      </c>
      <c r="K38" s="61">
        <f t="shared" si="7"/>
        <v>4400.6992105263162</v>
      </c>
      <c r="L38" s="61">
        <f t="shared" si="8"/>
        <v>162825.8707894737</v>
      </c>
      <c r="M38" s="270">
        <v>162825.8707894737</v>
      </c>
      <c r="N38" s="181"/>
      <c r="O38" s="62">
        <f t="shared" si="9"/>
        <v>0</v>
      </c>
      <c r="P38" s="63"/>
      <c r="Q38" s="134">
        <f>IFERROR((Table8[[#This Row],[تاريخ الاستحقاق]]-Table8[[#This Row],[تاريخ اصدار الفاتورة ]]),0)</f>
        <v>-45720</v>
      </c>
      <c r="R38" s="133" t="str">
        <f ca="1">IF(Table8[[#This Row],[تاريخ الاستحقاق]]&lt;$S$1,"مستحق","غير مستحق")</f>
        <v>مستحق</v>
      </c>
      <c r="S38" s="135">
        <f ca="1">Table8[[#This Row],[تاريخ الاستحقاق]]-$S$1</f>
        <v>-46006</v>
      </c>
      <c r="T38" s="136"/>
      <c r="U38" s="184">
        <f>Table8[[#This Row],[المبلغ المسدد]]/1.14</f>
        <v>142829.7112188366</v>
      </c>
      <c r="V38" s="220"/>
    </row>
    <row r="39" spans="1:22">
      <c r="A39" s="58" t="s">
        <v>388</v>
      </c>
      <c r="B39" s="59">
        <v>45658</v>
      </c>
      <c r="C39" s="60">
        <v>45722</v>
      </c>
      <c r="D39" s="61">
        <v>7296</v>
      </c>
      <c r="E39" s="61">
        <f t="shared" si="5"/>
        <v>6400.0000000000009</v>
      </c>
      <c r="F39" s="61"/>
      <c r="G39" s="61"/>
      <c r="H39" s="61"/>
      <c r="I39" s="203">
        <f>Table8[[#This Row],[الاجمالي بدون الضريبه14%]]-Table8[[#This Row],[القاهرة ]]-Table8[[#This Row],[المنصورة ]]-Table8[[#This Row],[القانونيه ]]</f>
        <v>6400.0000000000009</v>
      </c>
      <c r="J39" s="61">
        <f t="shared" si="6"/>
        <v>895.99999999999909</v>
      </c>
      <c r="K39" s="61">
        <f t="shared" si="7"/>
        <v>192.00000000000003</v>
      </c>
      <c r="L39" s="61">
        <f t="shared" si="8"/>
        <v>7104</v>
      </c>
      <c r="M39" s="62">
        <v>7104</v>
      </c>
      <c r="N39" s="181"/>
      <c r="O39" s="62">
        <f t="shared" si="9"/>
        <v>0</v>
      </c>
      <c r="P39" s="63"/>
      <c r="Q39" s="134">
        <f>IFERROR((Table8[[#This Row],[تاريخ الاستحقاق]]-Table8[[#This Row],[تاريخ اصدار الفاتورة ]]),0)</f>
        <v>-45722</v>
      </c>
      <c r="R39" s="133" t="str">
        <f ca="1">IF(Table8[[#This Row],[تاريخ الاستحقاق]]&lt;$S$1,"مستحق","غير مستحق")</f>
        <v>مستحق</v>
      </c>
      <c r="S39" s="135">
        <f ca="1">Table8[[#This Row],[تاريخ الاستحقاق]]-$S$1</f>
        <v>-46006</v>
      </c>
      <c r="T39" s="136"/>
      <c r="U39" s="184">
        <f>Table8[[#This Row],[المبلغ المسدد]]/1.14</f>
        <v>6231.5789473684217</v>
      </c>
      <c r="V39" s="220"/>
    </row>
    <row r="40" spans="1:22">
      <c r="A40" s="58" t="s">
        <v>337</v>
      </c>
      <c r="B40" s="59">
        <v>45658</v>
      </c>
      <c r="C40" s="60">
        <v>45722</v>
      </c>
      <c r="D40" s="61">
        <v>31806</v>
      </c>
      <c r="E40" s="61">
        <f t="shared" si="5"/>
        <v>27900.000000000004</v>
      </c>
      <c r="F40" s="61"/>
      <c r="G40" s="61"/>
      <c r="H40" s="61"/>
      <c r="I40" s="203">
        <f>Table8[[#This Row],[الاجمالي بدون الضريبه14%]]-Table8[[#This Row],[القاهرة ]]-Table8[[#This Row],[المنصورة ]]-Table8[[#This Row],[القانونيه ]]</f>
        <v>27900.000000000004</v>
      </c>
      <c r="J40" s="61">
        <f t="shared" si="6"/>
        <v>3905.9999999999964</v>
      </c>
      <c r="K40" s="61">
        <f t="shared" si="7"/>
        <v>837.00000000000011</v>
      </c>
      <c r="L40" s="61">
        <f t="shared" si="8"/>
        <v>30969</v>
      </c>
      <c r="M40" s="62">
        <v>30969</v>
      </c>
      <c r="N40" s="181"/>
      <c r="O40" s="62">
        <f t="shared" si="9"/>
        <v>0</v>
      </c>
      <c r="P40" s="63"/>
      <c r="Q40" s="134">
        <f>IFERROR((Table8[[#This Row],[تاريخ الاستحقاق]]-Table8[[#This Row],[تاريخ اصدار الفاتورة ]]),0)</f>
        <v>-45722</v>
      </c>
      <c r="R40" s="133" t="str">
        <f ca="1">IF(Table8[[#This Row],[تاريخ الاستحقاق]]&lt;$S$1,"مستحق","غير مستحق")</f>
        <v>مستحق</v>
      </c>
      <c r="S40" s="135">
        <f ca="1">Table8[[#This Row],[تاريخ الاستحقاق]]-$S$1</f>
        <v>-46006</v>
      </c>
      <c r="T40" s="136"/>
      <c r="U40" s="184">
        <f>Table8[[#This Row],[المبلغ المسدد]]/1.14</f>
        <v>27165.789473684214</v>
      </c>
      <c r="V40" s="220"/>
    </row>
    <row r="41" spans="1:22">
      <c r="A41" s="58" t="s">
        <v>80</v>
      </c>
      <c r="B41" s="59">
        <v>45689</v>
      </c>
      <c r="C41" s="60">
        <v>45724</v>
      </c>
      <c r="D41" s="61">
        <v>73420.25</v>
      </c>
      <c r="E41" s="61">
        <f t="shared" si="5"/>
        <v>64403.728070175443</v>
      </c>
      <c r="F41" s="61"/>
      <c r="G41" s="61"/>
      <c r="H41" s="61"/>
      <c r="I41" s="203">
        <f>Table8[[#This Row],[الاجمالي بدون الضريبه14%]]-Table8[[#This Row],[القاهرة ]]-Table8[[#This Row],[المنصورة ]]-Table8[[#This Row],[القانونيه ]]</f>
        <v>64403.728070175443</v>
      </c>
      <c r="J41" s="61">
        <f t="shared" si="6"/>
        <v>9016.5219298245574</v>
      </c>
      <c r="K41" s="61">
        <f t="shared" si="7"/>
        <v>1932.1118421052631</v>
      </c>
      <c r="L41" s="61">
        <f t="shared" si="8"/>
        <v>71488.138157894733</v>
      </c>
      <c r="M41" s="270">
        <v>70200.063596491222</v>
      </c>
      <c r="N41" s="181">
        <f>-Table8[[#This Row],[الاجمالي بدون الضريبه14%]]*0.02</f>
        <v>-1288.0745614035088</v>
      </c>
      <c r="O41" s="62">
        <f t="shared" si="9"/>
        <v>-2.5011104298755527E-12</v>
      </c>
      <c r="P41" s="63"/>
      <c r="Q41" s="134">
        <f>IFERROR((Table8[[#This Row],[تاريخ الاستحقاق]]-Table8[[#This Row],[تاريخ اصدار الفاتورة ]]),0)</f>
        <v>-45724</v>
      </c>
      <c r="R41" s="133" t="str">
        <f ca="1">IF(Table8[[#This Row],[تاريخ الاستحقاق]]&lt;$S$1,"مستحق","غير مستحق")</f>
        <v>مستحق</v>
      </c>
      <c r="S41" s="135">
        <f ca="1">Table8[[#This Row],[تاريخ الاستحقاق]]-$S$1</f>
        <v>-46006</v>
      </c>
      <c r="T41" s="136"/>
      <c r="U41" s="184">
        <f>Table8[[#This Row],[المبلغ المسدد]]/1.14</f>
        <v>61579.00315481687</v>
      </c>
      <c r="V41" s="220"/>
    </row>
    <row r="42" spans="1:22">
      <c r="A42" s="58" t="s">
        <v>187</v>
      </c>
      <c r="B42" s="59">
        <v>45689</v>
      </c>
      <c r="C42" s="60">
        <v>45725</v>
      </c>
      <c r="D42" s="61">
        <v>156180</v>
      </c>
      <c r="E42" s="61">
        <f t="shared" si="5"/>
        <v>137000</v>
      </c>
      <c r="F42" s="61"/>
      <c r="G42" s="61"/>
      <c r="H42" s="61"/>
      <c r="I42" s="203">
        <f>Table8[[#This Row],[الاجمالي بدون الضريبه14%]]-Table8[[#This Row],[القاهرة ]]-Table8[[#This Row],[المنصورة ]]-Table8[[#This Row],[القانونيه ]]</f>
        <v>137000</v>
      </c>
      <c r="J42" s="61">
        <f t="shared" si="6"/>
        <v>19180</v>
      </c>
      <c r="K42" s="61">
        <f t="shared" si="7"/>
        <v>4110</v>
      </c>
      <c r="L42" s="61">
        <f t="shared" si="8"/>
        <v>152070</v>
      </c>
      <c r="M42" s="270">
        <v>152070</v>
      </c>
      <c r="N42" s="181"/>
      <c r="O42" s="62">
        <f t="shared" si="9"/>
        <v>0</v>
      </c>
      <c r="P42" s="63"/>
      <c r="Q42" s="134">
        <f>IFERROR((Table8[[#This Row],[تاريخ الاستحقاق]]-Table8[[#This Row],[تاريخ اصدار الفاتورة ]]),0)</f>
        <v>-45725</v>
      </c>
      <c r="R42" s="133" t="str">
        <f ca="1">IF(Table8[[#This Row],[تاريخ الاستحقاق]]&lt;$S$1,"مستحق","غير مستحق")</f>
        <v>مستحق</v>
      </c>
      <c r="S42" s="135">
        <f ca="1">Table8[[#This Row],[تاريخ الاستحقاق]]-$S$1</f>
        <v>-46006</v>
      </c>
      <c r="T42" s="136"/>
      <c r="U42" s="184">
        <f>Table8[[#This Row],[المبلغ المسدد]]/1.14</f>
        <v>133394.73684210528</v>
      </c>
      <c r="V42" s="220"/>
    </row>
    <row r="43" spans="1:22">
      <c r="A43" s="58" t="s">
        <v>979</v>
      </c>
      <c r="B43" s="59">
        <v>45689</v>
      </c>
      <c r="C43" s="60">
        <v>45727</v>
      </c>
      <c r="D43" s="61">
        <v>76608</v>
      </c>
      <c r="E43" s="61">
        <f t="shared" si="5"/>
        <v>67200</v>
      </c>
      <c r="F43" s="61"/>
      <c r="G43" s="61"/>
      <c r="H43" s="61"/>
      <c r="I43" s="203">
        <f>Table8[[#This Row],[الاجمالي بدون الضريبه14%]]-Table8[[#This Row],[القاهرة ]]-Table8[[#This Row],[المنصورة ]]-Table8[[#This Row],[القانونيه ]]</f>
        <v>67200</v>
      </c>
      <c r="J43" s="61">
        <f t="shared" si="6"/>
        <v>9408</v>
      </c>
      <c r="K43" s="61">
        <f t="shared" si="7"/>
        <v>2016</v>
      </c>
      <c r="L43" s="61">
        <f t="shared" si="8"/>
        <v>74592</v>
      </c>
      <c r="M43" s="270">
        <v>74592</v>
      </c>
      <c r="N43" s="181"/>
      <c r="O43" s="62">
        <f t="shared" si="9"/>
        <v>0</v>
      </c>
      <c r="P43" s="63"/>
      <c r="Q43" s="134">
        <f>IFERROR((Table8[[#This Row],[تاريخ الاستحقاق]]-Table8[[#This Row],[تاريخ اصدار الفاتورة ]]),0)</f>
        <v>-45727</v>
      </c>
      <c r="R43" s="133" t="str">
        <f ca="1">IF(Table8[[#This Row],[تاريخ الاستحقاق]]&lt;$S$1,"مستحق","غير مستحق")</f>
        <v>مستحق</v>
      </c>
      <c r="S43" s="135">
        <f ca="1">Table8[[#This Row],[تاريخ الاستحقاق]]-$S$1</f>
        <v>-46006</v>
      </c>
      <c r="T43" s="136"/>
      <c r="U43" s="184">
        <f>Table8[[#This Row],[المبلغ المسدد]]/1.14</f>
        <v>65431.578947368427</v>
      </c>
      <c r="V43" s="220"/>
    </row>
    <row r="44" spans="1:22">
      <c r="A44" s="58" t="s">
        <v>83</v>
      </c>
      <c r="B44" s="59">
        <v>45689</v>
      </c>
      <c r="C44" s="60">
        <v>45728</v>
      </c>
      <c r="D44" s="61">
        <v>188091.23</v>
      </c>
      <c r="E44" s="61">
        <f t="shared" si="5"/>
        <v>164992.30701754388</v>
      </c>
      <c r="F44" s="61"/>
      <c r="G44" s="61"/>
      <c r="H44" s="61"/>
      <c r="I44" s="203">
        <f>Table8[[#This Row],[الاجمالي بدون الضريبه14%]]-Table8[[#This Row],[القاهرة ]]-Table8[[#This Row],[المنصورة ]]-Table8[[#This Row],[القانونيه ]]</f>
        <v>164992.30701754388</v>
      </c>
      <c r="J44" s="61">
        <f t="shared" si="6"/>
        <v>23098.922982456133</v>
      </c>
      <c r="K44" s="61">
        <f t="shared" si="7"/>
        <v>4949.7692105263159</v>
      </c>
      <c r="L44" s="61">
        <f t="shared" si="8"/>
        <v>183141.4607894737</v>
      </c>
      <c r="M44" s="270">
        <v>179841.61464912281</v>
      </c>
      <c r="N44" s="181">
        <f>-Table8[[#This Row],[الاجمالي بدون الضريبه14%]]*0.02</f>
        <v>-3299.8461403508777</v>
      </c>
      <c r="O44" s="62">
        <f t="shared" si="9"/>
        <v>-6.8212102632969618E-12</v>
      </c>
      <c r="P44" s="63"/>
      <c r="Q44" s="134">
        <f>IFERROR((Table8[[#This Row],[تاريخ الاستحقاق]]-Table8[[#This Row],[تاريخ اصدار الفاتورة ]]),0)</f>
        <v>-45728</v>
      </c>
      <c r="R44" s="133" t="str">
        <f ca="1">IF(Table8[[#This Row],[تاريخ الاستحقاق]]&lt;$S$1,"مستحق","غير مستحق")</f>
        <v>مستحق</v>
      </c>
      <c r="S44" s="135">
        <f ca="1">Table8[[#This Row],[تاريخ الاستحقاق]]-$S$1</f>
        <v>-46006</v>
      </c>
      <c r="T44" s="136"/>
      <c r="U44" s="184">
        <f>Table8[[#This Row],[المبلغ المسدد]]/1.14</f>
        <v>157755.80232379196</v>
      </c>
      <c r="V44" s="220"/>
    </row>
    <row r="45" spans="1:22">
      <c r="A45" s="58" t="s">
        <v>32</v>
      </c>
      <c r="B45" s="59">
        <v>45689</v>
      </c>
      <c r="C45" s="60">
        <v>45728</v>
      </c>
      <c r="D45" s="61">
        <v>79411.199999999997</v>
      </c>
      <c r="E45" s="61">
        <f t="shared" si="5"/>
        <v>69658.947368421053</v>
      </c>
      <c r="F45" s="61"/>
      <c r="G45" s="61"/>
      <c r="H45" s="61"/>
      <c r="I45" s="203">
        <f>Table8[[#This Row],[الاجمالي بدون الضريبه14%]]-Table8[[#This Row],[القاهرة ]]-Table8[[#This Row],[المنصورة ]]-Table8[[#This Row],[القانونيه ]]</f>
        <v>69658.947368421053</v>
      </c>
      <c r="J45" s="61">
        <f t="shared" si="6"/>
        <v>9752.2526315789437</v>
      </c>
      <c r="K45" s="61">
        <f t="shared" si="7"/>
        <v>2089.7684210526313</v>
      </c>
      <c r="L45" s="61">
        <f t="shared" si="8"/>
        <v>77321.431578947362</v>
      </c>
      <c r="M45" s="270">
        <v>77321.440000000002</v>
      </c>
      <c r="N45" s="181"/>
      <c r="O45" s="62">
        <f t="shared" si="9"/>
        <v>8.4210526401875541E-3</v>
      </c>
      <c r="P45" s="63"/>
      <c r="Q45" s="134">
        <f>IFERROR((Table8[[#This Row],[تاريخ الاستحقاق]]-Table8[[#This Row],[تاريخ اصدار الفاتورة ]]),0)</f>
        <v>-45728</v>
      </c>
      <c r="R45" s="133" t="str">
        <f ca="1">IF(Table8[[#This Row],[تاريخ الاستحقاق]]&lt;$S$1,"مستحق","غير مستحق")</f>
        <v>مستحق</v>
      </c>
      <c r="S45" s="135">
        <f ca="1">Table8[[#This Row],[تاريخ الاستحقاق]]-$S$1</f>
        <v>-46006</v>
      </c>
      <c r="T45" s="136"/>
      <c r="U45" s="184">
        <f>Table8[[#This Row],[المبلغ المسدد]]/1.14</f>
        <v>67825.824561403511</v>
      </c>
      <c r="V45" s="220"/>
    </row>
    <row r="46" spans="1:22">
      <c r="A46" s="58" t="s">
        <v>372</v>
      </c>
      <c r="B46" s="59">
        <v>45689</v>
      </c>
      <c r="C46" s="60">
        <v>45729</v>
      </c>
      <c r="D46" s="61">
        <v>170779.76</v>
      </c>
      <c r="E46" s="61">
        <f t="shared" si="5"/>
        <v>149806.80701754388</v>
      </c>
      <c r="F46" s="61"/>
      <c r="G46" s="61"/>
      <c r="H46" s="61"/>
      <c r="I46" s="203">
        <f>Table8[[#This Row],[الاجمالي بدون الضريبه14%]]-Table8[[#This Row],[القاهرة ]]-Table8[[#This Row],[المنصورة ]]-Table8[[#This Row],[القانونيه ]]</f>
        <v>149806.80701754388</v>
      </c>
      <c r="J46" s="61">
        <f t="shared" si="6"/>
        <v>20972.952982456132</v>
      </c>
      <c r="K46" s="61">
        <f t="shared" si="7"/>
        <v>4494.2042105263163</v>
      </c>
      <c r="L46" s="61">
        <f t="shared" si="8"/>
        <v>166285.5557894737</v>
      </c>
      <c r="M46" s="270">
        <v>166285.5557894737</v>
      </c>
      <c r="N46" s="181"/>
      <c r="O46" s="62">
        <f t="shared" si="9"/>
        <v>0</v>
      </c>
      <c r="P46" s="63"/>
      <c r="Q46" s="134">
        <f>IFERROR((Table8[[#This Row],[تاريخ الاستحقاق]]-Table8[[#This Row],[تاريخ اصدار الفاتورة ]]),0)</f>
        <v>-45729</v>
      </c>
      <c r="R46" s="133" t="str">
        <f ca="1">IF(Table8[[#This Row],[تاريخ الاستحقاق]]&lt;$S$1,"مستحق","غير مستحق")</f>
        <v>مستحق</v>
      </c>
      <c r="S46" s="135">
        <f ca="1">Table8[[#This Row],[تاريخ الاستحقاق]]-$S$1</f>
        <v>-46006</v>
      </c>
      <c r="T46" s="136"/>
      <c r="U46" s="184">
        <f>Table8[[#This Row],[المبلغ المسدد]]/1.14</f>
        <v>145864.52262234536</v>
      </c>
      <c r="V46" s="220"/>
    </row>
    <row r="47" spans="1:22">
      <c r="A47" s="58" t="s">
        <v>75</v>
      </c>
      <c r="B47" s="59">
        <v>45689</v>
      </c>
      <c r="C47" s="60">
        <v>45732</v>
      </c>
      <c r="D47" s="61">
        <v>120423.43</v>
      </c>
      <c r="E47" s="61">
        <f t="shared" si="5"/>
        <v>105634.58771929824</v>
      </c>
      <c r="F47" s="61"/>
      <c r="G47" s="61"/>
      <c r="H47" s="61"/>
      <c r="I47" s="203">
        <f>Table8[[#This Row],[الاجمالي بدون الضريبه14%]]-Table8[[#This Row],[القاهرة ]]-Table8[[#This Row],[المنصورة ]]-Table8[[#This Row],[القانونيه ]]</f>
        <v>105634.58771929824</v>
      </c>
      <c r="J47" s="61">
        <f t="shared" si="6"/>
        <v>14788.842280701749</v>
      </c>
      <c r="K47" s="61">
        <f t="shared" si="7"/>
        <v>3169.0376315789472</v>
      </c>
      <c r="L47" s="61">
        <f t="shared" si="8"/>
        <v>117254.39236842105</v>
      </c>
      <c r="M47" s="62">
        <v>117254.39236842105</v>
      </c>
      <c r="N47" s="181"/>
      <c r="O47" s="62">
        <f t="shared" si="9"/>
        <v>0</v>
      </c>
      <c r="P47" s="63"/>
      <c r="Q47" s="134">
        <f>IFERROR((Table8[[#This Row],[تاريخ الاستحقاق]]-Table8[[#This Row],[تاريخ اصدار الفاتورة ]]),0)</f>
        <v>-45732</v>
      </c>
      <c r="R47" s="133" t="str">
        <f ca="1">IF(Table8[[#This Row],[تاريخ الاستحقاق]]&lt;$S$1,"مستحق","غير مستحق")</f>
        <v>مستحق</v>
      </c>
      <c r="S47" s="135">
        <f ca="1">Table8[[#This Row],[تاريخ الاستحقاق]]-$S$1</f>
        <v>-46006</v>
      </c>
      <c r="T47" s="136"/>
      <c r="U47" s="184">
        <f>Table8[[#This Row],[المبلغ المسدد]]/1.14</f>
        <v>102854.73014773776</v>
      </c>
      <c r="V47" s="220"/>
    </row>
    <row r="48" spans="1:22">
      <c r="A48" s="58" t="s">
        <v>93</v>
      </c>
      <c r="B48" s="59">
        <v>45689</v>
      </c>
      <c r="C48" s="60">
        <v>45739</v>
      </c>
      <c r="D48" s="61">
        <v>18374.82</v>
      </c>
      <c r="E48" s="61">
        <f t="shared" si="5"/>
        <v>16118.263157894738</v>
      </c>
      <c r="F48" s="61"/>
      <c r="G48" s="61"/>
      <c r="H48" s="61"/>
      <c r="I48" s="203">
        <f>Table8[[#This Row],[الاجمالي بدون الضريبه14%]]-Table8[[#This Row],[القاهرة ]]-Table8[[#This Row],[المنصورة ]]-Table8[[#This Row],[القانونيه ]]</f>
        <v>16118.263157894738</v>
      </c>
      <c r="J48" s="61">
        <f t="shared" si="6"/>
        <v>2256.5568421052612</v>
      </c>
      <c r="K48" s="61">
        <f t="shared" si="7"/>
        <v>483.54789473684212</v>
      </c>
      <c r="L48" s="61">
        <f t="shared" si="8"/>
        <v>17891.272105263157</v>
      </c>
      <c r="M48" s="270">
        <v>17891.272105263157</v>
      </c>
      <c r="N48" s="181"/>
      <c r="O48" s="62">
        <f t="shared" si="9"/>
        <v>0</v>
      </c>
      <c r="P48" s="63"/>
      <c r="Q48" s="134">
        <f>IFERROR((Table8[[#This Row],[تاريخ الاستحقاق]]-Table8[[#This Row],[تاريخ اصدار الفاتورة ]]),0)</f>
        <v>-45739</v>
      </c>
      <c r="R48" s="133" t="str">
        <f ca="1">IF(Table8[[#This Row],[تاريخ الاستحقاق]]&lt;$S$1,"مستحق","غير مستحق")</f>
        <v>مستحق</v>
      </c>
      <c r="S48" s="135">
        <f ca="1">Table8[[#This Row],[تاريخ الاستحقاق]]-$S$1</f>
        <v>-46006</v>
      </c>
      <c r="T48" s="136"/>
      <c r="U48" s="184">
        <f>Table8[[#This Row],[المبلغ المسدد]]/1.14</f>
        <v>15694.098337950139</v>
      </c>
      <c r="V48" s="220"/>
    </row>
    <row r="49" spans="1:22">
      <c r="A49" s="58" t="s">
        <v>85</v>
      </c>
      <c r="B49" s="59">
        <v>45689</v>
      </c>
      <c r="C49" s="60">
        <v>45741</v>
      </c>
      <c r="D49" s="61">
        <v>171901.58</v>
      </c>
      <c r="E49" s="61">
        <f t="shared" si="5"/>
        <v>150790.85964912281</v>
      </c>
      <c r="F49" s="61"/>
      <c r="G49" s="61"/>
      <c r="H49" s="61"/>
      <c r="I49" s="203">
        <f>Table8[[#This Row],[الاجمالي بدون الضريبه14%]]-Table8[[#This Row],[القاهرة ]]-Table8[[#This Row],[المنصورة ]]-Table8[[#This Row],[القانونيه ]]</f>
        <v>150790.85964912281</v>
      </c>
      <c r="J49" s="61">
        <f t="shared" si="6"/>
        <v>21110.720350877178</v>
      </c>
      <c r="K49" s="61">
        <f t="shared" si="7"/>
        <v>4523.725789473684</v>
      </c>
      <c r="L49" s="61">
        <f t="shared" si="8"/>
        <v>167377.8542105263</v>
      </c>
      <c r="M49" s="62">
        <v>167377.85</v>
      </c>
      <c r="N49" s="181"/>
      <c r="O49" s="62">
        <f t="shared" si="9"/>
        <v>-4.2105262982659042E-3</v>
      </c>
      <c r="P49" s="63"/>
      <c r="Q49" s="134">
        <f>IFERROR((Table8[[#This Row],[تاريخ الاستحقاق]]-Table8[[#This Row],[تاريخ اصدار الفاتورة ]]),0)</f>
        <v>-45741</v>
      </c>
      <c r="R49" s="133" t="str">
        <f ca="1">IF(Table8[[#This Row],[تاريخ الاستحقاق]]&lt;$S$1,"مستحق","غير مستحق")</f>
        <v>مستحق</v>
      </c>
      <c r="S49" s="135">
        <f ca="1">Table8[[#This Row],[تاريخ الاستحقاق]]-$S$1</f>
        <v>-46006</v>
      </c>
      <c r="T49" s="136"/>
      <c r="U49" s="184">
        <f>Table8[[#This Row],[المبلغ المسدد]]/1.14</f>
        <v>146822.67543859652</v>
      </c>
      <c r="V49" s="220"/>
    </row>
    <row r="50" spans="1:22">
      <c r="A50" s="58" t="s">
        <v>1017</v>
      </c>
      <c r="B50" s="59">
        <v>45717</v>
      </c>
      <c r="C50" s="60">
        <v>45755</v>
      </c>
      <c r="D50" s="61">
        <v>26470.799999999999</v>
      </c>
      <c r="E50" s="61">
        <f t="shared" si="5"/>
        <v>23220</v>
      </c>
      <c r="F50" s="61"/>
      <c r="G50" s="61"/>
      <c r="H50" s="61"/>
      <c r="I50" s="203">
        <f>Table8[[#This Row],[الاجمالي بدون الضريبه14%]]-Table8[[#This Row],[القاهرة ]]-Table8[[#This Row],[المنصورة ]]-Table8[[#This Row],[القانونيه ]]</f>
        <v>23220</v>
      </c>
      <c r="J50" s="61">
        <f t="shared" si="6"/>
        <v>3250.7999999999993</v>
      </c>
      <c r="K50" s="61">
        <f t="shared" si="7"/>
        <v>696.6</v>
      </c>
      <c r="L50" s="61">
        <f t="shared" si="8"/>
        <v>25774.2</v>
      </c>
      <c r="M50" s="62">
        <v>25774.2</v>
      </c>
      <c r="N50" s="181"/>
      <c r="O50" s="62">
        <f t="shared" si="9"/>
        <v>0</v>
      </c>
      <c r="P50" s="63"/>
      <c r="Q50" s="134">
        <f>IFERROR((Table8[[#This Row],[تاريخ الاستحقاق]]-Table8[[#This Row],[تاريخ اصدار الفاتورة ]]),0)</f>
        <v>-45755</v>
      </c>
      <c r="R50" s="133" t="str">
        <f ca="1">IF(Table8[[#This Row],[تاريخ الاستحقاق]]&lt;$S$1,"مستحق","غير مستحق")</f>
        <v>مستحق</v>
      </c>
      <c r="S50" s="135">
        <f ca="1">Table8[[#This Row],[تاريخ الاستحقاق]]-$S$1</f>
        <v>-46006</v>
      </c>
      <c r="T50" s="136"/>
      <c r="U50" s="184">
        <f>Table8[[#This Row],[المبلغ المسدد]]/1.14</f>
        <v>22608.947368421053</v>
      </c>
      <c r="V50" s="220"/>
    </row>
    <row r="51" spans="1:22">
      <c r="A51" s="58" t="s">
        <v>83</v>
      </c>
      <c r="B51" s="59">
        <v>45717</v>
      </c>
      <c r="C51" s="60">
        <v>45757</v>
      </c>
      <c r="D51" s="61">
        <v>175554.44956800001</v>
      </c>
      <c r="E51" s="61">
        <f t="shared" si="5"/>
        <v>153995.13120000003</v>
      </c>
      <c r="F51" s="61"/>
      <c r="G51" s="61"/>
      <c r="H51" s="61"/>
      <c r="I51" s="203">
        <f>Table8[[#This Row],[الاجمالي بدون الضريبه14%]]-Table8[[#This Row],[القاهرة ]]-Table8[[#This Row],[المنصورة ]]-Table8[[#This Row],[القانونيه ]]</f>
        <v>153995.13120000003</v>
      </c>
      <c r="J51" s="61">
        <f t="shared" si="6"/>
        <v>21559.318367999978</v>
      </c>
      <c r="K51" s="61">
        <f t="shared" si="7"/>
        <v>4619.8539360000004</v>
      </c>
      <c r="L51" s="61">
        <f t="shared" si="8"/>
        <v>170934.59563200001</v>
      </c>
      <c r="M51" s="62">
        <v>167854.69</v>
      </c>
      <c r="N51" s="181">
        <f>-Table8[[#This Row],[الاجمالي بدون الضريبه14%]]*0.02</f>
        <v>-3079.9026240000007</v>
      </c>
      <c r="O51" s="62">
        <f t="shared" si="9"/>
        <v>-3.0080000083216873E-3</v>
      </c>
      <c r="P51" s="63"/>
      <c r="Q51" s="134">
        <f>IFERROR((Table8[[#This Row],[تاريخ الاستحقاق]]-Table8[[#This Row],[تاريخ اصدار الفاتورة ]]),0)</f>
        <v>-45757</v>
      </c>
      <c r="R51" s="133" t="str">
        <f ca="1">IF(Table8[[#This Row],[تاريخ الاستحقاق]]&lt;$S$1,"مستحق","غير مستحق")</f>
        <v>مستحق</v>
      </c>
      <c r="S51" s="135">
        <f ca="1">Table8[[#This Row],[تاريخ الاستحقاق]]-$S$1</f>
        <v>-46006</v>
      </c>
      <c r="T51" s="136"/>
      <c r="U51" s="184">
        <f>Table8[[#This Row],[المبلغ المسدد]]/1.14</f>
        <v>147240.9561403509</v>
      </c>
      <c r="V51" s="220"/>
    </row>
    <row r="52" spans="1:22">
      <c r="A52" s="58" t="s">
        <v>80</v>
      </c>
      <c r="B52" s="59">
        <v>45717</v>
      </c>
      <c r="C52" s="60">
        <v>45760</v>
      </c>
      <c r="D52" s="61">
        <v>75528.600000000006</v>
      </c>
      <c r="E52" s="61">
        <f t="shared" si="5"/>
        <v>66253.157894736854</v>
      </c>
      <c r="F52" s="61"/>
      <c r="G52" s="61"/>
      <c r="H52" s="61"/>
      <c r="I52" s="203">
        <f>Table8[[#This Row],[الاجمالي بدون الضريبه14%]]-Table8[[#This Row],[القاهرة ]]-Table8[[#This Row],[المنصورة ]]-Table8[[#This Row],[القانونيه ]]</f>
        <v>66253.157894736854</v>
      </c>
      <c r="J52" s="61">
        <f t="shared" si="6"/>
        <v>9275.4421052631515</v>
      </c>
      <c r="K52" s="61">
        <f t="shared" si="7"/>
        <v>1987.5947368421055</v>
      </c>
      <c r="L52" s="61">
        <f t="shared" si="8"/>
        <v>73541.005263157902</v>
      </c>
      <c r="M52" s="62">
        <v>72215.942105263166</v>
      </c>
      <c r="N52" s="181">
        <f>-Table8[[#This Row],[الاجمالي بدون الضريبه14%]]*0.02</f>
        <v>-1325.0631578947371</v>
      </c>
      <c r="O52" s="62">
        <f t="shared" si="9"/>
        <v>0</v>
      </c>
      <c r="P52" s="63"/>
      <c r="Q52" s="134">
        <f>IFERROR((Table8[[#This Row],[تاريخ الاستحقاق]]-Table8[[#This Row],[تاريخ اصدار الفاتورة ]]),0)</f>
        <v>-45760</v>
      </c>
      <c r="R52" s="133" t="str">
        <f ca="1">IF(Table8[[#This Row],[تاريخ الاستحقاق]]&lt;$S$1,"مستحق","غير مستحق")</f>
        <v>مستحق</v>
      </c>
      <c r="S52" s="135">
        <f ca="1">Table8[[#This Row],[تاريخ الاستحقاق]]-$S$1</f>
        <v>-46006</v>
      </c>
      <c r="T52" s="136"/>
      <c r="U52" s="184">
        <f>Table8[[#This Row],[المبلغ المسدد]]/1.14</f>
        <v>63347.317636195767</v>
      </c>
      <c r="V52" s="220"/>
    </row>
    <row r="53" spans="1:22">
      <c r="A53" s="58" t="s">
        <v>32</v>
      </c>
      <c r="B53" s="59">
        <v>45717</v>
      </c>
      <c r="C53" s="60">
        <v>45761</v>
      </c>
      <c r="D53" s="61">
        <v>121545.91</v>
      </c>
      <c r="E53" s="61">
        <f t="shared" si="5"/>
        <v>106619.21929824563</v>
      </c>
      <c r="F53" s="61"/>
      <c r="G53" s="61"/>
      <c r="H53" s="61"/>
      <c r="I53" s="203">
        <f>Table8[[#This Row],[الاجمالي بدون الضريبه14%]]-Table8[[#This Row],[القاهرة ]]-Table8[[#This Row],[المنصورة ]]-Table8[[#This Row],[القانونيه ]]</f>
        <v>106619.21929824563</v>
      </c>
      <c r="J53" s="61">
        <f t="shared" si="6"/>
        <v>14926.690701754371</v>
      </c>
      <c r="K53" s="61">
        <f t="shared" si="7"/>
        <v>3198.5765789473689</v>
      </c>
      <c r="L53" s="61">
        <f t="shared" si="8"/>
        <v>118347.33342105264</v>
      </c>
      <c r="M53" s="62">
        <v>118347.33342105264</v>
      </c>
      <c r="N53" s="181"/>
      <c r="O53" s="62">
        <f t="shared" si="9"/>
        <v>0</v>
      </c>
      <c r="P53" s="63"/>
      <c r="Q53" s="134">
        <f>IFERROR((Table8[[#This Row],[تاريخ الاستحقاق]]-Table8[[#This Row],[تاريخ اصدار الفاتورة ]]),0)</f>
        <v>-45761</v>
      </c>
      <c r="R53" s="133" t="str">
        <f ca="1">IF(Table8[[#This Row],[تاريخ الاستحقاق]]&lt;$S$1,"مستحق","غير مستحق")</f>
        <v>مستحق</v>
      </c>
      <c r="S53" s="135">
        <f ca="1">Table8[[#This Row],[تاريخ الاستحقاق]]-$S$1</f>
        <v>-46006</v>
      </c>
      <c r="T53" s="136"/>
      <c r="U53" s="184">
        <f>Table8[[#This Row],[المبلغ المسدد]]/1.14</f>
        <v>103813.45036934443</v>
      </c>
      <c r="V53" s="220"/>
    </row>
    <row r="54" spans="1:22">
      <c r="A54" s="58" t="s">
        <v>396</v>
      </c>
      <c r="B54" s="59">
        <v>45689</v>
      </c>
      <c r="C54" s="60">
        <v>45763</v>
      </c>
      <c r="D54" s="61">
        <v>126873.12</v>
      </c>
      <c r="E54" s="61">
        <f t="shared" si="5"/>
        <v>111292.2105263158</v>
      </c>
      <c r="F54" s="61"/>
      <c r="G54" s="61"/>
      <c r="H54" s="61"/>
      <c r="I54" s="203">
        <f>Table8[[#This Row],[الاجمالي بدون الضريبه14%]]-Table8[[#This Row],[القاهرة ]]-Table8[[#This Row],[المنصورة ]]-Table8[[#This Row],[القانونيه ]]</f>
        <v>111292.2105263158</v>
      </c>
      <c r="J54" s="61">
        <f t="shared" si="6"/>
        <v>15580.909473684194</v>
      </c>
      <c r="K54" s="61">
        <f t="shared" si="7"/>
        <v>3338.766315789474</v>
      </c>
      <c r="L54" s="61">
        <f t="shared" si="8"/>
        <v>123534.35368421052</v>
      </c>
      <c r="M54" s="62">
        <v>123534.35368421052</v>
      </c>
      <c r="N54" s="181"/>
      <c r="O54" s="62">
        <f t="shared" si="9"/>
        <v>0</v>
      </c>
      <c r="P54" s="63"/>
      <c r="Q54" s="134">
        <f>IFERROR((Table8[[#This Row],[تاريخ الاستحقاق]]-Table8[[#This Row],[تاريخ اصدار الفاتورة ]]),0)</f>
        <v>-45763</v>
      </c>
      <c r="R54" s="133" t="str">
        <f ca="1">IF(Table8[[#This Row],[تاريخ الاستحقاق]]&lt;$S$1,"مستحق","غير مستحق")</f>
        <v>مستحق</v>
      </c>
      <c r="S54" s="135">
        <f ca="1">Table8[[#This Row],[تاريخ الاستحقاق]]-$S$1</f>
        <v>-46006</v>
      </c>
      <c r="T54" s="136"/>
      <c r="U54" s="184">
        <f>Table8[[#This Row],[المبلغ المسدد]]/1.14</f>
        <v>108363.46814404432</v>
      </c>
      <c r="V54" s="220"/>
    </row>
    <row r="55" spans="1:22">
      <c r="A55" s="58" t="s">
        <v>187</v>
      </c>
      <c r="B55" s="59">
        <v>45717</v>
      </c>
      <c r="C55" s="60">
        <v>45763</v>
      </c>
      <c r="D55" s="61">
        <v>295260</v>
      </c>
      <c r="E55" s="61">
        <f t="shared" si="5"/>
        <v>259000.00000000003</v>
      </c>
      <c r="F55" s="61"/>
      <c r="G55" s="61"/>
      <c r="H55" s="61"/>
      <c r="I55" s="203">
        <f>Table8[[#This Row],[الاجمالي بدون الضريبه14%]]-Table8[[#This Row],[القاهرة ]]-Table8[[#This Row],[المنصورة ]]-Table8[[#This Row],[القانونيه ]]</f>
        <v>259000.00000000003</v>
      </c>
      <c r="J55" s="61">
        <f t="shared" si="6"/>
        <v>36259.999999999971</v>
      </c>
      <c r="K55" s="61">
        <f t="shared" si="7"/>
        <v>7770.0000000000009</v>
      </c>
      <c r="L55" s="61">
        <f t="shared" si="8"/>
        <v>287490</v>
      </c>
      <c r="M55" s="62">
        <v>287490</v>
      </c>
      <c r="N55" s="181"/>
      <c r="O55" s="62">
        <f t="shared" si="9"/>
        <v>0</v>
      </c>
      <c r="P55" s="63"/>
      <c r="Q55" s="134">
        <f>IFERROR((Table8[[#This Row],[تاريخ الاستحقاق]]-Table8[[#This Row],[تاريخ اصدار الفاتورة ]]),0)</f>
        <v>-45763</v>
      </c>
      <c r="R55" s="133" t="str">
        <f ca="1">IF(Table8[[#This Row],[تاريخ الاستحقاق]]&lt;$S$1,"مستحق","غير مستحق")</f>
        <v>مستحق</v>
      </c>
      <c r="S55" s="135">
        <f ca="1">Table8[[#This Row],[تاريخ الاستحقاق]]-$S$1</f>
        <v>-46006</v>
      </c>
      <c r="T55" s="136"/>
      <c r="U55" s="184">
        <f>Table8[[#This Row],[المبلغ المسدد]]/1.14</f>
        <v>252184.21052631582</v>
      </c>
      <c r="V55" s="220"/>
    </row>
    <row r="56" spans="1:22">
      <c r="A56" s="58" t="s">
        <v>1033</v>
      </c>
      <c r="B56" s="59">
        <v>45689</v>
      </c>
      <c r="C56" s="60">
        <v>45764</v>
      </c>
      <c r="D56" s="61">
        <v>7410</v>
      </c>
      <c r="E56" s="61">
        <f t="shared" si="5"/>
        <v>6500.0000000000009</v>
      </c>
      <c r="F56" s="61"/>
      <c r="G56" s="61"/>
      <c r="H56" s="61"/>
      <c r="I56" s="203">
        <f>Table8[[#This Row],[الاجمالي بدون الضريبه14%]]-Table8[[#This Row],[القاهرة ]]-Table8[[#This Row],[المنصورة ]]-Table8[[#This Row],[القانونيه ]]</f>
        <v>6500.0000000000009</v>
      </c>
      <c r="J56" s="61">
        <f t="shared" si="6"/>
        <v>909.99999999999909</v>
      </c>
      <c r="K56" s="61">
        <f t="shared" si="7"/>
        <v>195.00000000000003</v>
      </c>
      <c r="L56" s="61">
        <f t="shared" si="8"/>
        <v>7215</v>
      </c>
      <c r="M56" s="62">
        <v>7215</v>
      </c>
      <c r="N56" s="181"/>
      <c r="O56" s="62">
        <f t="shared" si="9"/>
        <v>0</v>
      </c>
      <c r="P56" s="63"/>
      <c r="Q56" s="134">
        <f>IFERROR((Table8[[#This Row],[تاريخ الاستحقاق]]-Table8[[#This Row],[تاريخ اصدار الفاتورة ]]),0)</f>
        <v>-45764</v>
      </c>
      <c r="R56" s="133" t="str">
        <f ca="1">IF(Table8[[#This Row],[تاريخ الاستحقاق]]&lt;$S$1,"مستحق","غير مستحق")</f>
        <v>مستحق</v>
      </c>
      <c r="S56" s="135">
        <f ca="1">Table8[[#This Row],[تاريخ الاستحقاق]]-$S$1</f>
        <v>-46006</v>
      </c>
      <c r="T56" s="136"/>
      <c r="U56" s="184">
        <f>Table8[[#This Row],[المبلغ المسدد]]/1.14</f>
        <v>6328.9473684210534</v>
      </c>
      <c r="V56" s="220"/>
    </row>
    <row r="57" spans="1:22">
      <c r="A57" s="58" t="s">
        <v>1038</v>
      </c>
      <c r="B57" s="59">
        <v>45717</v>
      </c>
      <c r="C57" s="60">
        <v>45774</v>
      </c>
      <c r="D57" s="61">
        <v>132060.31</v>
      </c>
      <c r="E57" s="61">
        <f t="shared" si="5"/>
        <v>115842.37719298246</v>
      </c>
      <c r="F57" s="61"/>
      <c r="G57" s="61"/>
      <c r="H57" s="61"/>
      <c r="I57" s="203">
        <f>Table8[[#This Row],[الاجمالي بدون الضريبه14%]]-Table8[[#This Row],[القاهرة ]]-Table8[[#This Row],[المنصورة ]]-Table8[[#This Row],[القانونيه ]]</f>
        <v>115842.37719298246</v>
      </c>
      <c r="J57" s="61">
        <f t="shared" si="6"/>
        <v>16217.93280701754</v>
      </c>
      <c r="K57" s="61">
        <f t="shared" si="7"/>
        <v>3475.2713157894736</v>
      </c>
      <c r="L57" s="61">
        <f t="shared" si="8"/>
        <v>128585.03868421052</v>
      </c>
      <c r="M57" s="62">
        <v>128585.03868421052</v>
      </c>
      <c r="N57" s="181"/>
      <c r="O57" s="62">
        <f t="shared" si="9"/>
        <v>0</v>
      </c>
      <c r="P57" s="63"/>
      <c r="Q57" s="134">
        <f>IFERROR((Table8[[#This Row],[تاريخ الاستحقاق]]-Table8[[#This Row],[تاريخ اصدار الفاتورة ]]),0)</f>
        <v>-45774</v>
      </c>
      <c r="R57" s="133" t="str">
        <f ca="1">IF(Table8[[#This Row],[تاريخ الاستحقاق]]&lt;$S$1,"مستحق","غير مستحق")</f>
        <v>مستحق</v>
      </c>
      <c r="S57" s="135">
        <f ca="1">Table8[[#This Row],[تاريخ الاستحقاق]]-$S$1</f>
        <v>-46006</v>
      </c>
      <c r="T57" s="136"/>
      <c r="U57" s="184">
        <f>Table8[[#This Row],[المبلغ المسدد]]/1.14</f>
        <v>112793.89358264081</v>
      </c>
      <c r="V57" s="220"/>
    </row>
    <row r="58" spans="1:22">
      <c r="A58" s="58" t="s">
        <v>75</v>
      </c>
      <c r="B58" s="59">
        <v>45717</v>
      </c>
      <c r="C58" s="60">
        <v>45773</v>
      </c>
      <c r="D58" s="61">
        <v>99415.98</v>
      </c>
      <c r="E58" s="61">
        <f t="shared" si="5"/>
        <v>87207</v>
      </c>
      <c r="F58" s="61"/>
      <c r="G58" s="61"/>
      <c r="H58" s="61"/>
      <c r="I58" s="203">
        <f>Table8[[#This Row],[الاجمالي بدون الضريبه14%]]-Table8[[#This Row],[القاهرة ]]-Table8[[#This Row],[المنصورة ]]-Table8[[#This Row],[القانونيه ]]</f>
        <v>87207</v>
      </c>
      <c r="J58" s="61">
        <f t="shared" si="6"/>
        <v>12208.979999999996</v>
      </c>
      <c r="K58" s="61">
        <f t="shared" si="7"/>
        <v>2616.21</v>
      </c>
      <c r="L58" s="61">
        <f t="shared" si="8"/>
        <v>96799.76999999999</v>
      </c>
      <c r="M58" s="62">
        <v>96799.77</v>
      </c>
      <c r="N58" s="181"/>
      <c r="O58" s="62">
        <f t="shared" si="9"/>
        <v>1.4551915228366852E-11</v>
      </c>
      <c r="P58" s="63"/>
      <c r="Q58" s="134">
        <f>IFERROR((Table8[[#This Row],[تاريخ الاستحقاق]]-Table8[[#This Row],[تاريخ اصدار الفاتورة ]]),0)</f>
        <v>-45773</v>
      </c>
      <c r="R58" s="133" t="str">
        <f ca="1">IF(Table8[[#This Row],[تاريخ الاستحقاق]]&lt;$S$1,"مستحق","غير مستحق")</f>
        <v>مستحق</v>
      </c>
      <c r="S58" s="135">
        <f ca="1">Table8[[#This Row],[تاريخ الاستحقاق]]-$S$1</f>
        <v>-46006</v>
      </c>
      <c r="T58" s="136"/>
      <c r="U58" s="184">
        <f>Table8[[#This Row],[المبلغ المسدد]]/1.14</f>
        <v>84912.078947368427</v>
      </c>
      <c r="V58" s="220"/>
    </row>
    <row r="59" spans="1:22">
      <c r="A59" s="58" t="s">
        <v>411</v>
      </c>
      <c r="B59" s="59">
        <v>45717</v>
      </c>
      <c r="C59" s="60">
        <v>45773</v>
      </c>
      <c r="D59" s="61">
        <v>76254.759999999995</v>
      </c>
      <c r="E59" s="61">
        <f t="shared" si="5"/>
        <v>66890.140350877191</v>
      </c>
      <c r="F59" s="61"/>
      <c r="G59" s="61"/>
      <c r="H59" s="61"/>
      <c r="I59" s="203">
        <f>Table8[[#This Row],[الاجمالي بدون الضريبه14%]]-Table8[[#This Row],[القاهرة ]]-Table8[[#This Row],[المنصورة ]]-Table8[[#This Row],[القانونيه ]]</f>
        <v>66890.140350877191</v>
      </c>
      <c r="J59" s="61">
        <f t="shared" si="6"/>
        <v>9364.6196491228038</v>
      </c>
      <c r="K59" s="61">
        <f t="shared" si="7"/>
        <v>2006.7042105263156</v>
      </c>
      <c r="L59" s="61">
        <f t="shared" si="8"/>
        <v>74248.055789473685</v>
      </c>
      <c r="M59" s="62">
        <v>74248.055789473685</v>
      </c>
      <c r="N59" s="181"/>
      <c r="O59" s="62">
        <f t="shared" si="9"/>
        <v>0</v>
      </c>
      <c r="P59" s="63"/>
      <c r="Q59" s="134">
        <f>IFERROR((Table8[[#This Row],[تاريخ الاستحقاق]]-Table8[[#This Row],[تاريخ اصدار الفاتورة ]]),0)</f>
        <v>-45773</v>
      </c>
      <c r="R59" s="133" t="str">
        <f ca="1">IF(Table8[[#This Row],[تاريخ الاستحقاق]]&lt;$S$1,"مستحق","غير مستحق")</f>
        <v>مستحق</v>
      </c>
      <c r="S59" s="135">
        <f ca="1">Table8[[#This Row],[تاريخ الاستحقاق]]-$S$1</f>
        <v>-46006</v>
      </c>
      <c r="T59" s="136"/>
      <c r="U59" s="184">
        <f>Table8[[#This Row],[المبلغ المسدد]]/1.14</f>
        <v>65129.873499538327</v>
      </c>
      <c r="V59" s="220"/>
    </row>
    <row r="60" spans="1:22">
      <c r="A60" s="58" t="s">
        <v>93</v>
      </c>
      <c r="B60" s="59">
        <v>45717</v>
      </c>
      <c r="C60" s="60">
        <v>45774</v>
      </c>
      <c r="D60" s="61">
        <v>72793.45</v>
      </c>
      <c r="E60" s="61">
        <f t="shared" si="5"/>
        <v>63853.903508771931</v>
      </c>
      <c r="F60" s="61"/>
      <c r="G60" s="61"/>
      <c r="H60" s="61"/>
      <c r="I60" s="203">
        <f>Table8[[#This Row],[الاجمالي بدون الضريبه14%]]-Table8[[#This Row],[القاهرة ]]-Table8[[#This Row],[المنصورة ]]-Table8[[#This Row],[القانونيه ]]</f>
        <v>63853.903508771931</v>
      </c>
      <c r="J60" s="61">
        <f t="shared" si="6"/>
        <v>8939.5464912280659</v>
      </c>
      <c r="K60" s="61">
        <f t="shared" si="7"/>
        <v>1915.6171052631578</v>
      </c>
      <c r="L60" s="61">
        <f t="shared" si="8"/>
        <v>70877.832894736843</v>
      </c>
      <c r="M60" s="280">
        <v>70877.832894736843</v>
      </c>
      <c r="N60" s="181"/>
      <c r="O60" s="62">
        <f t="shared" si="9"/>
        <v>0</v>
      </c>
      <c r="P60" s="63"/>
      <c r="Q60" s="134">
        <f>IFERROR((Table8[[#This Row],[تاريخ الاستحقاق]]-Table8[[#This Row],[تاريخ اصدار الفاتورة ]]),0)</f>
        <v>-45774</v>
      </c>
      <c r="R60" s="133" t="str">
        <f ca="1">IF(Table8[[#This Row],[تاريخ الاستحقاق]]&lt;$S$1,"مستحق","غير مستحق")</f>
        <v>مستحق</v>
      </c>
      <c r="S60" s="135">
        <f ca="1">Table8[[#This Row],[تاريخ الاستحقاق]]-$S$1</f>
        <v>-46006</v>
      </c>
      <c r="T60" s="136"/>
      <c r="U60" s="184">
        <f>Table8[[#This Row],[المبلغ المسدد]]/1.14</f>
        <v>62173.537626962148</v>
      </c>
      <c r="V60" s="220"/>
    </row>
    <row r="61" spans="1:22">
      <c r="A61" s="58" t="s">
        <v>426</v>
      </c>
      <c r="B61" s="59">
        <v>45689</v>
      </c>
      <c r="C61" s="60">
        <v>45774</v>
      </c>
      <c r="D61" s="61">
        <v>43146.53</v>
      </c>
      <c r="E61" s="61">
        <f t="shared" si="5"/>
        <v>37847.833333333336</v>
      </c>
      <c r="F61" s="61"/>
      <c r="G61" s="61"/>
      <c r="H61" s="61"/>
      <c r="I61" s="203">
        <f>Table8[[#This Row],[الاجمالي بدون الضريبه14%]]-Table8[[#This Row],[القاهرة ]]-Table8[[#This Row],[المنصورة ]]-Table8[[#This Row],[القانونيه ]]</f>
        <v>37847.833333333336</v>
      </c>
      <c r="J61" s="61">
        <f t="shared" si="6"/>
        <v>5298.6966666666631</v>
      </c>
      <c r="K61" s="61">
        <f t="shared" si="7"/>
        <v>1135.4349999999999</v>
      </c>
      <c r="L61" s="61">
        <f t="shared" si="8"/>
        <v>42011.095000000001</v>
      </c>
      <c r="M61" s="62">
        <v>42011.095000000001</v>
      </c>
      <c r="N61" s="181"/>
      <c r="O61" s="62">
        <f t="shared" si="9"/>
        <v>0</v>
      </c>
      <c r="P61" s="63"/>
      <c r="Q61" s="134">
        <f>IFERROR((Table8[[#This Row],[تاريخ الاستحقاق]]-Table8[[#This Row],[تاريخ اصدار الفاتورة ]]),0)</f>
        <v>-45774</v>
      </c>
      <c r="R61" s="133" t="str">
        <f ca="1">IF(Table8[[#This Row],[تاريخ الاستحقاق]]&lt;$S$1,"مستحق","غير مستحق")</f>
        <v>مستحق</v>
      </c>
      <c r="S61" s="135">
        <f ca="1">Table8[[#This Row],[تاريخ الاستحقاق]]-$S$1</f>
        <v>-46006</v>
      </c>
      <c r="T61" s="136"/>
      <c r="U61" s="184">
        <f>Table8[[#This Row],[المبلغ المسدد]]/1.14</f>
        <v>36851.837719298252</v>
      </c>
      <c r="V61" s="220"/>
    </row>
    <row r="62" spans="1:22">
      <c r="A62" s="58" t="s">
        <v>396</v>
      </c>
      <c r="B62" s="59">
        <v>45717</v>
      </c>
      <c r="C62" s="60">
        <v>45784</v>
      </c>
      <c r="D62" s="61">
        <v>133607.44</v>
      </c>
      <c r="E62" s="61">
        <f t="shared" si="5"/>
        <v>117199.50877192983</v>
      </c>
      <c r="F62" s="61"/>
      <c r="G62" s="61"/>
      <c r="H62" s="61"/>
      <c r="I62" s="203">
        <f>Table8[[#This Row],[الاجمالي بدون الضريبه14%]]-Table8[[#This Row],[القاهرة ]]-Table8[[#This Row],[المنصورة ]]-Table8[[#This Row],[القانونيه ]]</f>
        <v>117199.50877192983</v>
      </c>
      <c r="J62" s="61">
        <f t="shared" si="6"/>
        <v>16407.931228070171</v>
      </c>
      <c r="K62" s="61">
        <f t="shared" si="7"/>
        <v>3515.9852631578947</v>
      </c>
      <c r="L62" s="61">
        <f t="shared" si="8"/>
        <v>130091.4547368421</v>
      </c>
      <c r="M62" s="62">
        <v>130091.4547368421</v>
      </c>
      <c r="N62" s="181"/>
      <c r="O62" s="62">
        <f t="shared" si="9"/>
        <v>0</v>
      </c>
      <c r="P62" s="63"/>
      <c r="Q62" s="134">
        <f>IFERROR((Table8[[#This Row],[تاريخ الاستحقاق]]-Table8[[#This Row],[تاريخ اصدار الفاتورة ]]),0)</f>
        <v>-45784</v>
      </c>
      <c r="R62" s="133" t="str">
        <f ca="1">IF(Table8[[#This Row],[تاريخ الاستحقاق]]&lt;$S$1,"مستحق","غير مستحق")</f>
        <v>مستحق</v>
      </c>
      <c r="S62" s="135">
        <f ca="1">Table8[[#This Row],[تاريخ الاستحقاق]]-$S$1</f>
        <v>-46006</v>
      </c>
      <c r="T62" s="136"/>
      <c r="U62" s="184">
        <f>Table8[[#This Row],[المبلغ المسدد]]/1.14</f>
        <v>114115.31117266852</v>
      </c>
      <c r="V62" s="220"/>
    </row>
    <row r="63" spans="1:22">
      <c r="A63" s="58" t="s">
        <v>80</v>
      </c>
      <c r="B63" s="59">
        <v>45748</v>
      </c>
      <c r="C63" s="60">
        <v>45784</v>
      </c>
      <c r="D63" s="61">
        <v>41356.74</v>
      </c>
      <c r="E63" s="61">
        <f t="shared" si="5"/>
        <v>36277.84210526316</v>
      </c>
      <c r="F63" s="61"/>
      <c r="G63" s="61"/>
      <c r="H63" s="61"/>
      <c r="I63" s="203">
        <f>Table8[[#This Row],[الاجمالي بدون الضريبه14%]]-Table8[[#This Row],[القاهرة ]]-Table8[[#This Row],[المنصورة ]]-Table8[[#This Row],[القانونيه ]]</f>
        <v>36277.84210526316</v>
      </c>
      <c r="J63" s="61">
        <f t="shared" si="6"/>
        <v>5078.8978947368378</v>
      </c>
      <c r="K63" s="61">
        <f t="shared" si="7"/>
        <v>1088.3352631578948</v>
      </c>
      <c r="L63" s="61">
        <f t="shared" si="8"/>
        <v>40268.404736842102</v>
      </c>
      <c r="M63" s="62">
        <v>39542.847894736798</v>
      </c>
      <c r="N63" s="181">
        <f>-Table8[[#This Row],[الاجمالي بدون الضريبه14%]]*0.02</f>
        <v>-725.55684210526317</v>
      </c>
      <c r="O63" s="62">
        <f t="shared" si="9"/>
        <v>-3.9904080040287226E-11</v>
      </c>
      <c r="P63" s="63"/>
      <c r="Q63" s="134">
        <f>IFERROR((Table8[[#This Row],[تاريخ الاستحقاق]]-Table8[[#This Row],[تاريخ اصدار الفاتورة ]]),0)</f>
        <v>-45784</v>
      </c>
      <c r="R63" s="133" t="str">
        <f ca="1">IF(Table8[[#This Row],[تاريخ الاستحقاق]]&lt;$S$1,"مستحق","غير مستحق")</f>
        <v>مستحق</v>
      </c>
      <c r="S63" s="135">
        <f ca="1">Table8[[#This Row],[تاريخ الاستحقاق]]-$S$1</f>
        <v>-46006</v>
      </c>
      <c r="T63" s="136"/>
      <c r="U63" s="184">
        <f>Table8[[#This Row],[المبلغ المسدد]]/1.14</f>
        <v>34686.708679593685</v>
      </c>
      <c r="V63" s="220"/>
    </row>
    <row r="64" spans="1:22">
      <c r="A64" s="58" t="s">
        <v>83</v>
      </c>
      <c r="B64" s="59">
        <v>45748</v>
      </c>
      <c r="C64" s="60">
        <v>45785</v>
      </c>
      <c r="D64" s="61">
        <v>249942.93</v>
      </c>
      <c r="E64" s="61">
        <f t="shared" si="5"/>
        <v>219248.18421052632</v>
      </c>
      <c r="F64" s="61"/>
      <c r="G64" s="61"/>
      <c r="H64" s="61"/>
      <c r="I64" s="203">
        <f>Table8[[#This Row],[الاجمالي بدون الضريبه14%]]-Table8[[#This Row],[القاهرة ]]-Table8[[#This Row],[المنصورة ]]-Table8[[#This Row],[القانونيه ]]</f>
        <v>219248.18421052632</v>
      </c>
      <c r="J64" s="61">
        <f t="shared" si="6"/>
        <v>30694.745789473673</v>
      </c>
      <c r="K64" s="61">
        <f t="shared" si="7"/>
        <v>6577.4455263157897</v>
      </c>
      <c r="L64" s="61">
        <f t="shared" si="8"/>
        <v>243365.48447368419</v>
      </c>
      <c r="M64" s="62">
        <f>+Table8[[#This Row],[المطلوب تحويله ]]+Table8[[#This Row],[مصروفات ]]</f>
        <v>238980.52078947367</v>
      </c>
      <c r="N64" s="181">
        <f>-Table8[[#This Row],[الاجمالي بدون الضريبه14%]]*0.02</f>
        <v>-4384.9636842105265</v>
      </c>
      <c r="O64" s="62">
        <f t="shared" si="9"/>
        <v>0</v>
      </c>
      <c r="P64" s="63"/>
      <c r="Q64" s="134">
        <f>IFERROR((Table8[[#This Row],[تاريخ الاستحقاق]]-Table8[[#This Row],[تاريخ اصدار الفاتورة ]]),0)</f>
        <v>-45785</v>
      </c>
      <c r="R64" s="133" t="str">
        <f ca="1">IF(Table8[[#This Row],[تاريخ الاستحقاق]]&lt;$S$1,"مستحق","غير مستحق")</f>
        <v>مستحق</v>
      </c>
      <c r="S64" s="135">
        <f ca="1">Table8[[#This Row],[تاريخ الاستحقاق]]-$S$1</f>
        <v>-46006</v>
      </c>
      <c r="T64" s="136"/>
      <c r="U64" s="184">
        <f>Table8[[#This Row],[المبلغ المسدد]]/1.14</f>
        <v>209632.03578024008</v>
      </c>
      <c r="V64" s="220"/>
    </row>
    <row r="65" spans="1:22">
      <c r="A65" s="58" t="s">
        <v>32</v>
      </c>
      <c r="B65" s="59">
        <v>45748</v>
      </c>
      <c r="C65" s="60">
        <v>45791</v>
      </c>
      <c r="D65" s="61">
        <v>76548.77</v>
      </c>
      <c r="E65" s="61">
        <f t="shared" si="5"/>
        <v>67148.043859649129</v>
      </c>
      <c r="F65" s="61"/>
      <c r="G65" s="61"/>
      <c r="H65" s="61"/>
      <c r="I65" s="203">
        <f>Table8[[#This Row],[الاجمالي بدون الضريبه14%]]-Table8[[#This Row],[القاهرة ]]-Table8[[#This Row],[المنصورة ]]-Table8[[#This Row],[القانونيه ]]</f>
        <v>67148.043859649129</v>
      </c>
      <c r="J65" s="61">
        <f t="shared" si="6"/>
        <v>9400.7261403508746</v>
      </c>
      <c r="K65" s="61">
        <f t="shared" si="7"/>
        <v>2014.4413157894737</v>
      </c>
      <c r="L65" s="61">
        <f t="shared" si="8"/>
        <v>74534.32868421053</v>
      </c>
      <c r="M65" s="62">
        <v>74534.32868421053</v>
      </c>
      <c r="N65" s="181"/>
      <c r="O65" s="62">
        <f t="shared" si="9"/>
        <v>0</v>
      </c>
      <c r="P65" s="63"/>
      <c r="Q65" s="134">
        <f>IFERROR((Table8[[#This Row],[تاريخ الاستحقاق]]-Table8[[#This Row],[تاريخ اصدار الفاتورة ]]),0)</f>
        <v>-45791</v>
      </c>
      <c r="R65" s="133" t="str">
        <f ca="1">IF(Table8[[#This Row],[تاريخ الاستحقاق]]&lt;$S$1,"مستحق","غير مستحق")</f>
        <v>مستحق</v>
      </c>
      <c r="S65" s="135">
        <f ca="1">Table8[[#This Row],[تاريخ الاستحقاق]]-$S$1</f>
        <v>-46006</v>
      </c>
      <c r="T65" s="136"/>
      <c r="U65" s="184">
        <f>Table8[[#This Row],[المبلغ المسدد]]/1.14</f>
        <v>65380.990073868888</v>
      </c>
      <c r="V65" s="220"/>
    </row>
    <row r="66" spans="1:22">
      <c r="A66" s="58" t="s">
        <v>1038</v>
      </c>
      <c r="B66" s="59">
        <v>45748</v>
      </c>
      <c r="C66" s="60">
        <v>45795</v>
      </c>
      <c r="D66" s="61">
        <v>96602.79</v>
      </c>
      <c r="E66" s="61">
        <f t="shared" si="5"/>
        <v>84739.289473684214</v>
      </c>
      <c r="F66" s="61"/>
      <c r="G66" s="61"/>
      <c r="H66" s="61"/>
      <c r="I66" s="203">
        <f>Table8[[#This Row],[الاجمالي بدون الضريبه14%]]-Table8[[#This Row],[القاهرة ]]-Table8[[#This Row],[المنصورة ]]-Table8[[#This Row],[القانونيه ]]</f>
        <v>84739.289473684214</v>
      </c>
      <c r="J66" s="61">
        <f t="shared" si="6"/>
        <v>11863.50052631578</v>
      </c>
      <c r="K66" s="61">
        <f t="shared" si="7"/>
        <v>2542.1786842105262</v>
      </c>
      <c r="L66" s="61">
        <f t="shared" si="8"/>
        <v>94060.611315789472</v>
      </c>
      <c r="M66" s="62">
        <v>94060.61</v>
      </c>
      <c r="N66" s="181"/>
      <c r="O66" s="62">
        <f t="shared" si="9"/>
        <v>-1.3157894718460739E-3</v>
      </c>
      <c r="P66" s="63"/>
      <c r="Q66" s="134">
        <f>IFERROR((Table8[[#This Row],[تاريخ الاستحقاق]]-Table8[[#This Row],[تاريخ اصدار الفاتورة ]]),0)</f>
        <v>-45795</v>
      </c>
      <c r="R66" s="133" t="str">
        <f ca="1">IF(Table8[[#This Row],[تاريخ الاستحقاق]]&lt;$S$1,"مستحق","غير مستحق")</f>
        <v>مستحق</v>
      </c>
      <c r="S66" s="135">
        <f ca="1">Table8[[#This Row],[تاريخ الاستحقاق]]-$S$1</f>
        <v>-46006</v>
      </c>
      <c r="T66" s="136"/>
      <c r="U66" s="184">
        <f>Table8[[#This Row],[المبلغ المسدد]]/1.14</f>
        <v>82509.307017543862</v>
      </c>
      <c r="V66" s="220"/>
    </row>
    <row r="67" spans="1:22">
      <c r="A67" s="58" t="s">
        <v>1078</v>
      </c>
      <c r="B67" s="59">
        <v>45748</v>
      </c>
      <c r="C67" s="60">
        <v>45795</v>
      </c>
      <c r="D67" s="61">
        <v>185250</v>
      </c>
      <c r="E67" s="61">
        <f t="shared" si="5"/>
        <v>162500</v>
      </c>
      <c r="F67" s="61"/>
      <c r="G67" s="61"/>
      <c r="H67" s="61"/>
      <c r="I67" s="203">
        <f>Table8[[#This Row],[الاجمالي بدون الضريبه14%]]-Table8[[#This Row],[القاهرة ]]-Table8[[#This Row],[المنصورة ]]-Table8[[#This Row],[القانونيه ]]</f>
        <v>162500</v>
      </c>
      <c r="J67" s="61">
        <f t="shared" si="6"/>
        <v>22750</v>
      </c>
      <c r="K67" s="61">
        <f t="shared" si="7"/>
        <v>4875</v>
      </c>
      <c r="L67" s="61">
        <f t="shared" si="8"/>
        <v>180375</v>
      </c>
      <c r="M67" s="62">
        <v>180375</v>
      </c>
      <c r="N67" s="181"/>
      <c r="O67" s="62">
        <f t="shared" si="9"/>
        <v>0</v>
      </c>
      <c r="P67" s="63"/>
      <c r="Q67" s="134">
        <f>IFERROR((Table8[[#This Row],[تاريخ الاستحقاق]]-Table8[[#This Row],[تاريخ اصدار الفاتورة ]]),0)</f>
        <v>-45795</v>
      </c>
      <c r="R67" s="133" t="str">
        <f ca="1">IF(Table8[[#This Row],[تاريخ الاستحقاق]]&lt;$S$1,"مستحق","غير مستحق")</f>
        <v>مستحق</v>
      </c>
      <c r="S67" s="135">
        <f ca="1">Table8[[#This Row],[تاريخ الاستحقاق]]-$S$1</f>
        <v>-46006</v>
      </c>
      <c r="T67" s="136"/>
      <c r="U67" s="184">
        <f>Table8[[#This Row],[المبلغ المسدد]]/1.14</f>
        <v>158223.68421052632</v>
      </c>
      <c r="V67" s="220"/>
    </row>
    <row r="68" spans="1:22">
      <c r="A68" s="58" t="s">
        <v>337</v>
      </c>
      <c r="B68" s="59">
        <v>45717</v>
      </c>
      <c r="C68" s="60">
        <v>45796</v>
      </c>
      <c r="D68" s="61">
        <v>14820</v>
      </c>
      <c r="E68" s="61">
        <f t="shared" ref="E68:E94" si="10">D68/1.14</f>
        <v>13000.000000000002</v>
      </c>
      <c r="F68" s="61"/>
      <c r="G68" s="61"/>
      <c r="H68" s="61"/>
      <c r="I68" s="203">
        <f>Table8[[#This Row],[الاجمالي بدون الضريبه14%]]-Table8[[#This Row],[القاهرة ]]-Table8[[#This Row],[المنصورة ]]-Table8[[#This Row],[القانونيه ]]</f>
        <v>13000.000000000002</v>
      </c>
      <c r="J68" s="61">
        <f t="shared" ref="J68:J94" si="11">D68-E68</f>
        <v>1819.9999999999982</v>
      </c>
      <c r="K68" s="61">
        <f t="shared" ref="K68:K94" si="12">E68*$K$3</f>
        <v>390.00000000000006</v>
      </c>
      <c r="L68" s="61">
        <f t="shared" ref="L68:L94" si="13">D68-K68</f>
        <v>14430</v>
      </c>
      <c r="M68" s="62">
        <v>14430</v>
      </c>
      <c r="N68" s="181"/>
      <c r="O68" s="62">
        <f t="shared" ref="O68:O94" si="14">M68-L68-N68</f>
        <v>0</v>
      </c>
      <c r="P68" s="63"/>
      <c r="Q68" s="134">
        <f>IFERROR((Table8[[#This Row],[تاريخ الاستحقاق]]-Table8[[#This Row],[تاريخ اصدار الفاتورة ]]),0)</f>
        <v>-45796</v>
      </c>
      <c r="R68" s="133" t="str">
        <f ca="1">IF(Table8[[#This Row],[تاريخ الاستحقاق]]&lt;$S$1,"مستحق","غير مستحق")</f>
        <v>مستحق</v>
      </c>
      <c r="S68" s="135">
        <f ca="1">Table8[[#This Row],[تاريخ الاستحقاق]]-$S$1</f>
        <v>-46006</v>
      </c>
      <c r="T68" s="136"/>
      <c r="U68" s="184">
        <f>Table8[[#This Row],[المبلغ المسدد]]/1.14</f>
        <v>12657.894736842107</v>
      </c>
      <c r="V68" s="220"/>
    </row>
    <row r="69" spans="1:22">
      <c r="A69" s="58" t="s">
        <v>213</v>
      </c>
      <c r="B69" s="59">
        <v>45748</v>
      </c>
      <c r="C69" s="60">
        <v>45796</v>
      </c>
      <c r="D69" s="61">
        <v>102970.5</v>
      </c>
      <c r="E69" s="61">
        <f t="shared" si="10"/>
        <v>90325.000000000015</v>
      </c>
      <c r="F69" s="61"/>
      <c r="G69" s="61"/>
      <c r="H69" s="61"/>
      <c r="I69" s="203">
        <f>Table8[[#This Row],[الاجمالي بدون الضريبه14%]]-Table8[[#This Row],[القاهرة ]]-Table8[[#This Row],[المنصورة ]]-Table8[[#This Row],[القانونيه ]]</f>
        <v>90325.000000000015</v>
      </c>
      <c r="J69" s="61">
        <f t="shared" si="11"/>
        <v>12645.499999999985</v>
      </c>
      <c r="K69" s="61">
        <f t="shared" si="12"/>
        <v>2709.7500000000005</v>
      </c>
      <c r="L69" s="61">
        <f t="shared" si="13"/>
        <v>100260.75</v>
      </c>
      <c r="M69" s="62">
        <v>100260.75</v>
      </c>
      <c r="N69" s="181"/>
      <c r="O69" s="62">
        <f t="shared" si="14"/>
        <v>0</v>
      </c>
      <c r="P69" s="63"/>
      <c r="Q69" s="134">
        <f>IFERROR((Table8[[#This Row],[تاريخ الاستحقاق]]-Table8[[#This Row],[تاريخ اصدار الفاتورة ]]),0)</f>
        <v>-45796</v>
      </c>
      <c r="R69" s="133" t="str">
        <f ca="1">IF(Table8[[#This Row],[تاريخ الاستحقاق]]&lt;$S$1,"مستحق","غير مستحق")</f>
        <v>مستحق</v>
      </c>
      <c r="S69" s="135">
        <f ca="1">Table8[[#This Row],[تاريخ الاستحقاق]]-$S$1</f>
        <v>-46006</v>
      </c>
      <c r="T69" s="136"/>
      <c r="U69" s="184">
        <f>Table8[[#This Row],[المبلغ المسدد]]/1.14</f>
        <v>87948.026315789481</v>
      </c>
      <c r="V69" s="220"/>
    </row>
    <row r="70" spans="1:22">
      <c r="A70" s="58" t="s">
        <v>93</v>
      </c>
      <c r="B70" s="59">
        <v>45748</v>
      </c>
      <c r="C70" s="60">
        <v>45804</v>
      </c>
      <c r="D70" s="61">
        <v>133458.85999999999</v>
      </c>
      <c r="E70" s="61">
        <f t="shared" si="10"/>
        <v>117069.17543859649</v>
      </c>
      <c r="F70" s="61"/>
      <c r="G70" s="61"/>
      <c r="H70" s="61"/>
      <c r="I70" s="203">
        <f>Table8[[#This Row],[الاجمالي بدون الضريبه14%]]-Table8[[#This Row],[القاهرة ]]-Table8[[#This Row],[المنصورة ]]-Table8[[#This Row],[القانونيه ]]</f>
        <v>117069.17543859649</v>
      </c>
      <c r="J70" s="61">
        <f t="shared" si="11"/>
        <v>16389.684561403497</v>
      </c>
      <c r="K70" s="61">
        <f t="shared" si="12"/>
        <v>3512.0752631578944</v>
      </c>
      <c r="L70" s="61">
        <f t="shared" si="13"/>
        <v>129946.78473684209</v>
      </c>
      <c r="M70" s="62">
        <v>129946.78473684209</v>
      </c>
      <c r="N70" s="181"/>
      <c r="O70" s="62">
        <f t="shared" si="14"/>
        <v>0</v>
      </c>
      <c r="P70" s="63"/>
      <c r="Q70" s="134">
        <f>IFERROR((Table8[[#This Row],[تاريخ الاستحقاق]]-Table8[[#This Row],[تاريخ اصدار الفاتورة ]]),0)</f>
        <v>-45804</v>
      </c>
      <c r="R70" s="133" t="str">
        <f ca="1">IF(Table8[[#This Row],[تاريخ الاستحقاق]]&lt;$S$1,"مستحق","غير مستحق")</f>
        <v>مستحق</v>
      </c>
      <c r="S70" s="135">
        <f ca="1">Table8[[#This Row],[تاريخ الاستحقاق]]-$S$1</f>
        <v>-46006</v>
      </c>
      <c r="T70" s="136"/>
      <c r="U70" s="184">
        <f>Table8[[#This Row],[المبلغ المسدد]]/1.14</f>
        <v>113988.40766389658</v>
      </c>
      <c r="V70" s="220"/>
    </row>
    <row r="71" spans="1:22">
      <c r="A71" s="58" t="s">
        <v>411</v>
      </c>
      <c r="B71" s="59">
        <v>45748</v>
      </c>
      <c r="C71" s="60">
        <v>45806</v>
      </c>
      <c r="D71" s="61">
        <v>88117.56</v>
      </c>
      <c r="E71" s="61">
        <f t="shared" si="10"/>
        <v>77296.105263157893</v>
      </c>
      <c r="F71" s="61"/>
      <c r="G71" s="61"/>
      <c r="H71" s="61"/>
      <c r="I71" s="203">
        <f>Table8[[#This Row],[الاجمالي بدون الضريبه14%]]-Table8[[#This Row],[القاهرة ]]-Table8[[#This Row],[المنصورة ]]-Table8[[#This Row],[القانونيه ]]</f>
        <v>77296.105263157893</v>
      </c>
      <c r="J71" s="61">
        <f t="shared" si="11"/>
        <v>10821.454736842104</v>
      </c>
      <c r="K71" s="61">
        <f t="shared" si="12"/>
        <v>2318.8831578947365</v>
      </c>
      <c r="L71" s="61">
        <f t="shared" si="13"/>
        <v>85798.676842105255</v>
      </c>
      <c r="M71" s="62">
        <v>85798.676842105255</v>
      </c>
      <c r="N71" s="181"/>
      <c r="O71" s="62">
        <f t="shared" si="14"/>
        <v>0</v>
      </c>
      <c r="P71" s="63"/>
      <c r="Q71" s="134">
        <f>IFERROR((Table8[[#This Row],[تاريخ الاستحقاق]]-Table8[[#This Row],[تاريخ اصدار الفاتورة ]]),0)</f>
        <v>-45806</v>
      </c>
      <c r="R71" s="133" t="str">
        <f ca="1">IF(Table8[[#This Row],[تاريخ الاستحقاق]]&lt;$S$1,"مستحق","غير مستحق")</f>
        <v>مستحق</v>
      </c>
      <c r="S71" s="135">
        <f ca="1">Table8[[#This Row],[تاريخ الاستحقاق]]-$S$1</f>
        <v>-46006</v>
      </c>
      <c r="T71" s="136"/>
      <c r="U71" s="184">
        <f>Table8[[#This Row],[المبلغ المسدد]]/1.14</f>
        <v>75261.997229916902</v>
      </c>
      <c r="V71" s="220"/>
    </row>
    <row r="72" spans="1:22">
      <c r="A72" s="58" t="s">
        <v>187</v>
      </c>
      <c r="B72" s="59">
        <v>45778</v>
      </c>
      <c r="C72" s="60">
        <v>45809</v>
      </c>
      <c r="D72" s="61">
        <v>249660</v>
      </c>
      <c r="E72" s="61">
        <f t="shared" si="10"/>
        <v>219000.00000000003</v>
      </c>
      <c r="F72" s="61"/>
      <c r="G72" s="61"/>
      <c r="H72" s="61"/>
      <c r="I72" s="203">
        <f>Table8[[#This Row],[الاجمالي بدون الضريبه14%]]-Table8[[#This Row],[القاهرة ]]-Table8[[#This Row],[المنصورة ]]-Table8[[#This Row],[القانونيه ]]</f>
        <v>219000.00000000003</v>
      </c>
      <c r="J72" s="61">
        <f t="shared" si="11"/>
        <v>30659.999999999971</v>
      </c>
      <c r="K72" s="61">
        <f t="shared" si="12"/>
        <v>6570.0000000000009</v>
      </c>
      <c r="L72" s="61">
        <f t="shared" si="13"/>
        <v>243090</v>
      </c>
      <c r="M72" s="62">
        <v>243090</v>
      </c>
      <c r="N72" s="181"/>
      <c r="O72" s="62">
        <f t="shared" si="14"/>
        <v>0</v>
      </c>
      <c r="P72" s="63"/>
      <c r="Q72" s="134">
        <f>IFERROR((Table8[[#This Row],[تاريخ الاستحقاق]]-Table8[[#This Row],[تاريخ اصدار الفاتورة ]]),0)</f>
        <v>-45809</v>
      </c>
      <c r="R72" s="133" t="str">
        <f ca="1">IF(Table8[[#This Row],[تاريخ الاستحقاق]]&lt;$S$1,"مستحق","غير مستحق")</f>
        <v>مستحق</v>
      </c>
      <c r="S72" s="135">
        <f ca="1">Table8[[#This Row],[تاريخ الاستحقاق]]-$S$1</f>
        <v>-46006</v>
      </c>
      <c r="T72" s="136"/>
      <c r="U72" s="184">
        <f>Table8[[#This Row],[المبلغ المسدد]]/1.14</f>
        <v>213236.84210526317</v>
      </c>
      <c r="V72" s="220"/>
    </row>
    <row r="73" spans="1:22">
      <c r="A73" s="58" t="s">
        <v>1017</v>
      </c>
      <c r="B73" s="59">
        <v>45778</v>
      </c>
      <c r="C73" s="60">
        <v>45812</v>
      </c>
      <c r="D73" s="61">
        <v>215460</v>
      </c>
      <c r="E73" s="61">
        <f t="shared" si="10"/>
        <v>189000.00000000003</v>
      </c>
      <c r="F73" s="61"/>
      <c r="G73" s="61"/>
      <c r="H73" s="61"/>
      <c r="I73" s="203">
        <f>Table8[[#This Row],[الاجمالي بدون الضريبه14%]]-Table8[[#This Row],[القاهرة ]]-Table8[[#This Row],[المنصورة ]]-Table8[[#This Row],[القانونيه ]]</f>
        <v>189000.00000000003</v>
      </c>
      <c r="J73" s="61">
        <f t="shared" si="11"/>
        <v>26459.999999999971</v>
      </c>
      <c r="K73" s="61">
        <f t="shared" si="12"/>
        <v>5670.0000000000009</v>
      </c>
      <c r="L73" s="61">
        <f t="shared" si="13"/>
        <v>209790</v>
      </c>
      <c r="M73" s="62">
        <v>209790</v>
      </c>
      <c r="N73" s="181"/>
      <c r="O73" s="62">
        <f t="shared" si="14"/>
        <v>0</v>
      </c>
      <c r="P73" s="63"/>
      <c r="Q73" s="134">
        <f>IFERROR((Table8[[#This Row],[تاريخ الاستحقاق]]-Table8[[#This Row],[تاريخ اصدار الفاتورة ]]),0)</f>
        <v>-45812</v>
      </c>
      <c r="R73" s="133" t="str">
        <f ca="1">IF(Table8[[#This Row],[تاريخ الاستحقاق]]&lt;$S$1,"مستحق","غير مستحق")</f>
        <v>مستحق</v>
      </c>
      <c r="S73" s="135">
        <f ca="1">Table8[[#This Row],[تاريخ الاستحقاق]]-$S$1</f>
        <v>-46006</v>
      </c>
      <c r="T73" s="136"/>
      <c r="U73" s="184">
        <f>Table8[[#This Row],[المبلغ المسدد]]/1.14</f>
        <v>184026.31578947371</v>
      </c>
      <c r="V73" s="220"/>
    </row>
    <row r="74" spans="1:22">
      <c r="A74" s="58" t="s">
        <v>1017</v>
      </c>
      <c r="B74" s="59">
        <v>45778</v>
      </c>
      <c r="C74" s="60">
        <v>45812</v>
      </c>
      <c r="D74" s="61">
        <v>18733.560000000001</v>
      </c>
      <c r="E74" s="61">
        <f t="shared" si="10"/>
        <v>16432.947368421053</v>
      </c>
      <c r="F74" s="61"/>
      <c r="G74" s="61"/>
      <c r="H74" s="61"/>
      <c r="I74" s="203">
        <f>Table8[[#This Row],[الاجمالي بدون الضريبه14%]]-Table8[[#This Row],[القاهرة ]]-Table8[[#This Row],[المنصورة ]]-Table8[[#This Row],[القانونيه ]]</f>
        <v>16432.947368421053</v>
      </c>
      <c r="J74" s="61">
        <f t="shared" si="11"/>
        <v>2300.6126315789479</v>
      </c>
      <c r="K74" s="61">
        <f t="shared" si="12"/>
        <v>492.98842105263157</v>
      </c>
      <c r="L74" s="61">
        <f t="shared" si="13"/>
        <v>18240.571578947369</v>
      </c>
      <c r="M74" s="62">
        <v>18240.57</v>
      </c>
      <c r="N74" s="181"/>
      <c r="O74" s="62">
        <f t="shared" si="14"/>
        <v>-1.5789473691256717E-3</v>
      </c>
      <c r="P74" s="63"/>
      <c r="Q74" s="134">
        <f>IFERROR((Table8[[#This Row],[تاريخ الاستحقاق]]-Table8[[#This Row],[تاريخ اصدار الفاتورة ]]),0)</f>
        <v>-45812</v>
      </c>
      <c r="R74" s="133" t="str">
        <f ca="1">IF(Table8[[#This Row],[تاريخ الاستحقاق]]&lt;$S$1,"مستحق","غير مستحق")</f>
        <v>مستحق</v>
      </c>
      <c r="S74" s="135">
        <f ca="1">Table8[[#This Row],[تاريخ الاستحقاق]]-$S$1</f>
        <v>-46006</v>
      </c>
      <c r="T74" s="136"/>
      <c r="U74" s="184">
        <f>Table8[[#This Row],[المبلغ المسدد]]/1.14</f>
        <v>16000.500000000002</v>
      </c>
      <c r="V74" s="220"/>
    </row>
    <row r="75" spans="1:22">
      <c r="A75" s="58" t="s">
        <v>32</v>
      </c>
      <c r="B75" s="59">
        <v>45778</v>
      </c>
      <c r="C75" s="60">
        <v>45818</v>
      </c>
      <c r="D75" s="61">
        <v>191095.34</v>
      </c>
      <c r="E75" s="61">
        <f t="shared" si="10"/>
        <v>167627.4912280702</v>
      </c>
      <c r="F75" s="61"/>
      <c r="G75" s="61"/>
      <c r="H75" s="61"/>
      <c r="I75" s="203">
        <f>Table8[[#This Row],[الاجمالي بدون الضريبه14%]]-Table8[[#This Row],[القاهرة ]]-Table8[[#This Row],[المنصورة ]]-Table8[[#This Row],[القانونيه ]]</f>
        <v>167627.4912280702</v>
      </c>
      <c r="J75" s="61">
        <f t="shared" si="11"/>
        <v>23467.848771929799</v>
      </c>
      <c r="K75" s="61">
        <f t="shared" si="12"/>
        <v>5028.8247368421062</v>
      </c>
      <c r="L75" s="61">
        <f t="shared" si="13"/>
        <v>186066.5152631579</v>
      </c>
      <c r="M75" s="62">
        <v>186066.5152631579</v>
      </c>
      <c r="N75" s="181"/>
      <c r="O75" s="62">
        <f t="shared" si="14"/>
        <v>0</v>
      </c>
      <c r="P75" s="63"/>
      <c r="Q75" s="134">
        <f>IFERROR((Table8[[#This Row],[تاريخ الاستحقاق]]-Table8[[#This Row],[تاريخ اصدار الفاتورة ]]),0)</f>
        <v>-45818</v>
      </c>
      <c r="R75" s="133" t="str">
        <f ca="1">IF(Table8[[#This Row],[تاريخ الاستحقاق]]&lt;$S$1,"مستحق","غير مستحق")</f>
        <v>مستحق</v>
      </c>
      <c r="S75" s="135">
        <f ca="1">Table8[[#This Row],[تاريخ الاستحقاق]]-$S$1</f>
        <v>-46006</v>
      </c>
      <c r="T75" s="136"/>
      <c r="U75" s="184">
        <f>Table8[[#This Row],[المبلغ المسدد]]/1.14</f>
        <v>163216.24145891046</v>
      </c>
      <c r="V75" s="220"/>
    </row>
    <row r="76" spans="1:22">
      <c r="A76" s="58" t="s">
        <v>80</v>
      </c>
      <c r="B76" s="59">
        <v>45778</v>
      </c>
      <c r="C76" s="60">
        <v>45818</v>
      </c>
      <c r="D76" s="61">
        <v>73402.210000000006</v>
      </c>
      <c r="E76" s="61">
        <f t="shared" si="10"/>
        <v>64387.903508771939</v>
      </c>
      <c r="F76" s="61"/>
      <c r="G76" s="61"/>
      <c r="H76" s="61"/>
      <c r="I76" s="203">
        <f>Table8[[#This Row],[الاجمالي بدون الضريبه14%]]-Table8[[#This Row],[القاهرة ]]-Table8[[#This Row],[المنصورة ]]-Table8[[#This Row],[القانونيه ]]</f>
        <v>64387.903508771939</v>
      </c>
      <c r="J76" s="61">
        <f t="shared" si="11"/>
        <v>9014.3064912280679</v>
      </c>
      <c r="K76" s="61">
        <f t="shared" si="12"/>
        <v>1931.637105263158</v>
      </c>
      <c r="L76" s="61">
        <f t="shared" si="13"/>
        <v>71470.572894736848</v>
      </c>
      <c r="M76" s="62">
        <v>70182.814824561414</v>
      </c>
      <c r="N76" s="181">
        <f>-Table8[[#This Row],[الاجمالي بدون الضريبه14%]]*0.02</f>
        <v>-1287.7580701754389</v>
      </c>
      <c r="O76" s="62">
        <f t="shared" si="14"/>
        <v>4.7748471843078732E-12</v>
      </c>
      <c r="P76" s="63"/>
      <c r="Q76" s="134">
        <f>IFERROR((Table8[[#This Row],[تاريخ الاستحقاق]]-Table8[[#This Row],[تاريخ اصدار الفاتورة ]]),0)</f>
        <v>-45818</v>
      </c>
      <c r="R76" s="133" t="str">
        <f ca="1">IF(Table8[[#This Row],[تاريخ الاستحقاق]]&lt;$S$1,"مستحق","غير مستحق")</f>
        <v>مستحق</v>
      </c>
      <c r="S76" s="135">
        <f ca="1">Table8[[#This Row],[تاريخ الاستحقاق]]-$S$1</f>
        <v>-46006</v>
      </c>
      <c r="T76" s="136"/>
      <c r="U76" s="184">
        <f>Table8[[#This Row],[المبلغ المسدد]]/1.14</f>
        <v>61563.872653124054</v>
      </c>
      <c r="V76" s="220"/>
    </row>
    <row r="77" spans="1:22">
      <c r="A77" s="58" t="s">
        <v>1078</v>
      </c>
      <c r="B77" s="59">
        <v>45778</v>
      </c>
      <c r="C77" s="60">
        <v>45820</v>
      </c>
      <c r="D77" s="61">
        <v>10374</v>
      </c>
      <c r="E77" s="61">
        <f t="shared" si="10"/>
        <v>9100</v>
      </c>
      <c r="F77" s="61"/>
      <c r="G77" s="61"/>
      <c r="H77" s="61"/>
      <c r="I77" s="203">
        <f>Table8[[#This Row],[الاجمالي بدون الضريبه14%]]-Table8[[#This Row],[القاهرة ]]-Table8[[#This Row],[المنصورة ]]-Table8[[#This Row],[القانونيه ]]</f>
        <v>9100</v>
      </c>
      <c r="J77" s="61">
        <f t="shared" si="11"/>
        <v>1274</v>
      </c>
      <c r="K77" s="61">
        <f t="shared" si="12"/>
        <v>273</v>
      </c>
      <c r="L77" s="61">
        <f t="shared" si="13"/>
        <v>10101</v>
      </c>
      <c r="M77" s="62">
        <v>10101</v>
      </c>
      <c r="N77" s="181"/>
      <c r="O77" s="62">
        <f t="shared" si="14"/>
        <v>0</v>
      </c>
      <c r="P77" s="63"/>
      <c r="Q77" s="134">
        <f>IFERROR((Table8[[#This Row],[تاريخ الاستحقاق]]-Table8[[#This Row],[تاريخ اصدار الفاتورة ]]),0)</f>
        <v>-45820</v>
      </c>
      <c r="R77" s="133" t="str">
        <f ca="1">IF(Table8[[#This Row],[تاريخ الاستحقاق]]&lt;$S$1,"مستحق","غير مستحق")</f>
        <v>مستحق</v>
      </c>
      <c r="S77" s="135">
        <f ca="1">Table8[[#This Row],[تاريخ الاستحقاق]]-$S$1</f>
        <v>-46006</v>
      </c>
      <c r="T77" s="136"/>
      <c r="U77" s="184">
        <f>Table8[[#This Row],[المبلغ المسدد]]/1.14</f>
        <v>8860.5263157894751</v>
      </c>
      <c r="V77" s="220"/>
    </row>
    <row r="78" spans="1:22">
      <c r="A78" s="58" t="s">
        <v>75</v>
      </c>
      <c r="B78" s="59">
        <v>45748</v>
      </c>
      <c r="C78" s="60">
        <v>45820</v>
      </c>
      <c r="D78" s="61">
        <v>135784.26</v>
      </c>
      <c r="E78" s="61">
        <f t="shared" si="10"/>
        <v>119109.00000000001</v>
      </c>
      <c r="F78" s="61"/>
      <c r="G78" s="61"/>
      <c r="H78" s="61"/>
      <c r="I78" s="203">
        <f>Table8[[#This Row],[الاجمالي بدون الضريبه14%]]-Table8[[#This Row],[القاهرة ]]-Table8[[#This Row],[المنصورة ]]-Table8[[#This Row],[القانونيه ]]</f>
        <v>119109.00000000001</v>
      </c>
      <c r="J78" s="61">
        <f t="shared" si="11"/>
        <v>16675.259999999995</v>
      </c>
      <c r="K78" s="61">
        <f t="shared" si="12"/>
        <v>3573.2700000000004</v>
      </c>
      <c r="L78" s="61">
        <f t="shared" si="13"/>
        <v>132210.99000000002</v>
      </c>
      <c r="M78" s="62">
        <v>132210.99000000002</v>
      </c>
      <c r="N78" s="181"/>
      <c r="O78" s="62">
        <f t="shared" si="14"/>
        <v>0</v>
      </c>
      <c r="P78" s="63"/>
      <c r="Q78" s="134">
        <f>IFERROR((Table8[[#This Row],[تاريخ الاستحقاق]]-Table8[[#This Row],[تاريخ اصدار الفاتورة ]]),0)</f>
        <v>-45820</v>
      </c>
      <c r="R78" s="133" t="str">
        <f ca="1">IF(Table8[[#This Row],[تاريخ الاستحقاق]]&lt;$S$1,"مستحق","غير مستحق")</f>
        <v>مستحق</v>
      </c>
      <c r="S78" s="135">
        <f ca="1">Table8[[#This Row],[تاريخ الاستحقاق]]-$S$1</f>
        <v>-46006</v>
      </c>
      <c r="T78" s="136"/>
      <c r="U78" s="184">
        <f>Table8[[#This Row],[المبلغ المسدد]]/1.14</f>
        <v>115974.55263157898</v>
      </c>
      <c r="V78" s="220"/>
    </row>
    <row r="79" spans="1:22">
      <c r="A79" s="58" t="s">
        <v>396</v>
      </c>
      <c r="B79" s="59">
        <v>45748</v>
      </c>
      <c r="C79" s="60">
        <v>45822</v>
      </c>
      <c r="D79" s="61">
        <v>85364.42</v>
      </c>
      <c r="E79" s="61">
        <f t="shared" si="10"/>
        <v>74881.070175438595</v>
      </c>
      <c r="F79" s="61"/>
      <c r="G79" s="61"/>
      <c r="H79" s="61"/>
      <c r="I79" s="203">
        <f>Table8[[#This Row],[الاجمالي بدون الضريبه14%]]-Table8[[#This Row],[القاهرة ]]-Table8[[#This Row],[المنصورة ]]-Table8[[#This Row],[القانونيه ]]</f>
        <v>74881.070175438595</v>
      </c>
      <c r="J79" s="61">
        <f t="shared" si="11"/>
        <v>10483.349824561403</v>
      </c>
      <c r="K79" s="61">
        <f t="shared" si="12"/>
        <v>2246.4321052631576</v>
      </c>
      <c r="L79" s="61">
        <f t="shared" si="13"/>
        <v>83117.987894736842</v>
      </c>
      <c r="M79" s="280">
        <v>83117.98</v>
      </c>
      <c r="N79" s="181"/>
      <c r="O79" s="62">
        <f t="shared" si="14"/>
        <v>-7.8947368456283584E-3</v>
      </c>
      <c r="P79" s="63"/>
      <c r="Q79" s="134">
        <f>IFERROR((Table8[[#This Row],[تاريخ الاستحقاق]]-Table8[[#This Row],[تاريخ اصدار الفاتورة ]]),0)</f>
        <v>-45822</v>
      </c>
      <c r="R79" s="133" t="str">
        <f ca="1">IF(Table8[[#This Row],[تاريخ الاستحقاق]]&lt;$S$1,"مستحق","غير مستحق")</f>
        <v>مستحق</v>
      </c>
      <c r="S79" s="135">
        <f ca="1">Table8[[#This Row],[تاريخ الاستحقاق]]-$S$1</f>
        <v>-46006</v>
      </c>
      <c r="T79" s="136"/>
      <c r="U79" s="184">
        <f>Table8[[#This Row],[المبلغ المسدد]]/1.14</f>
        <v>72910.508771929832</v>
      </c>
      <c r="V79" s="220"/>
    </row>
    <row r="80" spans="1:22">
      <c r="A80" s="58" t="s">
        <v>83</v>
      </c>
      <c r="B80" s="59">
        <v>45778</v>
      </c>
      <c r="C80" s="60">
        <v>45823</v>
      </c>
      <c r="D80" s="61">
        <v>256826.46</v>
      </c>
      <c r="E80" s="61">
        <f t="shared" si="10"/>
        <v>225286.36842105264</v>
      </c>
      <c r="F80" s="61"/>
      <c r="G80" s="61"/>
      <c r="H80" s="61"/>
      <c r="I80" s="203">
        <f>Table8[[#This Row],[الاجمالي بدون الضريبه14%]]-Table8[[#This Row],[القاهرة ]]-Table8[[#This Row],[المنصورة ]]-Table8[[#This Row],[القانونيه ]]</f>
        <v>225286.36842105264</v>
      </c>
      <c r="J80" s="61">
        <f t="shared" si="11"/>
        <v>31540.091578947351</v>
      </c>
      <c r="K80" s="61">
        <f t="shared" si="12"/>
        <v>6758.5910526315793</v>
      </c>
      <c r="L80" s="61">
        <f t="shared" si="13"/>
        <v>250067.86894736841</v>
      </c>
      <c r="M80" s="62">
        <v>245562.14157894734</v>
      </c>
      <c r="N80" s="181">
        <f>-Table8[[#This Row],[الاجمالي بدون الضريبه14%]]*0.02</f>
        <v>-4505.7273684210531</v>
      </c>
      <c r="O80" s="62">
        <f t="shared" si="14"/>
        <v>-1.3642420526593924E-11</v>
      </c>
      <c r="P80" s="63"/>
      <c r="Q80" s="134">
        <f>IFERROR((Table8[[#This Row],[تاريخ الاستحقاق]]-Table8[[#This Row],[تاريخ اصدار الفاتورة ]]),0)</f>
        <v>-45823</v>
      </c>
      <c r="R80" s="133" t="str">
        <f ca="1">IF(Table8[[#This Row],[تاريخ الاستحقاق]]&lt;$S$1,"مستحق","غير مستحق")</f>
        <v>مستحق</v>
      </c>
      <c r="S80" s="135">
        <f ca="1">Table8[[#This Row],[تاريخ الاستحقاق]]-$S$1</f>
        <v>-46006</v>
      </c>
      <c r="T80" s="136"/>
      <c r="U80" s="184">
        <f>Table8[[#This Row],[المبلغ المسدد]]/1.14</f>
        <v>215405.38734995382</v>
      </c>
      <c r="V80" s="220"/>
    </row>
    <row r="81" spans="1:22">
      <c r="A81" s="58" t="s">
        <v>426</v>
      </c>
      <c r="B81" s="59">
        <v>45717</v>
      </c>
      <c r="C81" s="60">
        <v>45825</v>
      </c>
      <c r="D81" s="61">
        <v>73349.87</v>
      </c>
      <c r="E81" s="61">
        <f t="shared" si="10"/>
        <v>64341.991228070176</v>
      </c>
      <c r="F81" s="61"/>
      <c r="G81" s="61"/>
      <c r="H81" s="61"/>
      <c r="I81" s="203">
        <f>Table8[[#This Row],[الاجمالي بدون الضريبه14%]]-Table8[[#This Row],[القاهرة ]]-Table8[[#This Row],[المنصورة ]]-Table8[[#This Row],[القانونيه ]]</f>
        <v>64341.991228070176</v>
      </c>
      <c r="J81" s="61">
        <f t="shared" si="11"/>
        <v>9007.8787719298198</v>
      </c>
      <c r="K81" s="61">
        <f t="shared" si="12"/>
        <v>1930.2597368421052</v>
      </c>
      <c r="L81" s="61">
        <f t="shared" si="13"/>
        <v>71419.610263157883</v>
      </c>
      <c r="M81" s="62">
        <v>71419.610263157883</v>
      </c>
      <c r="N81" s="181"/>
      <c r="O81" s="62">
        <f t="shared" si="14"/>
        <v>0</v>
      </c>
      <c r="P81" s="63"/>
      <c r="Q81" s="134">
        <f>IFERROR((Table8[[#This Row],[تاريخ الاستحقاق]]-Table8[[#This Row],[تاريخ اصدار الفاتورة ]]),0)</f>
        <v>-45825</v>
      </c>
      <c r="R81" s="133" t="str">
        <f ca="1">IF(Table8[[#This Row],[تاريخ الاستحقاق]]&lt;$S$1,"مستحق","غير مستحق")</f>
        <v>مستحق</v>
      </c>
      <c r="S81" s="135">
        <f ca="1">Table8[[#This Row],[تاريخ الاستحقاق]]-$S$1</f>
        <v>-46006</v>
      </c>
      <c r="T81" s="136"/>
      <c r="U81" s="184">
        <f>Table8[[#This Row],[المبلغ المسدد]]/1.14</f>
        <v>62648.780932594636</v>
      </c>
      <c r="V81" s="220"/>
    </row>
    <row r="82" spans="1:22">
      <c r="A82" s="58" t="s">
        <v>1038</v>
      </c>
      <c r="B82" s="59">
        <v>45778</v>
      </c>
      <c r="C82" s="60">
        <v>45834</v>
      </c>
      <c r="D82" s="61">
        <v>79050.7</v>
      </c>
      <c r="E82" s="61">
        <f t="shared" si="10"/>
        <v>69342.719298245618</v>
      </c>
      <c r="F82" s="61"/>
      <c r="G82" s="61"/>
      <c r="H82" s="61"/>
      <c r="I82" s="203">
        <f>Table8[[#This Row],[الاجمالي بدون الضريبه14%]]-Table8[[#This Row],[القاهرة ]]-Table8[[#This Row],[المنصورة ]]-Table8[[#This Row],[القانونيه ]]</f>
        <v>69342.719298245618</v>
      </c>
      <c r="J82" s="61">
        <f t="shared" si="11"/>
        <v>9707.980701754379</v>
      </c>
      <c r="K82" s="61">
        <f t="shared" si="12"/>
        <v>2080.2815789473684</v>
      </c>
      <c r="L82" s="61">
        <f t="shared" si="13"/>
        <v>76970.418421052629</v>
      </c>
      <c r="M82" s="62">
        <v>76970.418421052629</v>
      </c>
      <c r="N82" s="181"/>
      <c r="O82" s="62">
        <f t="shared" si="14"/>
        <v>0</v>
      </c>
      <c r="P82" s="63"/>
      <c r="Q82" s="134">
        <f>IFERROR((Table8[[#This Row],[تاريخ الاستحقاق]]-Table8[[#This Row],[تاريخ اصدار الفاتورة ]]),0)</f>
        <v>-45834</v>
      </c>
      <c r="R82" s="133" t="str">
        <f ca="1">IF(Table8[[#This Row],[تاريخ الاستحقاق]]&lt;$S$1,"مستحق","غير مستحق")</f>
        <v>مستحق</v>
      </c>
      <c r="S82" s="135">
        <f ca="1">Table8[[#This Row],[تاريخ الاستحقاق]]-$S$1</f>
        <v>-46006</v>
      </c>
      <c r="T82" s="136"/>
      <c r="U82" s="184">
        <f>Table8[[#This Row],[المبلغ المسدد]]/1.14</f>
        <v>67517.910895660214</v>
      </c>
      <c r="V82" s="220"/>
    </row>
    <row r="83" spans="1:22">
      <c r="A83" s="58" t="s">
        <v>337</v>
      </c>
      <c r="B83" s="59">
        <v>45748</v>
      </c>
      <c r="C83" s="60">
        <v>45836</v>
      </c>
      <c r="D83" s="61">
        <v>227259</v>
      </c>
      <c r="E83" s="61">
        <f t="shared" si="10"/>
        <v>199350.00000000003</v>
      </c>
      <c r="F83" s="61"/>
      <c r="G83" s="61"/>
      <c r="H83" s="61"/>
      <c r="I83" s="203">
        <f>Table8[[#This Row],[الاجمالي بدون الضريبه14%]]-Table8[[#This Row],[القاهرة ]]-Table8[[#This Row],[المنصورة ]]-Table8[[#This Row],[القانونيه ]]</f>
        <v>199350.00000000003</v>
      </c>
      <c r="J83" s="61">
        <f t="shared" si="11"/>
        <v>27908.999999999971</v>
      </c>
      <c r="K83" s="61">
        <f t="shared" si="12"/>
        <v>5980.5000000000009</v>
      </c>
      <c r="L83" s="61">
        <f t="shared" si="13"/>
        <v>221278.5</v>
      </c>
      <c r="M83" s="62">
        <v>221278.5</v>
      </c>
      <c r="N83" s="181"/>
      <c r="O83" s="62">
        <f t="shared" si="14"/>
        <v>0</v>
      </c>
      <c r="P83" s="63"/>
      <c r="Q83" s="134">
        <f>IFERROR((Table8[[#This Row],[تاريخ الاستحقاق]]-Table8[[#This Row],[تاريخ اصدار الفاتورة ]]),0)</f>
        <v>-45836</v>
      </c>
      <c r="R83" s="133" t="str">
        <f ca="1">IF(Table8[[#This Row],[تاريخ الاستحقاق]]&lt;$S$1,"مستحق","غير مستحق")</f>
        <v>مستحق</v>
      </c>
      <c r="S83" s="135">
        <f ca="1">Table8[[#This Row],[تاريخ الاستحقاق]]-$S$1</f>
        <v>-46006</v>
      </c>
      <c r="T83" s="136"/>
      <c r="U83" s="184">
        <f>Table8[[#This Row],[المبلغ المسدد]]/1.14</f>
        <v>194103.94736842107</v>
      </c>
      <c r="V83" s="220"/>
    </row>
    <row r="84" spans="1:22">
      <c r="A84" s="58" t="s">
        <v>187</v>
      </c>
      <c r="B84" s="59">
        <v>45809</v>
      </c>
      <c r="C84" s="60">
        <v>45836</v>
      </c>
      <c r="D84" s="61">
        <v>299820</v>
      </c>
      <c r="E84" s="61">
        <f t="shared" si="10"/>
        <v>263000</v>
      </c>
      <c r="F84" s="61"/>
      <c r="G84" s="61"/>
      <c r="H84" s="61"/>
      <c r="I84" s="203">
        <f>Table8[[#This Row],[الاجمالي بدون الضريبه14%]]-Table8[[#This Row],[القاهرة ]]-Table8[[#This Row],[المنصورة ]]-Table8[[#This Row],[القانونيه ]]</f>
        <v>263000</v>
      </c>
      <c r="J84" s="61">
        <f t="shared" si="11"/>
        <v>36820</v>
      </c>
      <c r="K84" s="61">
        <f t="shared" si="12"/>
        <v>7890</v>
      </c>
      <c r="L84" s="61">
        <f t="shared" si="13"/>
        <v>291930</v>
      </c>
      <c r="M84" s="62">
        <v>291930</v>
      </c>
      <c r="N84" s="181"/>
      <c r="O84" s="62">
        <f t="shared" si="14"/>
        <v>0</v>
      </c>
      <c r="P84" s="63"/>
      <c r="Q84" s="134">
        <f>IFERROR((Table8[[#This Row],[تاريخ الاستحقاق]]-Table8[[#This Row],[تاريخ اصدار الفاتورة ]]),0)</f>
        <v>-45836</v>
      </c>
      <c r="R84" s="133" t="str">
        <f ca="1">IF(Table8[[#This Row],[تاريخ الاستحقاق]]&lt;$S$1,"مستحق","غير مستحق")</f>
        <v>مستحق</v>
      </c>
      <c r="S84" s="135">
        <f ca="1">Table8[[#This Row],[تاريخ الاستحقاق]]-$S$1</f>
        <v>-46006</v>
      </c>
      <c r="T84" s="136"/>
      <c r="U84" s="184">
        <f>Table8[[#This Row],[المبلغ المسدد]]/1.14</f>
        <v>256078.94736842107</v>
      </c>
      <c r="V84" s="220"/>
    </row>
    <row r="85" spans="1:22">
      <c r="A85" s="58" t="s">
        <v>1033</v>
      </c>
      <c r="B85" s="59">
        <v>45778</v>
      </c>
      <c r="C85" s="60">
        <v>45844</v>
      </c>
      <c r="D85" s="61">
        <v>3093.96</v>
      </c>
      <c r="E85" s="61">
        <f t="shared" si="10"/>
        <v>2714.0000000000005</v>
      </c>
      <c r="F85" s="61"/>
      <c r="G85" s="61"/>
      <c r="H85" s="61"/>
      <c r="I85" s="203">
        <f>Table8[[#This Row],[الاجمالي بدون الضريبه14%]]-Table8[[#This Row],[القاهرة ]]-Table8[[#This Row],[المنصورة ]]-Table8[[#This Row],[القانونيه ]]</f>
        <v>2714.0000000000005</v>
      </c>
      <c r="J85" s="61">
        <f t="shared" si="11"/>
        <v>379.95999999999958</v>
      </c>
      <c r="K85" s="61">
        <f t="shared" si="12"/>
        <v>81.420000000000016</v>
      </c>
      <c r="L85" s="61">
        <f t="shared" si="13"/>
        <v>3012.54</v>
      </c>
      <c r="M85" s="62">
        <v>3012.54</v>
      </c>
      <c r="N85" s="181"/>
      <c r="O85" s="62">
        <f t="shared" si="14"/>
        <v>0</v>
      </c>
      <c r="P85" s="63"/>
      <c r="Q85" s="134">
        <f>IFERROR((Table8[[#This Row],[تاريخ الاستحقاق]]-Table8[[#This Row],[تاريخ اصدار الفاتورة ]]),0)</f>
        <v>-45844</v>
      </c>
      <c r="R85" s="133" t="str">
        <f ca="1">IF(Table8[[#This Row],[تاريخ الاستحقاق]]&lt;$S$1,"مستحق","غير مستحق")</f>
        <v>مستحق</v>
      </c>
      <c r="S85" s="135">
        <f ca="1">Table8[[#This Row],[تاريخ الاستحقاق]]-$S$1</f>
        <v>-46006</v>
      </c>
      <c r="T85" s="136"/>
      <c r="U85" s="184">
        <f>Table8[[#This Row],[المبلغ المسدد]]/1.14</f>
        <v>2642.5789473684213</v>
      </c>
      <c r="V85" s="220"/>
    </row>
    <row r="86" spans="1:22">
      <c r="A86" s="58" t="s">
        <v>426</v>
      </c>
      <c r="B86" s="59">
        <v>45748</v>
      </c>
      <c r="C86" s="60">
        <v>45844</v>
      </c>
      <c r="D86" s="61">
        <v>220441.45</v>
      </c>
      <c r="E86" s="61">
        <f t="shared" si="10"/>
        <v>193369.69298245618</v>
      </c>
      <c r="F86" s="61"/>
      <c r="G86" s="61"/>
      <c r="H86" s="61"/>
      <c r="I86" s="203">
        <f>Table8[[#This Row],[الاجمالي بدون الضريبه14%]]-Table8[[#This Row],[القاهرة ]]-Table8[[#This Row],[المنصورة ]]-Table8[[#This Row],[القانونيه ]]</f>
        <v>193369.69298245618</v>
      </c>
      <c r="J86" s="61">
        <f t="shared" si="11"/>
        <v>27071.75701754383</v>
      </c>
      <c r="K86" s="61">
        <f t="shared" si="12"/>
        <v>5801.0907894736856</v>
      </c>
      <c r="L86" s="61">
        <f t="shared" si="13"/>
        <v>214640.35921052634</v>
      </c>
      <c r="M86" s="62">
        <v>214640.36</v>
      </c>
      <c r="N86" s="181"/>
      <c r="O86" s="62">
        <f t="shared" si="14"/>
        <v>7.8947364818304777E-4</v>
      </c>
      <c r="P86" s="63"/>
      <c r="Q86" s="134">
        <f>IFERROR((Table8[[#This Row],[تاريخ الاستحقاق]]-Table8[[#This Row],[تاريخ اصدار الفاتورة ]]),0)</f>
        <v>-45844</v>
      </c>
      <c r="R86" s="133" t="str">
        <f ca="1">IF(Table8[[#This Row],[تاريخ الاستحقاق]]&lt;$S$1,"مستحق","غير مستحق")</f>
        <v>مستحق</v>
      </c>
      <c r="S86" s="135">
        <f ca="1">Table8[[#This Row],[تاريخ الاستحقاق]]-$S$1</f>
        <v>-46006</v>
      </c>
      <c r="T86" s="136"/>
      <c r="U86" s="184">
        <f>Table8[[#This Row],[المبلغ المسدد]]/1.14</f>
        <v>188281.01754385966</v>
      </c>
      <c r="V86" s="220"/>
    </row>
    <row r="87" spans="1:22">
      <c r="A87" s="58" t="s">
        <v>396</v>
      </c>
      <c r="B87" s="59">
        <v>45778</v>
      </c>
      <c r="C87" s="60">
        <v>45845</v>
      </c>
      <c r="D87" s="61">
        <v>141737.10999999999</v>
      </c>
      <c r="E87" s="61">
        <f t="shared" si="10"/>
        <v>124330.79824561403</v>
      </c>
      <c r="F87" s="61"/>
      <c r="G87" s="61"/>
      <c r="H87" s="61"/>
      <c r="I87" s="203">
        <f>Table8[[#This Row],[الاجمالي بدون الضريبه14%]]-Table8[[#This Row],[القاهرة ]]-Table8[[#This Row],[المنصورة ]]-Table8[[#This Row],[القانونيه ]]</f>
        <v>124330.79824561403</v>
      </c>
      <c r="J87" s="61">
        <f t="shared" si="11"/>
        <v>17406.311754385955</v>
      </c>
      <c r="K87" s="61">
        <f t="shared" si="12"/>
        <v>3729.9239473684206</v>
      </c>
      <c r="L87" s="61">
        <f t="shared" si="13"/>
        <v>138007.18605263156</v>
      </c>
      <c r="M87" s="62">
        <v>138007.18605263156</v>
      </c>
      <c r="N87" s="181"/>
      <c r="O87" s="62">
        <f t="shared" si="14"/>
        <v>0</v>
      </c>
      <c r="P87" s="63"/>
      <c r="Q87" s="134">
        <f>IFERROR((Table8[[#This Row],[تاريخ الاستحقاق]]-Table8[[#This Row],[تاريخ اصدار الفاتورة ]]),0)</f>
        <v>-45845</v>
      </c>
      <c r="R87" s="133" t="str">
        <f ca="1">IF(Table8[[#This Row],[تاريخ الاستحقاق]]&lt;$S$1,"مستحق","غير مستحق")</f>
        <v>مستحق</v>
      </c>
      <c r="S87" s="135">
        <f ca="1">Table8[[#This Row],[تاريخ الاستحقاق]]-$S$1</f>
        <v>-46006</v>
      </c>
      <c r="T87" s="136"/>
      <c r="U87" s="184">
        <f>Table8[[#This Row],[المبلغ المسدد]]/1.14</f>
        <v>121058.93513388734</v>
      </c>
      <c r="V87" s="220"/>
    </row>
    <row r="88" spans="1:22">
      <c r="A88" s="58" t="s">
        <v>187</v>
      </c>
      <c r="B88" s="59">
        <v>45839</v>
      </c>
      <c r="C88" s="60">
        <v>45847</v>
      </c>
      <c r="D88" s="61">
        <v>628140</v>
      </c>
      <c r="E88" s="61">
        <f t="shared" si="10"/>
        <v>551000</v>
      </c>
      <c r="F88" s="61"/>
      <c r="G88" s="61"/>
      <c r="H88" s="61"/>
      <c r="I88" s="203">
        <f>Table8[[#This Row],[الاجمالي بدون الضريبه14%]]-Table8[[#This Row],[القاهرة ]]-Table8[[#This Row],[المنصورة ]]-Table8[[#This Row],[القانونيه ]]</f>
        <v>551000</v>
      </c>
      <c r="J88" s="61">
        <f t="shared" si="11"/>
        <v>77140</v>
      </c>
      <c r="K88" s="61">
        <f t="shared" si="12"/>
        <v>16530</v>
      </c>
      <c r="L88" s="61">
        <f t="shared" si="13"/>
        <v>611610</v>
      </c>
      <c r="M88" s="62">
        <v>611610</v>
      </c>
      <c r="N88" s="181"/>
      <c r="O88" s="62">
        <f t="shared" si="14"/>
        <v>0</v>
      </c>
      <c r="P88" s="63"/>
      <c r="Q88" s="134">
        <f>IFERROR((Table8[[#This Row],[تاريخ الاستحقاق]]-Table8[[#This Row],[تاريخ اصدار الفاتورة ]]),0)</f>
        <v>-45847</v>
      </c>
      <c r="R88" s="133" t="str">
        <f ca="1">IF(Table8[[#This Row],[تاريخ الاستحقاق]]&lt;$S$1,"مستحق","غير مستحق")</f>
        <v>مستحق</v>
      </c>
      <c r="S88" s="135">
        <f ca="1">Table8[[#This Row],[تاريخ الاستحقاق]]-$S$1</f>
        <v>-46006</v>
      </c>
      <c r="T88" s="136"/>
      <c r="U88" s="184">
        <f>Table8[[#This Row],[المبلغ المسدد]]/1.14</f>
        <v>536500</v>
      </c>
      <c r="V88" s="220"/>
    </row>
    <row r="89" spans="1:22">
      <c r="A89" s="58" t="s">
        <v>93</v>
      </c>
      <c r="B89" s="59">
        <v>45778</v>
      </c>
      <c r="C89" s="60">
        <v>45847</v>
      </c>
      <c r="D89" s="61">
        <v>149327.38</v>
      </c>
      <c r="E89" s="61">
        <f t="shared" si="10"/>
        <v>130988.92982456142</v>
      </c>
      <c r="F89" s="61"/>
      <c r="G89" s="61"/>
      <c r="H89" s="61"/>
      <c r="I89" s="203">
        <f>Table8[[#This Row],[الاجمالي بدون الضريبه14%]]-Table8[[#This Row],[القاهرة ]]-Table8[[#This Row],[المنصورة ]]-Table8[[#This Row],[القانونيه ]]</f>
        <v>130988.92982456142</v>
      </c>
      <c r="J89" s="61">
        <f t="shared" si="11"/>
        <v>18338.450175438586</v>
      </c>
      <c r="K89" s="61">
        <f t="shared" si="12"/>
        <v>3929.6678947368423</v>
      </c>
      <c r="L89" s="61">
        <f t="shared" si="13"/>
        <v>145397.71210526317</v>
      </c>
      <c r="M89" s="62">
        <v>114793</v>
      </c>
      <c r="N89" s="181"/>
      <c r="O89" s="62">
        <f t="shared" si="14"/>
        <v>-30604.71210526317</v>
      </c>
      <c r="P89" s="63"/>
      <c r="Q89" s="134">
        <f>IFERROR((Table8[[#This Row],[تاريخ الاستحقاق]]-Table8[[#This Row],[تاريخ اصدار الفاتورة ]]),0)</f>
        <v>-45847</v>
      </c>
      <c r="R89" s="133" t="str">
        <f ca="1">IF(Table8[[#This Row],[تاريخ الاستحقاق]]&lt;$S$1,"مستحق","غير مستحق")</f>
        <v>مستحق</v>
      </c>
      <c r="S89" s="135">
        <f ca="1">Table8[[#This Row],[تاريخ الاستحقاق]]-$S$1</f>
        <v>-46006</v>
      </c>
      <c r="T89" s="136"/>
      <c r="U89" s="184">
        <f>Table8[[#This Row],[المبلغ المسدد]]/1.14</f>
        <v>100695.61403508772</v>
      </c>
      <c r="V89" s="220"/>
    </row>
    <row r="90" spans="1:22">
      <c r="A90" s="58" t="s">
        <v>1078</v>
      </c>
      <c r="B90" s="59">
        <v>45809</v>
      </c>
      <c r="C90" s="60">
        <v>45847</v>
      </c>
      <c r="D90" s="61">
        <v>23155.68</v>
      </c>
      <c r="E90" s="61">
        <f t="shared" si="10"/>
        <v>20312.000000000004</v>
      </c>
      <c r="F90" s="61"/>
      <c r="G90" s="61"/>
      <c r="H90" s="61"/>
      <c r="I90" s="203">
        <f>Table8[[#This Row],[الاجمالي بدون الضريبه14%]]-Table8[[#This Row],[القاهرة ]]-Table8[[#This Row],[المنصورة ]]-Table8[[#This Row],[القانونيه ]]</f>
        <v>20312.000000000004</v>
      </c>
      <c r="J90" s="61">
        <f t="shared" si="11"/>
        <v>2843.6799999999967</v>
      </c>
      <c r="K90" s="61">
        <f t="shared" si="12"/>
        <v>609.36000000000013</v>
      </c>
      <c r="L90" s="61">
        <f t="shared" si="13"/>
        <v>22546.32</v>
      </c>
      <c r="M90" s="62">
        <v>22546.32</v>
      </c>
      <c r="N90" s="181"/>
      <c r="O90" s="62">
        <f t="shared" si="14"/>
        <v>0</v>
      </c>
      <c r="P90" s="63"/>
      <c r="Q90" s="134">
        <f>IFERROR((Table8[[#This Row],[تاريخ الاستحقاق]]-Table8[[#This Row],[تاريخ اصدار الفاتورة ]]),0)</f>
        <v>-45847</v>
      </c>
      <c r="R90" s="133" t="str">
        <f ca="1">IF(Table8[[#This Row],[تاريخ الاستحقاق]]&lt;$S$1,"مستحق","غير مستحق")</f>
        <v>مستحق</v>
      </c>
      <c r="S90" s="135">
        <f ca="1">Table8[[#This Row],[تاريخ الاستحقاق]]-$S$1</f>
        <v>-46006</v>
      </c>
      <c r="T90" s="136"/>
      <c r="U90" s="184">
        <f>Table8[[#This Row],[المبلغ المسدد]]/1.14</f>
        <v>19777.473684210527</v>
      </c>
      <c r="V90" s="220"/>
    </row>
    <row r="91" spans="1:22">
      <c r="A91" s="58" t="s">
        <v>80</v>
      </c>
      <c r="B91" s="59">
        <v>45809</v>
      </c>
      <c r="C91" s="60">
        <v>45847</v>
      </c>
      <c r="D91" s="61">
        <v>53842.05</v>
      </c>
      <c r="E91" s="61">
        <f t="shared" si="10"/>
        <v>47229.868421052641</v>
      </c>
      <c r="F91" s="61"/>
      <c r="G91" s="61"/>
      <c r="H91" s="61"/>
      <c r="I91" s="203">
        <f>Table8[[#This Row],[الاجمالي بدون الضريبه14%]]-Table8[[#This Row],[القاهرة ]]-Table8[[#This Row],[المنصورة ]]-Table8[[#This Row],[القانونيه ]]</f>
        <v>47229.868421052641</v>
      </c>
      <c r="J91" s="61">
        <f t="shared" si="11"/>
        <v>6612.1815789473621</v>
      </c>
      <c r="K91" s="61">
        <f t="shared" si="12"/>
        <v>1416.8960526315791</v>
      </c>
      <c r="L91" s="61">
        <f t="shared" si="13"/>
        <v>52425.153947368424</v>
      </c>
      <c r="M91" s="62">
        <v>51480.56</v>
      </c>
      <c r="N91" s="181">
        <f>-Table8[[#This Row],[الاجمالي بدون الضريبه14%]]*0.02</f>
        <v>-944.59736842105281</v>
      </c>
      <c r="O91" s="62">
        <f t="shared" si="14"/>
        <v>3.4210526262086205E-3</v>
      </c>
      <c r="P91" s="63"/>
      <c r="Q91" s="134">
        <f>IFERROR((Table8[[#This Row],[تاريخ الاستحقاق]]-Table8[[#This Row],[تاريخ اصدار الفاتورة ]]),0)</f>
        <v>-45847</v>
      </c>
      <c r="R91" s="133" t="str">
        <f ca="1">IF(Table8[[#This Row],[تاريخ الاستحقاق]]&lt;$S$1,"مستحق","غير مستحق")</f>
        <v>مستحق</v>
      </c>
      <c r="S91" s="135">
        <f ca="1">Table8[[#This Row],[تاريخ الاستحقاق]]-$S$1</f>
        <v>-46006</v>
      </c>
      <c r="T91" s="136"/>
      <c r="U91" s="184">
        <f>Table8[[#This Row],[المبلغ المسدد]]/1.14</f>
        <v>45158.385964912282</v>
      </c>
      <c r="V91" s="220"/>
    </row>
    <row r="92" spans="1:22">
      <c r="A92" s="58" t="s">
        <v>32</v>
      </c>
      <c r="B92" s="59">
        <v>45809</v>
      </c>
      <c r="C92" s="60">
        <v>45851</v>
      </c>
      <c r="D92" s="61">
        <v>123728.43</v>
      </c>
      <c r="E92" s="61">
        <f t="shared" si="10"/>
        <v>108533.71052631579</v>
      </c>
      <c r="F92" s="61"/>
      <c r="G92" s="61"/>
      <c r="H92" s="61"/>
      <c r="I92" s="203">
        <f>Table8[[#This Row],[الاجمالي بدون الضريبه14%]]-Table8[[#This Row],[القاهرة ]]-Table8[[#This Row],[المنصورة ]]-Table8[[#This Row],[القانونيه ]]</f>
        <v>108533.71052631579</v>
      </c>
      <c r="J92" s="61">
        <f t="shared" si="11"/>
        <v>15194.719473684207</v>
      </c>
      <c r="K92" s="61">
        <f t="shared" si="12"/>
        <v>3256.0113157894734</v>
      </c>
      <c r="L92" s="61">
        <f t="shared" si="13"/>
        <v>120472.41868421053</v>
      </c>
      <c r="M92" s="62">
        <v>120472.41868421053</v>
      </c>
      <c r="N92" s="181"/>
      <c r="O92" s="62">
        <f t="shared" si="14"/>
        <v>0</v>
      </c>
      <c r="P92" s="63"/>
      <c r="Q92" s="134">
        <f>IFERROR((Table8[[#This Row],[تاريخ الاستحقاق]]-Table8[[#This Row],[تاريخ اصدار الفاتورة ]]),0)</f>
        <v>-45851</v>
      </c>
      <c r="R92" s="133" t="str">
        <f ca="1">IF(Table8[[#This Row],[تاريخ الاستحقاق]]&lt;$S$1,"مستحق","غير مستحق")</f>
        <v>مستحق</v>
      </c>
      <c r="S92" s="135">
        <f ca="1">Table8[[#This Row],[تاريخ الاستحقاق]]-$S$1</f>
        <v>-46006</v>
      </c>
      <c r="T92" s="136"/>
      <c r="U92" s="184">
        <f>Table8[[#This Row],[المبلغ المسدد]]/1.14</f>
        <v>105677.56024930748</v>
      </c>
      <c r="V92" s="220"/>
    </row>
    <row r="93" spans="1:22">
      <c r="A93" s="58" t="s">
        <v>75</v>
      </c>
      <c r="B93" s="59">
        <v>45778</v>
      </c>
      <c r="C93" s="60">
        <v>45851</v>
      </c>
      <c r="D93" s="61">
        <v>137409.68</v>
      </c>
      <c r="E93" s="61">
        <f t="shared" si="10"/>
        <v>120534.80701754386</v>
      </c>
      <c r="F93" s="61"/>
      <c r="G93" s="61"/>
      <c r="H93" s="61"/>
      <c r="I93" s="203">
        <f>Table8[[#This Row],[الاجمالي بدون الضريبه14%]]-Table8[[#This Row],[القاهرة ]]-Table8[[#This Row],[المنصورة ]]-Table8[[#This Row],[القانونيه ]]</f>
        <v>120534.80701754386</v>
      </c>
      <c r="J93" s="61">
        <f t="shared" si="11"/>
        <v>16874.872982456131</v>
      </c>
      <c r="K93" s="61">
        <f t="shared" si="12"/>
        <v>3616.044210526316</v>
      </c>
      <c r="L93" s="61">
        <f t="shared" si="13"/>
        <v>133793.63578947369</v>
      </c>
      <c r="M93" s="62">
        <v>133793.63578947369</v>
      </c>
      <c r="N93" s="181"/>
      <c r="O93" s="62">
        <f t="shared" si="14"/>
        <v>0</v>
      </c>
      <c r="P93" s="63"/>
      <c r="Q93" s="134">
        <f>IFERROR((Table8[[#This Row],[تاريخ الاستحقاق]]-Table8[[#This Row],[تاريخ اصدار الفاتورة ]]),0)</f>
        <v>-45851</v>
      </c>
      <c r="R93" s="133" t="str">
        <f ca="1">IF(Table8[[#This Row],[تاريخ الاستحقاق]]&lt;$S$1,"مستحق","غير مستحق")</f>
        <v>مستحق</v>
      </c>
      <c r="S93" s="135">
        <f ca="1">Table8[[#This Row],[تاريخ الاستحقاق]]-$S$1</f>
        <v>-46006</v>
      </c>
      <c r="T93" s="136"/>
      <c r="U93" s="184">
        <f>Table8[[#This Row],[المبلغ المسدد]]/1.14</f>
        <v>117362.83841181903</v>
      </c>
      <c r="V93" s="220"/>
    </row>
    <row r="94" spans="1:22">
      <c r="A94" s="58" t="s">
        <v>83</v>
      </c>
      <c r="B94" s="59">
        <v>45809</v>
      </c>
      <c r="C94" s="60">
        <v>45852</v>
      </c>
      <c r="D94" s="61">
        <v>201215.24716</v>
      </c>
      <c r="E94" s="61">
        <f t="shared" si="10"/>
        <v>176504.60277192984</v>
      </c>
      <c r="F94" s="61"/>
      <c r="G94" s="61"/>
      <c r="H94" s="61"/>
      <c r="I94" s="203">
        <f>Table8[[#This Row],[الاجمالي بدون الضريبه14%]]-Table8[[#This Row],[القاهرة ]]-Table8[[#This Row],[المنصورة ]]-Table8[[#This Row],[القانونيه ]]</f>
        <v>176504.60277192984</v>
      </c>
      <c r="J94" s="61">
        <f t="shared" si="11"/>
        <v>24710.644388070155</v>
      </c>
      <c r="K94" s="61">
        <f t="shared" si="12"/>
        <v>5295.1380831578954</v>
      </c>
      <c r="L94" s="61">
        <f t="shared" si="13"/>
        <v>195920.10907684211</v>
      </c>
      <c r="M94" s="62">
        <v>192390.02</v>
      </c>
      <c r="N94" s="181">
        <f>-Table8[[#This Row],[الاجمالي بدون الضريبه14%]]*0.02</f>
        <v>-3530.0920554385971</v>
      </c>
      <c r="O94" s="62">
        <f t="shared" si="14"/>
        <v>2.9785964738948678E-3</v>
      </c>
      <c r="P94" s="63"/>
      <c r="Q94" s="134">
        <f>IFERROR((Table8[[#This Row],[تاريخ الاستحقاق]]-Table8[[#This Row],[تاريخ اصدار الفاتورة ]]),0)</f>
        <v>-45852</v>
      </c>
      <c r="R94" s="133" t="str">
        <f ca="1">IF(Table8[[#This Row],[تاريخ الاستحقاق]]&lt;$S$1,"مستحق","غير مستحق")</f>
        <v>مستحق</v>
      </c>
      <c r="S94" s="135">
        <f ca="1">Table8[[#This Row],[تاريخ الاستحقاق]]-$S$1</f>
        <v>-46006</v>
      </c>
      <c r="T94" s="136"/>
      <c r="U94" s="184">
        <f>Table8[[#This Row],[المبلغ المسدد]]/1.14</f>
        <v>168763.17543859649</v>
      </c>
      <c r="V94" s="220"/>
    </row>
    <row r="95" spans="1:22">
      <c r="A95" s="58" t="s">
        <v>979</v>
      </c>
      <c r="B95" s="59">
        <v>45809</v>
      </c>
      <c r="C95" s="60">
        <v>45852</v>
      </c>
      <c r="D95" s="61">
        <v>139650</v>
      </c>
      <c r="E95" s="61">
        <f t="shared" ref="E95:E96" si="15">D95/1.14</f>
        <v>122500.00000000001</v>
      </c>
      <c r="F95" s="61"/>
      <c r="G95" s="61"/>
      <c r="H95" s="61"/>
      <c r="I95" s="203">
        <f>Table8[[#This Row],[الاجمالي بدون الضريبه14%]]-Table8[[#This Row],[القاهرة ]]-Table8[[#This Row],[المنصورة ]]-Table8[[#This Row],[القانونيه ]]</f>
        <v>122500.00000000001</v>
      </c>
      <c r="J95" s="61">
        <f t="shared" ref="J95:J96" si="16">D95-E95</f>
        <v>17149.999999999985</v>
      </c>
      <c r="K95" s="61">
        <f t="shared" ref="K95:K96" si="17">E95*$K$3</f>
        <v>3675.0000000000005</v>
      </c>
      <c r="L95" s="61">
        <f t="shared" ref="L95:L96" si="18">D95-K95</f>
        <v>135975</v>
      </c>
      <c r="M95" s="62">
        <v>135975</v>
      </c>
      <c r="N95" s="181"/>
      <c r="O95" s="62">
        <f t="shared" ref="O95:O96" si="19">M95-L95-N95</f>
        <v>0</v>
      </c>
      <c r="P95" s="63"/>
      <c r="Q95" s="134">
        <f>IFERROR((Table8[[#This Row],[تاريخ الاستحقاق]]-Table8[[#This Row],[تاريخ اصدار الفاتورة ]]),0)</f>
        <v>-45852</v>
      </c>
      <c r="R95" s="133" t="str">
        <f ca="1">IF(Table8[[#This Row],[تاريخ الاستحقاق]]&lt;$S$1,"مستحق","غير مستحق")</f>
        <v>مستحق</v>
      </c>
      <c r="S95" s="135">
        <f ca="1">Table8[[#This Row],[تاريخ الاستحقاق]]-$S$1</f>
        <v>-46006</v>
      </c>
      <c r="T95" s="136"/>
      <c r="U95" s="184">
        <f>Table8[[#This Row],[المبلغ المسدد]]/1.14</f>
        <v>119276.31578947369</v>
      </c>
      <c r="V95" s="220"/>
    </row>
    <row r="96" spans="1:22">
      <c r="A96" s="58" t="s">
        <v>411</v>
      </c>
      <c r="B96" s="59">
        <v>45778</v>
      </c>
      <c r="C96" s="60">
        <v>45852</v>
      </c>
      <c r="D96" s="61">
        <v>59996.639999999999</v>
      </c>
      <c r="E96" s="61">
        <f t="shared" si="15"/>
        <v>52628.631578947374</v>
      </c>
      <c r="F96" s="61"/>
      <c r="G96" s="61"/>
      <c r="H96" s="61"/>
      <c r="I96" s="203">
        <f>Table8[[#This Row],[الاجمالي بدون الضريبه14%]]-Table8[[#This Row],[القاهرة ]]-Table8[[#This Row],[المنصورة ]]-Table8[[#This Row],[القانونيه ]]</f>
        <v>52628.631578947374</v>
      </c>
      <c r="J96" s="61">
        <f t="shared" si="16"/>
        <v>7368.0084210526256</v>
      </c>
      <c r="K96" s="61">
        <f t="shared" si="17"/>
        <v>1578.8589473684212</v>
      </c>
      <c r="L96" s="61">
        <f t="shared" si="18"/>
        <v>58417.781052631581</v>
      </c>
      <c r="M96" s="62">
        <v>58417.781052631581</v>
      </c>
      <c r="N96" s="181"/>
      <c r="O96" s="62">
        <f t="shared" si="19"/>
        <v>0</v>
      </c>
      <c r="P96" s="63"/>
      <c r="Q96" s="134">
        <f>IFERROR((Table8[[#This Row],[تاريخ الاستحقاق]]-Table8[[#This Row],[تاريخ اصدار الفاتورة ]]),0)</f>
        <v>-45852</v>
      </c>
      <c r="R96" s="133" t="str">
        <f ca="1">IF(Table8[[#This Row],[تاريخ الاستحقاق]]&lt;$S$1,"مستحق","غير مستحق")</f>
        <v>مستحق</v>
      </c>
      <c r="S96" s="135">
        <f ca="1">Table8[[#This Row],[تاريخ الاستحقاق]]-$S$1</f>
        <v>-46006</v>
      </c>
      <c r="T96" s="136"/>
      <c r="U96" s="184">
        <f>Table8[[#This Row],[المبلغ المسدد]]/1.14</f>
        <v>51243.667590027704</v>
      </c>
      <c r="V96" s="220"/>
    </row>
    <row r="97" spans="1:22">
      <c r="A97" s="58" t="s">
        <v>1038</v>
      </c>
      <c r="B97" s="59">
        <v>45809</v>
      </c>
      <c r="C97" s="60">
        <v>45858</v>
      </c>
      <c r="D97" s="61">
        <v>63861.22</v>
      </c>
      <c r="E97" s="61">
        <f t="shared" ref="E97:E98" si="20">D97/1.14</f>
        <v>56018.614035087725</v>
      </c>
      <c r="F97" s="61"/>
      <c r="G97" s="61"/>
      <c r="H97" s="61"/>
      <c r="I97" s="203">
        <f>Table8[[#This Row],[الاجمالي بدون الضريبه14%]]-Table8[[#This Row],[القاهرة ]]-Table8[[#This Row],[المنصورة ]]-Table8[[#This Row],[القانونيه ]]</f>
        <v>56018.614035087725</v>
      </c>
      <c r="J97" s="61">
        <f t="shared" ref="J97:J98" si="21">D97-E97</f>
        <v>7842.6059649122762</v>
      </c>
      <c r="K97" s="61">
        <f t="shared" ref="K97:K98" si="22">E97*$K$3</f>
        <v>1680.5584210526317</v>
      </c>
      <c r="L97" s="61">
        <f t="shared" ref="L97:L98" si="23">D97-K97</f>
        <v>62180.661578947373</v>
      </c>
      <c r="M97" s="62">
        <v>62180.661578947373</v>
      </c>
      <c r="N97" s="181"/>
      <c r="O97" s="62">
        <f t="shared" ref="O97:O98" si="24">M97-L97-N97</f>
        <v>0</v>
      </c>
      <c r="P97" s="63"/>
      <c r="Q97" s="134">
        <f>IFERROR((Table8[[#This Row],[تاريخ الاستحقاق]]-Table8[[#This Row],[تاريخ اصدار الفاتورة ]]),0)</f>
        <v>-45858</v>
      </c>
      <c r="R97" s="133" t="str">
        <f ca="1">IF(Table8[[#This Row],[تاريخ الاستحقاق]]&lt;$S$1,"مستحق","غير مستحق")</f>
        <v>مستحق</v>
      </c>
      <c r="S97" s="135">
        <f ca="1">Table8[[#This Row],[تاريخ الاستحقاق]]-$S$1</f>
        <v>-46006</v>
      </c>
      <c r="T97" s="136"/>
      <c r="U97" s="184">
        <f>Table8[[#This Row],[المبلغ المسدد]]/1.14</f>
        <v>54544.439981532785</v>
      </c>
      <c r="V97" s="220"/>
    </row>
    <row r="98" spans="1:22">
      <c r="A98" s="58" t="s">
        <v>1033</v>
      </c>
      <c r="B98" s="59">
        <v>45809</v>
      </c>
      <c r="C98" s="60">
        <v>45865</v>
      </c>
      <c r="D98" s="61">
        <v>2280</v>
      </c>
      <c r="E98" s="61">
        <f t="shared" si="20"/>
        <v>2000.0000000000002</v>
      </c>
      <c r="F98" s="61"/>
      <c r="G98" s="61"/>
      <c r="H98" s="61"/>
      <c r="I98" s="203">
        <f>Table8[[#This Row],[الاجمالي بدون الضريبه14%]]-Table8[[#This Row],[القاهرة ]]-Table8[[#This Row],[المنصورة ]]-Table8[[#This Row],[القانونيه ]]</f>
        <v>2000.0000000000002</v>
      </c>
      <c r="J98" s="61">
        <f t="shared" si="21"/>
        <v>279.99999999999977</v>
      </c>
      <c r="K98" s="61">
        <f t="shared" si="22"/>
        <v>60.000000000000007</v>
      </c>
      <c r="L98" s="61">
        <f t="shared" si="23"/>
        <v>2220</v>
      </c>
      <c r="M98" s="62"/>
      <c r="N98" s="181"/>
      <c r="O98" s="62">
        <f t="shared" si="24"/>
        <v>-2220</v>
      </c>
      <c r="P98" s="63"/>
      <c r="Q98" s="134">
        <f>IFERROR((Table8[[#This Row],[تاريخ الاستحقاق]]-Table8[[#This Row],[تاريخ اصدار الفاتورة ]]),0)</f>
        <v>-45865</v>
      </c>
      <c r="R98" s="133" t="str">
        <f ca="1">IF(Table8[[#This Row],[تاريخ الاستحقاق]]&lt;$S$1,"مستحق","غير مستحق")</f>
        <v>مستحق</v>
      </c>
      <c r="S98" s="135">
        <f ca="1">Table8[[#This Row],[تاريخ الاستحقاق]]-$S$1</f>
        <v>-46006</v>
      </c>
      <c r="T98" s="136"/>
      <c r="U98" s="184">
        <f>Table8[[#This Row],[المبلغ المسدد]]/1.14</f>
        <v>0</v>
      </c>
      <c r="V98" s="220"/>
    </row>
    <row r="99" spans="1:22">
      <c r="A99" s="58" t="s">
        <v>75</v>
      </c>
      <c r="B99" s="59">
        <v>45809</v>
      </c>
      <c r="C99" s="60">
        <v>45865</v>
      </c>
      <c r="D99" s="61">
        <v>122768.5</v>
      </c>
      <c r="E99" s="61">
        <f t="shared" ref="E99:E100" si="25">D99/1.14</f>
        <v>107691.66666666667</v>
      </c>
      <c r="F99" s="61"/>
      <c r="G99" s="61"/>
      <c r="H99" s="61"/>
      <c r="I99" s="203">
        <f>Table8[[#This Row],[الاجمالي بدون الضريبه14%]]-Table8[[#This Row],[القاهرة ]]-Table8[[#This Row],[المنصورة ]]-Table8[[#This Row],[القانونيه ]]</f>
        <v>107691.66666666667</v>
      </c>
      <c r="J99" s="61">
        <f t="shared" ref="J99:J100" si="26">D99-E99</f>
        <v>15076.833333333328</v>
      </c>
      <c r="K99" s="61">
        <f t="shared" ref="K99:K100" si="27">E99*$K$3</f>
        <v>3230.75</v>
      </c>
      <c r="L99" s="61">
        <f t="shared" ref="L99:L100" si="28">D99-K99</f>
        <v>119537.75</v>
      </c>
      <c r="M99" s="62">
        <v>119537.75</v>
      </c>
      <c r="N99" s="181"/>
      <c r="O99" s="62">
        <f t="shared" ref="O99:O100" si="29">M99-L99-N99</f>
        <v>0</v>
      </c>
      <c r="P99" s="63"/>
      <c r="Q99" s="134">
        <f>IFERROR((Table8[[#This Row],[تاريخ الاستحقاق]]-Table8[[#This Row],[تاريخ اصدار الفاتورة ]]),0)</f>
        <v>-45865</v>
      </c>
      <c r="R99" s="133" t="str">
        <f ca="1">IF(Table8[[#This Row],[تاريخ الاستحقاق]]&lt;$S$1,"مستحق","غير مستحق")</f>
        <v>مستحق</v>
      </c>
      <c r="S99" s="135">
        <f ca="1">Table8[[#This Row],[تاريخ الاستحقاق]]-$S$1</f>
        <v>-46006</v>
      </c>
      <c r="T99" s="136"/>
      <c r="U99" s="184">
        <f>Table8[[#This Row],[المبلغ المسدد]]/1.14</f>
        <v>104857.6754385965</v>
      </c>
      <c r="V99" s="220"/>
    </row>
    <row r="100" spans="1:22">
      <c r="A100" s="58" t="s">
        <v>1197</v>
      </c>
      <c r="B100" s="59">
        <v>45809</v>
      </c>
      <c r="C100" s="60">
        <v>45865</v>
      </c>
      <c r="D100" s="61">
        <v>89282.84</v>
      </c>
      <c r="E100" s="61">
        <f t="shared" si="25"/>
        <v>78318.280701754396</v>
      </c>
      <c r="F100" s="61"/>
      <c r="G100" s="61"/>
      <c r="H100" s="61"/>
      <c r="I100" s="203">
        <f>Table8[[#This Row],[الاجمالي بدون الضريبه14%]]-Table8[[#This Row],[القاهرة ]]-Table8[[#This Row],[المنصورة ]]-Table8[[#This Row],[القانونيه ]]</f>
        <v>78318.280701754396</v>
      </c>
      <c r="J100" s="61">
        <f t="shared" si="26"/>
        <v>10964.5592982456</v>
      </c>
      <c r="K100" s="61">
        <f t="shared" si="27"/>
        <v>2349.548421052632</v>
      </c>
      <c r="L100" s="61">
        <f t="shared" si="28"/>
        <v>86933.291578947363</v>
      </c>
      <c r="M100" s="62">
        <v>86933.291578947363</v>
      </c>
      <c r="N100" s="181"/>
      <c r="O100" s="62">
        <f t="shared" si="29"/>
        <v>0</v>
      </c>
      <c r="P100" s="63"/>
      <c r="Q100" s="134">
        <f>IFERROR((Table8[[#This Row],[تاريخ الاستحقاق]]-Table8[[#This Row],[تاريخ اصدار الفاتورة ]]),0)</f>
        <v>-45865</v>
      </c>
      <c r="R100" s="133" t="str">
        <f ca="1">IF(Table8[[#This Row],[تاريخ الاستحقاق]]&lt;$S$1,"مستحق","غير مستحق")</f>
        <v>مستحق</v>
      </c>
      <c r="S100" s="135">
        <f ca="1">Table8[[#This Row],[تاريخ الاستحقاق]]-$S$1</f>
        <v>-46006</v>
      </c>
      <c r="T100" s="136"/>
      <c r="U100" s="184">
        <f>Table8[[#This Row],[المبلغ المسدد]]/1.14</f>
        <v>76257.273314866121</v>
      </c>
      <c r="V100" s="220"/>
    </row>
    <row r="101" spans="1:22">
      <c r="A101" s="58" t="s">
        <v>1196</v>
      </c>
      <c r="B101" s="59">
        <v>45809</v>
      </c>
      <c r="C101" s="60">
        <v>45865</v>
      </c>
      <c r="D101" s="61">
        <v>61425.32</v>
      </c>
      <c r="E101" s="61">
        <f t="shared" ref="E101:E102" si="30">D101/1.14</f>
        <v>53881.859649122809</v>
      </c>
      <c r="F101" s="61"/>
      <c r="G101" s="61"/>
      <c r="H101" s="61"/>
      <c r="I101" s="203">
        <f>Table8[[#This Row],[الاجمالي بدون الضريبه14%]]-Table8[[#This Row],[القاهرة ]]-Table8[[#This Row],[المنصورة ]]-Table8[[#This Row],[القانونيه ]]</f>
        <v>53881.859649122809</v>
      </c>
      <c r="J101" s="61">
        <f t="shared" ref="J101:J102" si="31">D101-E101</f>
        <v>7543.4603508771906</v>
      </c>
      <c r="K101" s="61">
        <f t="shared" ref="K101:K102" si="32">E101*$K$3</f>
        <v>1616.4557894736843</v>
      </c>
      <c r="L101" s="61">
        <f t="shared" ref="L101:L102" si="33">D101-K101</f>
        <v>59808.864210526313</v>
      </c>
      <c r="M101" s="62">
        <v>59808.864210526313</v>
      </c>
      <c r="N101" s="181"/>
      <c r="O101" s="62">
        <f t="shared" ref="O101:O102" si="34">M101-L101-N101</f>
        <v>0</v>
      </c>
      <c r="P101" s="63"/>
      <c r="Q101" s="134">
        <f>IFERROR((Table8[[#This Row],[تاريخ الاستحقاق]]-Table8[[#This Row],[تاريخ اصدار الفاتورة ]]),0)</f>
        <v>-45865</v>
      </c>
      <c r="R101" s="133" t="str">
        <f ca="1">IF(Table8[[#This Row],[تاريخ الاستحقاق]]&lt;$S$1,"مستحق","غير مستحق")</f>
        <v>مستحق</v>
      </c>
      <c r="S101" s="135">
        <f ca="1">Table8[[#This Row],[تاريخ الاستحقاق]]-$S$1</f>
        <v>-46006</v>
      </c>
      <c r="T101" s="136"/>
      <c r="U101" s="184">
        <f>Table8[[#This Row],[المبلغ المسدد]]/1.14</f>
        <v>52463.915974145893</v>
      </c>
      <c r="V101" s="220"/>
    </row>
    <row r="102" spans="1:22">
      <c r="A102" s="58" t="s">
        <v>1195</v>
      </c>
      <c r="B102" s="59">
        <v>45809</v>
      </c>
      <c r="C102" s="60">
        <v>45865</v>
      </c>
      <c r="D102" s="61">
        <v>41028.39</v>
      </c>
      <c r="E102" s="61">
        <f t="shared" si="30"/>
        <v>35989.815789473687</v>
      </c>
      <c r="F102" s="61"/>
      <c r="G102" s="61"/>
      <c r="H102" s="61"/>
      <c r="I102" s="203">
        <f>Table8[[#This Row],[الاجمالي بدون الضريبه14%]]-Table8[[#This Row],[القاهرة ]]-Table8[[#This Row],[المنصورة ]]-Table8[[#This Row],[القانونيه ]]</f>
        <v>35989.815789473687</v>
      </c>
      <c r="J102" s="61">
        <f t="shared" si="31"/>
        <v>5038.5742105263125</v>
      </c>
      <c r="K102" s="61">
        <f t="shared" si="32"/>
        <v>1079.6944736842106</v>
      </c>
      <c r="L102" s="61">
        <f t="shared" si="33"/>
        <v>39948.695526315787</v>
      </c>
      <c r="M102" s="62">
        <v>39948</v>
      </c>
      <c r="N102" s="181"/>
      <c r="O102" s="62">
        <f t="shared" si="34"/>
        <v>-0.6955263157869922</v>
      </c>
      <c r="P102" s="63"/>
      <c r="Q102" s="134">
        <f>IFERROR((Table8[[#This Row],[تاريخ الاستحقاق]]-Table8[[#This Row],[تاريخ اصدار الفاتورة ]]),0)</f>
        <v>-45865</v>
      </c>
      <c r="R102" s="133" t="str">
        <f ca="1">IF(Table8[[#This Row],[تاريخ الاستحقاق]]&lt;$S$1,"مستحق","غير مستحق")</f>
        <v>مستحق</v>
      </c>
      <c r="S102" s="135">
        <f ca="1">Table8[[#This Row],[تاريخ الاستحقاق]]-$S$1</f>
        <v>-46006</v>
      </c>
      <c r="T102" s="136"/>
      <c r="U102" s="184">
        <f>Table8[[#This Row],[المبلغ المسدد]]/1.14</f>
        <v>35042.1052631579</v>
      </c>
      <c r="V102" s="220"/>
    </row>
    <row r="103" spans="1:22">
      <c r="A103" s="58" t="s">
        <v>93</v>
      </c>
      <c r="B103" s="59">
        <v>45809</v>
      </c>
      <c r="C103" s="60">
        <v>45866</v>
      </c>
      <c r="D103" s="61">
        <v>115655.09</v>
      </c>
      <c r="E103" s="61">
        <f t="shared" ref="E103:E104" si="35">D103/1.14</f>
        <v>101451.83333333334</v>
      </c>
      <c r="F103" s="61"/>
      <c r="G103" s="61"/>
      <c r="H103" s="61"/>
      <c r="I103" s="203">
        <f>Table8[[#This Row],[الاجمالي بدون الضريبه14%]]-Table8[[#This Row],[القاهرة ]]-Table8[[#This Row],[المنصورة ]]-Table8[[#This Row],[القانونيه ]]</f>
        <v>101451.83333333334</v>
      </c>
      <c r="J103" s="61">
        <f t="shared" ref="J103:J104" si="36">D103-E103</f>
        <v>14203.256666666653</v>
      </c>
      <c r="K103" s="61">
        <f t="shared" ref="K103:K104" si="37">E103*$K$3</f>
        <v>3043.5550000000003</v>
      </c>
      <c r="L103" s="61">
        <f t="shared" ref="L103:L104" si="38">D103-K103</f>
        <v>112611.535</v>
      </c>
      <c r="M103" s="62">
        <v>112611.535</v>
      </c>
      <c r="N103" s="181"/>
      <c r="O103" s="62">
        <f t="shared" ref="O103:O104" si="39">M103-L103-N103</f>
        <v>0</v>
      </c>
      <c r="P103" s="63"/>
      <c r="Q103" s="134">
        <f>IFERROR((Table8[[#This Row],[تاريخ الاستحقاق]]-Table8[[#This Row],[تاريخ اصدار الفاتورة ]]),0)</f>
        <v>-45866</v>
      </c>
      <c r="R103" s="133" t="str">
        <f ca="1">IF(Table8[[#This Row],[تاريخ الاستحقاق]]&lt;$S$1,"مستحق","غير مستحق")</f>
        <v>مستحق</v>
      </c>
      <c r="S103" s="135">
        <f ca="1">Table8[[#This Row],[تاريخ الاستحقاق]]-$S$1</f>
        <v>-46006</v>
      </c>
      <c r="T103" s="136"/>
      <c r="U103" s="184">
        <f>Table8[[#This Row],[المبلغ المسدد]]/1.14</f>
        <v>98782.048245614045</v>
      </c>
      <c r="V103" s="220"/>
    </row>
    <row r="104" spans="1:22">
      <c r="A104" s="58" t="s">
        <v>411</v>
      </c>
      <c r="B104" s="59">
        <v>45809</v>
      </c>
      <c r="C104" s="60">
        <v>45869</v>
      </c>
      <c r="D104" s="61">
        <v>34148.14</v>
      </c>
      <c r="E104" s="61">
        <f t="shared" si="35"/>
        <v>29954.508771929828</v>
      </c>
      <c r="F104" s="61"/>
      <c r="G104" s="61"/>
      <c r="H104" s="61"/>
      <c r="I104" s="203">
        <f>Table8[[#This Row],[الاجمالي بدون الضريبه14%]]-Table8[[#This Row],[القاهرة ]]-Table8[[#This Row],[المنصورة ]]-Table8[[#This Row],[القانونيه ]]</f>
        <v>29954.508771929828</v>
      </c>
      <c r="J104" s="61">
        <f t="shared" si="36"/>
        <v>4193.6312280701713</v>
      </c>
      <c r="K104" s="61">
        <f t="shared" si="37"/>
        <v>898.63526315789477</v>
      </c>
      <c r="L104" s="61">
        <f t="shared" si="38"/>
        <v>33249.504736842107</v>
      </c>
      <c r="M104" s="62">
        <v>33249.504736842107</v>
      </c>
      <c r="N104" s="181"/>
      <c r="O104" s="62">
        <f t="shared" si="39"/>
        <v>0</v>
      </c>
      <c r="P104" s="63"/>
      <c r="Q104" s="134">
        <f>IFERROR((Table8[[#This Row],[تاريخ الاستحقاق]]-Table8[[#This Row],[تاريخ اصدار الفاتورة ]]),0)</f>
        <v>-45869</v>
      </c>
      <c r="R104" s="133" t="str">
        <f ca="1">IF(Table8[[#This Row],[تاريخ الاستحقاق]]&lt;$S$1,"مستحق","غير مستحق")</f>
        <v>مستحق</v>
      </c>
      <c r="S104" s="135">
        <f ca="1">Table8[[#This Row],[تاريخ الاستحقاق]]-$S$1</f>
        <v>-46006</v>
      </c>
      <c r="T104" s="136"/>
      <c r="U104" s="184">
        <f>Table8[[#This Row],[المبلغ المسدد]]/1.14</f>
        <v>29166.232225300097</v>
      </c>
      <c r="V104" s="220"/>
    </row>
    <row r="105" spans="1:22">
      <c r="A105" s="58" t="s">
        <v>83</v>
      </c>
      <c r="B105" s="59">
        <v>45839</v>
      </c>
      <c r="C105" s="60">
        <v>45879</v>
      </c>
      <c r="D105" s="61">
        <v>224080.76</v>
      </c>
      <c r="E105" s="61">
        <f t="shared" ref="E105:E106" si="40">D105/1.14</f>
        <v>196562.07017543862</v>
      </c>
      <c r="F105" s="61"/>
      <c r="G105" s="61"/>
      <c r="H105" s="61"/>
      <c r="I105" s="203">
        <f>Table8[[#This Row],[الاجمالي بدون الضريبه14%]]-Table8[[#This Row],[القاهرة ]]-Table8[[#This Row],[المنصورة ]]-Table8[[#This Row],[القانونيه ]]</f>
        <v>196562.07017543862</v>
      </c>
      <c r="J105" s="61">
        <f t="shared" ref="J105:J106" si="41">D105-E105</f>
        <v>27518.689824561385</v>
      </c>
      <c r="K105" s="61">
        <f t="shared" ref="K105:K106" si="42">E105*$K$3</f>
        <v>5896.8621052631588</v>
      </c>
      <c r="L105" s="61">
        <f t="shared" ref="L105:L106" si="43">D105-K105</f>
        <v>218183.89789473685</v>
      </c>
      <c r="M105" s="62">
        <v>214252.65649122806</v>
      </c>
      <c r="N105" s="181">
        <f>-Table8[[#This Row],[الاجمالي بدون الضريبه14%]]*0.02</f>
        <v>-3931.2414035087727</v>
      </c>
      <c r="O105" s="62">
        <f t="shared" ref="O105:O106" si="44">M105-L105-N105</f>
        <v>-1.3187673175707459E-11</v>
      </c>
      <c r="P105" s="63"/>
      <c r="Q105" s="134">
        <f>IFERROR((Table8[[#This Row],[تاريخ الاستحقاق]]-Table8[[#This Row],[تاريخ اصدار الفاتورة ]]),0)</f>
        <v>-45879</v>
      </c>
      <c r="R105" s="133" t="str">
        <f ca="1">IF(Table8[[#This Row],[تاريخ الاستحقاق]]&lt;$S$1,"مستحق","غير مستحق")</f>
        <v>مستحق</v>
      </c>
      <c r="S105" s="135">
        <f ca="1">Table8[[#This Row],[تاريخ الاستحقاق]]-$S$1</f>
        <v>-46006</v>
      </c>
      <c r="T105" s="136"/>
      <c r="U105" s="184">
        <f>Table8[[#This Row],[المبلغ المسدد]]/1.14</f>
        <v>187940.92674669129</v>
      </c>
      <c r="V105" s="220"/>
    </row>
    <row r="106" spans="1:22">
      <c r="A106" s="58" t="s">
        <v>32</v>
      </c>
      <c r="B106" s="59">
        <v>45839</v>
      </c>
      <c r="C106" s="60">
        <v>45882</v>
      </c>
      <c r="D106" s="61">
        <v>113904.66</v>
      </c>
      <c r="E106" s="61">
        <f t="shared" si="40"/>
        <v>99916.368421052641</v>
      </c>
      <c r="F106" s="61"/>
      <c r="G106" s="61"/>
      <c r="H106" s="61"/>
      <c r="I106" s="203">
        <f>Table8[[#This Row],[الاجمالي بدون الضريبه14%]]-Table8[[#This Row],[القاهرة ]]-Table8[[#This Row],[المنصورة ]]-Table8[[#This Row],[القانونيه ]]</f>
        <v>99916.368421052641</v>
      </c>
      <c r="J106" s="61">
        <f t="shared" si="41"/>
        <v>13988.291578947363</v>
      </c>
      <c r="K106" s="61">
        <f t="shared" si="42"/>
        <v>2997.4910526315789</v>
      </c>
      <c r="L106" s="61">
        <f t="shared" si="43"/>
        <v>110907.16894736842</v>
      </c>
      <c r="M106" s="62">
        <v>110907.16894736842</v>
      </c>
      <c r="N106" s="181"/>
      <c r="O106" s="62">
        <f t="shared" si="44"/>
        <v>0</v>
      </c>
      <c r="P106" s="63"/>
      <c r="Q106" s="134">
        <f>IFERROR((Table8[[#This Row],[تاريخ الاستحقاق]]-Table8[[#This Row],[تاريخ اصدار الفاتورة ]]),0)</f>
        <v>-45882</v>
      </c>
      <c r="R106" s="133" t="str">
        <f ca="1">IF(Table8[[#This Row],[تاريخ الاستحقاق]]&lt;$S$1,"مستحق","غير مستحق")</f>
        <v>مستحق</v>
      </c>
      <c r="S106" s="135">
        <f ca="1">Table8[[#This Row],[تاريخ الاستحقاق]]-$S$1</f>
        <v>-46006</v>
      </c>
      <c r="T106" s="136"/>
      <c r="U106" s="184">
        <f>Table8[[#This Row],[المبلغ المسدد]]/1.14</f>
        <v>97286.99030470915</v>
      </c>
      <c r="V106" s="220"/>
    </row>
    <row r="107" spans="1:22" s="264" customFormat="1">
      <c r="A107" s="255" t="s">
        <v>426</v>
      </c>
      <c r="B107" s="265">
        <v>45778</v>
      </c>
      <c r="C107" s="266">
        <v>45882</v>
      </c>
      <c r="D107" s="256">
        <v>79277.97</v>
      </c>
      <c r="E107" s="256">
        <f t="shared" ref="E107:E108" si="45">D107/1.14</f>
        <v>69542.078947368427</v>
      </c>
      <c r="F107" s="256"/>
      <c r="G107" s="256"/>
      <c r="H107" s="256"/>
      <c r="I107" s="256">
        <f>Table8[[#This Row],[الاجمالي بدون الضريبه14%]]-Table8[[#This Row],[القاهرة ]]-Table8[[#This Row],[المنصورة ]]-Table8[[#This Row],[القانونيه ]]</f>
        <v>69542.078947368427</v>
      </c>
      <c r="J107" s="256">
        <f t="shared" ref="J107:J108" si="46">D107-E107</f>
        <v>9735.891052631574</v>
      </c>
      <c r="K107" s="256">
        <f t="shared" ref="K107:K108" si="47">E107*$K$3</f>
        <v>2086.2623684210525</v>
      </c>
      <c r="L107" s="256">
        <f t="shared" ref="L107:L108" si="48">D107-K107</f>
        <v>77191.707631578945</v>
      </c>
      <c r="M107" s="181">
        <v>77191.707631578945</v>
      </c>
      <c r="N107" s="181"/>
      <c r="O107" s="181">
        <f t="shared" ref="O107:O108" si="49">M107-L107-N107</f>
        <v>0</v>
      </c>
      <c r="P107" s="257"/>
      <c r="Q107" s="258">
        <f>IFERROR((Table8[[#This Row],[تاريخ الاستحقاق]]-Table8[[#This Row],[تاريخ اصدار الفاتورة ]]),0)</f>
        <v>-45882</v>
      </c>
      <c r="R107" s="259" t="str">
        <f ca="1">IF(Table8[[#This Row],[تاريخ الاستحقاق]]&lt;$S$1,"مستحق","غير مستحق")</f>
        <v>مستحق</v>
      </c>
      <c r="S107" s="260">
        <f ca="1">Table8[[#This Row],[تاريخ الاستحقاق]]-$S$1</f>
        <v>-46006</v>
      </c>
      <c r="T107" s="261"/>
      <c r="U107" s="262">
        <f>Table8[[#This Row],[المبلغ المسدد]]/1.14</f>
        <v>67712.024238227154</v>
      </c>
      <c r="V107" s="263"/>
    </row>
    <row r="108" spans="1:22">
      <c r="A108" s="58" t="s">
        <v>93</v>
      </c>
      <c r="B108" s="59">
        <v>45839</v>
      </c>
      <c r="C108" s="60">
        <v>45886</v>
      </c>
      <c r="D108" s="61">
        <v>130381.4</v>
      </c>
      <c r="E108" s="61">
        <f t="shared" si="45"/>
        <v>114369.64912280702</v>
      </c>
      <c r="F108" s="61"/>
      <c r="G108" s="61"/>
      <c r="H108" s="61"/>
      <c r="I108" s="203">
        <f>Table8[[#This Row],[الاجمالي بدون الضريبه14%]]-Table8[[#This Row],[القاهرة ]]-Table8[[#This Row],[المنصورة ]]-Table8[[#This Row],[القانونيه ]]</f>
        <v>114369.64912280702</v>
      </c>
      <c r="J108" s="61">
        <f t="shared" si="46"/>
        <v>16011.750877192972</v>
      </c>
      <c r="K108" s="61">
        <f t="shared" si="47"/>
        <v>3431.0894736842106</v>
      </c>
      <c r="L108" s="61">
        <f t="shared" si="48"/>
        <v>126950.31052631578</v>
      </c>
      <c r="M108" s="62">
        <v>126950.31052631578</v>
      </c>
      <c r="N108" s="181"/>
      <c r="O108" s="62">
        <f t="shared" si="49"/>
        <v>0</v>
      </c>
      <c r="P108" s="63"/>
      <c r="Q108" s="134">
        <f>IFERROR((Table8[[#This Row],[تاريخ الاستحقاق]]-Table8[[#This Row],[تاريخ اصدار الفاتورة ]]),0)</f>
        <v>-45886</v>
      </c>
      <c r="R108" s="133" t="str">
        <f ca="1">IF(Table8[[#This Row],[تاريخ الاستحقاق]]&lt;$S$1,"مستحق","غير مستحق")</f>
        <v>مستحق</v>
      </c>
      <c r="S108" s="135">
        <f ca="1">Table8[[#This Row],[تاريخ الاستحقاق]]-$S$1</f>
        <v>-46006</v>
      </c>
      <c r="T108" s="136"/>
      <c r="U108" s="184">
        <f>Table8[[#This Row],[المبلغ المسدد]]/1.14</f>
        <v>111359.9215143121</v>
      </c>
      <c r="V108" s="220"/>
    </row>
    <row r="109" spans="1:22">
      <c r="A109" s="58" t="s">
        <v>1078</v>
      </c>
      <c r="B109" s="59">
        <v>45839</v>
      </c>
      <c r="C109" s="60">
        <v>45886</v>
      </c>
      <c r="D109" s="61">
        <v>88920</v>
      </c>
      <c r="E109" s="61">
        <f t="shared" ref="E109:E110" si="50">D109/1.14</f>
        <v>78000</v>
      </c>
      <c r="F109" s="61"/>
      <c r="G109" s="61"/>
      <c r="H109" s="61"/>
      <c r="I109" s="203">
        <f>Table8[[#This Row],[الاجمالي بدون الضريبه14%]]-Table8[[#This Row],[القاهرة ]]-Table8[[#This Row],[المنصورة ]]-Table8[[#This Row],[القانونيه ]]</f>
        <v>78000</v>
      </c>
      <c r="J109" s="61">
        <f t="shared" ref="J109:J110" si="51">D109-E109</f>
        <v>10920</v>
      </c>
      <c r="K109" s="61">
        <f t="shared" ref="K109:K110" si="52">E109*$K$3</f>
        <v>2340</v>
      </c>
      <c r="L109" s="61">
        <f t="shared" ref="L109" si="53">D109-K109</f>
        <v>86580</v>
      </c>
      <c r="M109" s="62">
        <v>86580</v>
      </c>
      <c r="N109" s="181"/>
      <c r="O109" s="62">
        <f t="shared" ref="O109" si="54">M109-L109-N109</f>
        <v>0</v>
      </c>
      <c r="P109" s="63"/>
      <c r="Q109" s="134">
        <f>IFERROR((Table8[[#This Row],[تاريخ الاستحقاق]]-Table8[[#This Row],[تاريخ اصدار الفاتورة ]]),0)</f>
        <v>-45886</v>
      </c>
      <c r="R109" s="133" t="str">
        <f ca="1">IF(Table8[[#This Row],[تاريخ الاستحقاق]]&lt;$S$1,"مستحق","غير مستحق")</f>
        <v>مستحق</v>
      </c>
      <c r="S109" s="135">
        <f ca="1">Table8[[#This Row],[تاريخ الاستحقاق]]-$S$1</f>
        <v>-46006</v>
      </c>
      <c r="T109" s="136"/>
      <c r="U109" s="184">
        <f>Table8[[#This Row],[المبلغ المسدد]]/1.14</f>
        <v>75947.368421052641</v>
      </c>
      <c r="V109" s="220"/>
    </row>
    <row r="110" spans="1:22">
      <c r="A110" s="58" t="s">
        <v>75</v>
      </c>
      <c r="B110" s="59">
        <v>45839</v>
      </c>
      <c r="C110" s="60">
        <v>45887</v>
      </c>
      <c r="D110" s="61">
        <v>188494.95</v>
      </c>
      <c r="E110" s="61">
        <f t="shared" si="50"/>
        <v>165346.44736842107</v>
      </c>
      <c r="F110" s="61"/>
      <c r="G110" s="61"/>
      <c r="H110" s="61"/>
      <c r="I110" s="203">
        <f>Table8[[#This Row],[الاجمالي بدون الضريبه14%]]-Table8[[#This Row],[القاهرة ]]-Table8[[#This Row],[المنصورة ]]-Table8[[#This Row],[القانونيه ]]</f>
        <v>165346.44736842107</v>
      </c>
      <c r="J110" s="61">
        <f t="shared" si="51"/>
        <v>23148.502631578944</v>
      </c>
      <c r="K110" s="61">
        <f t="shared" si="52"/>
        <v>4960.3934210526322</v>
      </c>
      <c r="L110" s="61">
        <f>D110-K110</f>
        <v>183534.55657894738</v>
      </c>
      <c r="M110" s="62">
        <v>183534.55657894738</v>
      </c>
      <c r="N110" s="181"/>
      <c r="O110" s="62">
        <f>M110-L110-N110</f>
        <v>0</v>
      </c>
      <c r="P110" s="63"/>
      <c r="Q110" s="134">
        <f>IFERROR((Table8[[#This Row],[تاريخ الاستحقاق]]-Table8[[#This Row],[تاريخ اصدار الفاتورة ]]),0)</f>
        <v>-45887</v>
      </c>
      <c r="R110" s="133" t="str">
        <f ca="1">IF(Table8[[#This Row],[تاريخ الاستحقاق]]&lt;$S$1,"مستحق","غير مستحق")</f>
        <v>مستحق</v>
      </c>
      <c r="S110" s="135">
        <f ca="1">Table8[[#This Row],[تاريخ الاستحقاق]]-$S$1</f>
        <v>-46006</v>
      </c>
      <c r="T110" s="136"/>
      <c r="U110" s="184">
        <f>Table8[[#This Row],[المبلغ المسدد]]/1.14</f>
        <v>160995.2250692521</v>
      </c>
      <c r="V110" s="220"/>
    </row>
    <row r="111" spans="1:22">
      <c r="A111" s="58" t="s">
        <v>1195</v>
      </c>
      <c r="B111" s="59">
        <v>45839</v>
      </c>
      <c r="C111" s="60">
        <v>45887</v>
      </c>
      <c r="D111" s="61">
        <v>13812.7</v>
      </c>
      <c r="E111" s="61">
        <f t="shared" ref="E111:E130" si="55">D111/1.14</f>
        <v>12116.403508771931</v>
      </c>
      <c r="F111" s="61"/>
      <c r="G111" s="61"/>
      <c r="H111" s="61"/>
      <c r="I111" s="203">
        <f>Table8[[#This Row],[الاجمالي بدون الضريبه14%]]-Table8[[#This Row],[القاهرة ]]-Table8[[#This Row],[المنصورة ]]-Table8[[#This Row],[القانونيه ]]</f>
        <v>12116.403508771931</v>
      </c>
      <c r="J111" s="61">
        <f t="shared" ref="J111:J130" si="56">D111-E111</f>
        <v>1696.2964912280695</v>
      </c>
      <c r="K111" s="61">
        <f t="shared" ref="K111:K130" si="57">E111*$K$3</f>
        <v>363.4921052631579</v>
      </c>
      <c r="L111" s="61">
        <f t="shared" ref="L111:L130" si="58">D111-K111</f>
        <v>13449.207894736843</v>
      </c>
      <c r="M111" s="62">
        <v>13449.207894736843</v>
      </c>
      <c r="N111" s="181"/>
      <c r="O111" s="62">
        <f t="shared" ref="O111:O130" si="59">M111-L111-N111</f>
        <v>0</v>
      </c>
      <c r="P111" s="63"/>
      <c r="Q111" s="134">
        <f>IFERROR((Table8[[#This Row],[تاريخ الاستحقاق]]-Table8[[#This Row],[تاريخ اصدار الفاتورة ]]),0)</f>
        <v>-45887</v>
      </c>
      <c r="R111" s="133" t="str">
        <f ca="1">IF(Table8[[#This Row],[تاريخ الاستحقاق]]&lt;$S$1,"مستحق","غير مستحق")</f>
        <v>مستحق</v>
      </c>
      <c r="S111" s="135">
        <f ca="1">Table8[[#This Row],[تاريخ الاستحقاق]]-$S$1</f>
        <v>-46006</v>
      </c>
      <c r="T111" s="136"/>
      <c r="U111" s="184">
        <f>Table8[[#This Row],[المبلغ المسدد]]/1.14</f>
        <v>11797.550784856881</v>
      </c>
      <c r="V111" s="220"/>
    </row>
    <row r="112" spans="1:22">
      <c r="A112" s="58" t="s">
        <v>1196</v>
      </c>
      <c r="B112" s="59">
        <v>45839</v>
      </c>
      <c r="C112" s="60">
        <v>45902</v>
      </c>
      <c r="D112" s="61">
        <v>53887.34</v>
      </c>
      <c r="E112" s="61">
        <f t="shared" ref="E112:E113" si="60">D112/1.14</f>
        <v>47269.596491228069</v>
      </c>
      <c r="F112" s="61"/>
      <c r="G112" s="61"/>
      <c r="H112" s="61"/>
      <c r="I112" s="203">
        <f>Table8[[#This Row],[الاجمالي بدون الضريبه14%]]-Table8[[#This Row],[القاهرة ]]-Table8[[#This Row],[المنصورة ]]-Table8[[#This Row],[القانونيه ]]</f>
        <v>47269.596491228069</v>
      </c>
      <c r="J112" s="61">
        <f t="shared" ref="J112:J113" si="61">D112-E112</f>
        <v>6617.7435087719277</v>
      </c>
      <c r="K112" s="61">
        <f t="shared" ref="K112:K113" si="62">E112*$K$3</f>
        <v>1418.0878947368419</v>
      </c>
      <c r="L112" s="61">
        <f t="shared" ref="L112:L113" si="63">D112-K112</f>
        <v>52469.252105263156</v>
      </c>
      <c r="M112" s="62">
        <v>52469.252105263156</v>
      </c>
      <c r="N112" s="181"/>
      <c r="O112" s="62">
        <f t="shared" ref="O112:O113" si="64">M112-L112-N112</f>
        <v>0</v>
      </c>
      <c r="P112" s="63"/>
      <c r="Q112" s="134">
        <f>IFERROR((Table8[[#This Row],[تاريخ الاستحقاق]]-Table8[[#This Row],[تاريخ اصدار الفاتورة ]]),0)</f>
        <v>-45902</v>
      </c>
      <c r="R112" s="133" t="str">
        <f ca="1">IF(Table8[[#This Row],[تاريخ الاستحقاق]]&lt;$S$1,"مستحق","غير مستحق")</f>
        <v>مستحق</v>
      </c>
      <c r="S112" s="135">
        <f ca="1">Table8[[#This Row],[تاريخ الاستحقاق]]-$S$1</f>
        <v>-46006</v>
      </c>
      <c r="T112" s="136"/>
      <c r="U112" s="184">
        <f>Table8[[#This Row],[المبلغ المسدد]]/1.14</f>
        <v>46025.659741458912</v>
      </c>
      <c r="V112" s="220"/>
    </row>
    <row r="113" spans="1:22">
      <c r="A113" s="58" t="s">
        <v>1197</v>
      </c>
      <c r="B113" s="59">
        <v>45839</v>
      </c>
      <c r="C113" s="60">
        <v>45887</v>
      </c>
      <c r="D113" s="61">
        <v>76622.039999999994</v>
      </c>
      <c r="E113" s="61">
        <f t="shared" si="60"/>
        <v>67212.31578947368</v>
      </c>
      <c r="F113" s="61"/>
      <c r="G113" s="61"/>
      <c r="H113" s="61"/>
      <c r="I113" s="203">
        <f>Table8[[#This Row],[الاجمالي بدون الضريبه14%]]-Table8[[#This Row],[القاهرة ]]-Table8[[#This Row],[المنصورة ]]-Table8[[#This Row],[القانونيه ]]</f>
        <v>67212.31578947368</v>
      </c>
      <c r="J113" s="61">
        <f t="shared" si="61"/>
        <v>9409.724210526314</v>
      </c>
      <c r="K113" s="61">
        <f t="shared" si="62"/>
        <v>2016.3694736842103</v>
      </c>
      <c r="L113" s="61">
        <f t="shared" si="63"/>
        <v>74605.670526315778</v>
      </c>
      <c r="M113" s="62">
        <v>74605.670526315778</v>
      </c>
      <c r="N113" s="181"/>
      <c r="O113" s="62">
        <f t="shared" si="64"/>
        <v>0</v>
      </c>
      <c r="P113" s="63"/>
      <c r="Q113" s="134">
        <f>IFERROR((Table8[[#This Row],[تاريخ الاستحقاق]]-Table8[[#This Row],[تاريخ اصدار الفاتورة ]]),0)</f>
        <v>-45887</v>
      </c>
      <c r="R113" s="133" t="str">
        <f ca="1">IF(Table8[[#This Row],[تاريخ الاستحقاق]]&lt;$S$1,"مستحق","غير مستحق")</f>
        <v>مستحق</v>
      </c>
      <c r="S113" s="135">
        <f ca="1">Table8[[#This Row],[تاريخ الاستحقاق]]-$S$1</f>
        <v>-46006</v>
      </c>
      <c r="T113" s="136"/>
      <c r="U113" s="184">
        <f>Table8[[#This Row],[المبلغ المسدد]]/1.14</f>
        <v>65443.570637119112</v>
      </c>
      <c r="V113" s="220"/>
    </row>
    <row r="114" spans="1:22">
      <c r="A114" s="58" t="s">
        <v>80</v>
      </c>
      <c r="B114" s="59">
        <v>45839</v>
      </c>
      <c r="C114" s="60">
        <v>45888</v>
      </c>
      <c r="D114" s="61">
        <v>75168.7</v>
      </c>
      <c r="E114" s="61">
        <f t="shared" ref="E114:E115" si="65">D114/1.14</f>
        <v>65937.456140350885</v>
      </c>
      <c r="F114" s="61"/>
      <c r="G114" s="61"/>
      <c r="H114" s="61"/>
      <c r="I114" s="203">
        <f>Table8[[#This Row],[الاجمالي بدون الضريبه14%]]-Table8[[#This Row],[القاهرة ]]-Table8[[#This Row],[المنصورة ]]-Table8[[#This Row],[القانونيه ]]</f>
        <v>65937.456140350885</v>
      </c>
      <c r="J114" s="61">
        <f t="shared" ref="J114:J115" si="66">D114-E114</f>
        <v>9231.243859649112</v>
      </c>
      <c r="K114" s="61">
        <f t="shared" ref="K114:K115" si="67">E114*$K$3</f>
        <v>1978.1236842105266</v>
      </c>
      <c r="L114" s="61">
        <f t="shared" ref="L114:L115" si="68">D114-K114</f>
        <v>73190.576315789469</v>
      </c>
      <c r="M114" s="62">
        <v>71871.827192982499</v>
      </c>
      <c r="N114" s="181">
        <f>-Table8[[#This Row],[الاجمالي بدون الضريبه14%]]*0.02</f>
        <v>-1318.7491228070178</v>
      </c>
      <c r="O114" s="62">
        <f t="shared" ref="O114:O115" si="69">M114-L114-N114</f>
        <v>4.75210981676355E-11</v>
      </c>
      <c r="P114" s="63"/>
      <c r="Q114" s="134">
        <f>IFERROR((Table8[[#This Row],[تاريخ الاستحقاق]]-Table8[[#This Row],[تاريخ اصدار الفاتورة ]]),0)</f>
        <v>-45888</v>
      </c>
      <c r="R114" s="133" t="str">
        <f ca="1">IF(Table8[[#This Row],[تاريخ الاستحقاق]]&lt;$S$1,"مستحق","غير مستحق")</f>
        <v>مستحق</v>
      </c>
      <c r="S114" s="135">
        <f ca="1">Table8[[#This Row],[تاريخ الاستحقاق]]-$S$1</f>
        <v>-46006</v>
      </c>
      <c r="T114" s="136"/>
      <c r="U114" s="184">
        <f>Table8[[#This Row],[المبلغ المسدد]]/1.14</f>
        <v>63045.462449984654</v>
      </c>
      <c r="V114" s="220"/>
    </row>
    <row r="115" spans="1:22">
      <c r="A115" s="58" t="s">
        <v>396</v>
      </c>
      <c r="B115" s="59">
        <v>45809</v>
      </c>
      <c r="C115" s="60">
        <v>45889</v>
      </c>
      <c r="D115" s="61">
        <v>100803.99</v>
      </c>
      <c r="E115" s="61">
        <f t="shared" si="65"/>
        <v>88424.552631578961</v>
      </c>
      <c r="F115" s="61"/>
      <c r="G115" s="61"/>
      <c r="H115" s="61"/>
      <c r="I115" s="203">
        <f>Table8[[#This Row],[الاجمالي بدون الضريبه14%]]-Table8[[#This Row],[القاهرة ]]-Table8[[#This Row],[المنصورة ]]-Table8[[#This Row],[القانونيه ]]</f>
        <v>88424.552631578961</v>
      </c>
      <c r="J115" s="61">
        <f t="shared" si="66"/>
        <v>12379.437368421044</v>
      </c>
      <c r="K115" s="61">
        <f t="shared" si="67"/>
        <v>2652.7365789473688</v>
      </c>
      <c r="L115" s="61">
        <f t="shared" si="68"/>
        <v>98151.253421052636</v>
      </c>
      <c r="M115" s="62">
        <v>98151.253421052636</v>
      </c>
      <c r="N115" s="181"/>
      <c r="O115" s="62">
        <f t="shared" si="69"/>
        <v>0</v>
      </c>
      <c r="P115" s="63"/>
      <c r="Q115" s="134">
        <f>IFERROR((Table8[[#This Row],[تاريخ الاستحقاق]]-Table8[[#This Row],[تاريخ اصدار الفاتورة ]]),0)</f>
        <v>-45889</v>
      </c>
      <c r="R115" s="133" t="str">
        <f ca="1">IF(Table8[[#This Row],[تاريخ الاستحقاق]]&lt;$S$1,"مستحق","غير مستحق")</f>
        <v>مستحق</v>
      </c>
      <c r="S115" s="135">
        <f ca="1">Table8[[#This Row],[تاريخ الاستحقاق]]-$S$1</f>
        <v>-46006</v>
      </c>
      <c r="T115" s="136"/>
      <c r="U115" s="184">
        <f>Table8[[#This Row],[المبلغ المسدد]]/1.14</f>
        <v>86097.590720221619</v>
      </c>
      <c r="V115" s="220"/>
    </row>
    <row r="116" spans="1:22">
      <c r="A116" s="58" t="s">
        <v>396</v>
      </c>
      <c r="B116" s="59">
        <v>45839</v>
      </c>
      <c r="C116" s="60">
        <v>45896</v>
      </c>
      <c r="D116" s="61">
        <v>194872.22</v>
      </c>
      <c r="E116" s="61">
        <f t="shared" ref="E116:E117" si="70">D116/1.14</f>
        <v>170940.54385964913</v>
      </c>
      <c r="F116" s="61"/>
      <c r="G116" s="61"/>
      <c r="H116" s="61"/>
      <c r="I116" s="203">
        <f>Table8[[#This Row],[الاجمالي بدون الضريبه14%]]-Table8[[#This Row],[القاهرة ]]-Table8[[#This Row],[المنصورة ]]-Table8[[#This Row],[القانونيه ]]</f>
        <v>170940.54385964913</v>
      </c>
      <c r="J116" s="61">
        <f t="shared" ref="J116:J117" si="71">D116-E116</f>
        <v>23931.676140350872</v>
      </c>
      <c r="K116" s="61">
        <f t="shared" ref="K116:K117" si="72">E116*$K$3</f>
        <v>5128.2163157894738</v>
      </c>
      <c r="L116" s="61">
        <f t="shared" ref="L116:L117" si="73">D116-K116</f>
        <v>189744.00368421053</v>
      </c>
      <c r="M116" s="62">
        <v>189744.00368421053</v>
      </c>
      <c r="N116" s="181"/>
      <c r="O116" s="62">
        <f t="shared" ref="O116:O117" si="74">M116-L116-N116</f>
        <v>0</v>
      </c>
      <c r="P116" s="63"/>
      <c r="Q116" s="134">
        <f>IFERROR((Table8[[#This Row],[تاريخ الاستحقاق]]-Table8[[#This Row],[تاريخ اصدار الفاتورة ]]),0)</f>
        <v>-45896</v>
      </c>
      <c r="R116" s="133" t="str">
        <f ca="1">IF(Table8[[#This Row],[تاريخ الاستحقاق]]&lt;$S$1,"مستحق","غير مستحق")</f>
        <v>مستحق</v>
      </c>
      <c r="S116" s="135">
        <f ca="1">Table8[[#This Row],[تاريخ الاستحقاق]]-$S$1</f>
        <v>-46006</v>
      </c>
      <c r="T116" s="136"/>
      <c r="U116" s="184">
        <f>Table8[[#This Row],[المبلغ المسدد]]/1.14</f>
        <v>166442.10849492153</v>
      </c>
      <c r="V116" s="220"/>
    </row>
    <row r="117" spans="1:22">
      <c r="A117" s="58" t="s">
        <v>1038</v>
      </c>
      <c r="B117" s="59">
        <v>45839</v>
      </c>
      <c r="C117" s="60">
        <v>45896</v>
      </c>
      <c r="D117" s="61">
        <v>106270.86</v>
      </c>
      <c r="E117" s="61">
        <f t="shared" si="70"/>
        <v>93220.052631578961</v>
      </c>
      <c r="F117" s="61"/>
      <c r="G117" s="61"/>
      <c r="H117" s="61"/>
      <c r="I117" s="203">
        <f>Table8[[#This Row],[الاجمالي بدون الضريبه14%]]-Table8[[#This Row],[القاهرة ]]-Table8[[#This Row],[المنصورة ]]-Table8[[#This Row],[القانونيه ]]</f>
        <v>93220.052631578961</v>
      </c>
      <c r="J117" s="61">
        <f t="shared" si="71"/>
        <v>13050.807368421039</v>
      </c>
      <c r="K117" s="61">
        <f t="shared" si="72"/>
        <v>2796.6015789473686</v>
      </c>
      <c r="L117" s="61">
        <f t="shared" si="73"/>
        <v>103474.25842105263</v>
      </c>
      <c r="M117" s="62">
        <v>103474.25842105263</v>
      </c>
      <c r="N117" s="181"/>
      <c r="O117" s="62">
        <f t="shared" si="74"/>
        <v>0</v>
      </c>
      <c r="P117" s="63"/>
      <c r="Q117" s="134">
        <f>IFERROR((Table8[[#This Row],[تاريخ الاستحقاق]]-Table8[[#This Row],[تاريخ اصدار الفاتورة ]]),0)</f>
        <v>-45896</v>
      </c>
      <c r="R117" s="133" t="str">
        <f ca="1">IF(Table8[[#This Row],[تاريخ الاستحقاق]]&lt;$S$1,"مستحق","غير مستحق")</f>
        <v>مستحق</v>
      </c>
      <c r="S117" s="135">
        <f ca="1">Table8[[#This Row],[تاريخ الاستحقاق]]-$S$1</f>
        <v>-46006</v>
      </c>
      <c r="T117" s="136"/>
      <c r="U117" s="184">
        <f>Table8[[#This Row],[المبلغ المسدد]]/1.14</f>
        <v>90766.893351800551</v>
      </c>
      <c r="V117" s="220"/>
    </row>
    <row r="118" spans="1:22" s="264" customFormat="1">
      <c r="A118" s="255" t="s">
        <v>426</v>
      </c>
      <c r="B118" s="265">
        <v>45809</v>
      </c>
      <c r="C118" s="266">
        <v>45896</v>
      </c>
      <c r="D118" s="256">
        <v>58966.07</v>
      </c>
      <c r="E118" s="256">
        <f t="shared" ref="E118:E119" si="75">D118/1.14</f>
        <v>51724.622807017549</v>
      </c>
      <c r="F118" s="256"/>
      <c r="G118" s="256"/>
      <c r="H118" s="256"/>
      <c r="I118" s="256">
        <f>Table8[[#This Row],[الاجمالي بدون الضريبه14%]]-Table8[[#This Row],[القاهرة ]]-Table8[[#This Row],[المنصورة ]]-Table8[[#This Row],[القانونيه ]]</f>
        <v>51724.622807017549</v>
      </c>
      <c r="J118" s="256">
        <f t="shared" ref="J118:J119" si="76">D118-E118</f>
        <v>7241.4471929824504</v>
      </c>
      <c r="K118" s="256">
        <f t="shared" ref="K118:K119" si="77">E118*$K$3</f>
        <v>1551.7386842105263</v>
      </c>
      <c r="L118" s="256">
        <f t="shared" ref="L118:L119" si="78">D118-K118</f>
        <v>57414.331315789474</v>
      </c>
      <c r="M118" s="181">
        <v>57414.331315789474</v>
      </c>
      <c r="N118" s="181"/>
      <c r="O118" s="181">
        <f t="shared" ref="O118:O119" si="79">M118-L118-N118</f>
        <v>0</v>
      </c>
      <c r="P118" s="257"/>
      <c r="Q118" s="258">
        <f>IFERROR((Table8[[#This Row],[تاريخ الاستحقاق]]-Table8[[#This Row],[تاريخ اصدار الفاتورة ]]),0)</f>
        <v>-45896</v>
      </c>
      <c r="R118" s="259" t="str">
        <f ca="1">IF(Table8[[#This Row],[تاريخ الاستحقاق]]&lt;$S$1,"مستحق","غير مستحق")</f>
        <v>مستحق</v>
      </c>
      <c r="S118" s="260">
        <f ca="1">Table8[[#This Row],[تاريخ الاستحقاق]]-$S$1</f>
        <v>-46006</v>
      </c>
      <c r="T118" s="261"/>
      <c r="U118" s="262">
        <f>Table8[[#This Row],[المبلغ المسدد]]/1.14</f>
        <v>50363.448522622348</v>
      </c>
      <c r="V118" s="263"/>
    </row>
    <row r="119" spans="1:22">
      <c r="A119" s="58" t="s">
        <v>354</v>
      </c>
      <c r="B119" s="59">
        <v>45839</v>
      </c>
      <c r="C119" s="60">
        <v>45896</v>
      </c>
      <c r="D119" s="61">
        <v>186960</v>
      </c>
      <c r="E119" s="61">
        <f t="shared" si="75"/>
        <v>164000</v>
      </c>
      <c r="F119" s="61"/>
      <c r="G119" s="61"/>
      <c r="H119" s="61"/>
      <c r="I119" s="203">
        <f>Table8[[#This Row],[الاجمالي بدون الضريبه14%]]-Table8[[#This Row],[القاهرة ]]-Table8[[#This Row],[المنصورة ]]-Table8[[#This Row],[القانونيه ]]</f>
        <v>164000</v>
      </c>
      <c r="J119" s="61">
        <f t="shared" si="76"/>
        <v>22960</v>
      </c>
      <c r="K119" s="61">
        <f t="shared" si="77"/>
        <v>4920</v>
      </c>
      <c r="L119" s="61">
        <f t="shared" si="78"/>
        <v>182040</v>
      </c>
      <c r="M119" s="62">
        <v>182040</v>
      </c>
      <c r="N119" s="181"/>
      <c r="O119" s="62">
        <f t="shared" si="79"/>
        <v>0</v>
      </c>
      <c r="P119" s="63"/>
      <c r="Q119" s="134">
        <f>IFERROR((Table8[[#This Row],[تاريخ الاستحقاق]]-Table8[[#This Row],[تاريخ اصدار الفاتورة ]]),0)</f>
        <v>-45896</v>
      </c>
      <c r="R119" s="133" t="str">
        <f ca="1">IF(Table8[[#This Row],[تاريخ الاستحقاق]]&lt;$S$1,"مستحق","غير مستحق")</f>
        <v>مستحق</v>
      </c>
      <c r="S119" s="135">
        <f ca="1">Table8[[#This Row],[تاريخ الاستحقاق]]-$S$1</f>
        <v>-46006</v>
      </c>
      <c r="T119" s="136"/>
      <c r="U119" s="184">
        <f>Table8[[#This Row],[المبلغ المسدد]]/1.14</f>
        <v>159684.21052631582</v>
      </c>
      <c r="V119" s="220"/>
    </row>
    <row r="120" spans="1:22">
      <c r="A120" s="58" t="s">
        <v>411</v>
      </c>
      <c r="B120" s="59">
        <v>45839</v>
      </c>
      <c r="C120" s="60">
        <v>45902</v>
      </c>
      <c r="D120" s="61">
        <v>47930.19</v>
      </c>
      <c r="E120" s="61">
        <f t="shared" ref="E120:E121" si="80">D120/1.14</f>
        <v>42044.026315789481</v>
      </c>
      <c r="F120" s="61"/>
      <c r="G120" s="61"/>
      <c r="H120" s="61"/>
      <c r="I120" s="203">
        <f>Table8[[#This Row],[الاجمالي بدون الضريبه14%]]-Table8[[#This Row],[القاهرة ]]-Table8[[#This Row],[المنصورة ]]-Table8[[#This Row],[القانونيه ]]</f>
        <v>42044.026315789481</v>
      </c>
      <c r="J120" s="61">
        <f t="shared" ref="J120:J121" si="81">D120-E120</f>
        <v>5886.1636842105218</v>
      </c>
      <c r="K120" s="61">
        <f t="shared" ref="K120:K121" si="82">E120*$K$3</f>
        <v>1261.3207894736843</v>
      </c>
      <c r="L120" s="61">
        <f t="shared" ref="L120" si="83">D120-K120</f>
        <v>46668.869210526318</v>
      </c>
      <c r="M120" s="62">
        <v>46668.869210526318</v>
      </c>
      <c r="N120" s="181"/>
      <c r="O120" s="62">
        <f t="shared" ref="O120:O121" si="84">M120-L120-N120</f>
        <v>0</v>
      </c>
      <c r="P120" s="63"/>
      <c r="Q120" s="134">
        <f>IFERROR((Table8[[#This Row],[تاريخ الاستحقاق]]-Table8[[#This Row],[تاريخ اصدار الفاتورة ]]),0)</f>
        <v>-45902</v>
      </c>
      <c r="R120" s="133" t="str">
        <f ca="1">IF(Table8[[#This Row],[تاريخ الاستحقاق]]&lt;$S$1,"مستحق","غير مستحق")</f>
        <v>مستحق</v>
      </c>
      <c r="S120" s="135">
        <f ca="1">Table8[[#This Row],[تاريخ الاستحقاق]]-$S$1</f>
        <v>-46006</v>
      </c>
      <c r="T120" s="136"/>
      <c r="U120" s="184">
        <f>Table8[[#This Row],[المبلغ المسدد]]/1.14</f>
        <v>40937.604570637122</v>
      </c>
      <c r="V120" s="220"/>
    </row>
    <row r="121" spans="1:22">
      <c r="A121" s="58" t="s">
        <v>83</v>
      </c>
      <c r="B121" s="59">
        <v>45870</v>
      </c>
      <c r="C121" s="60">
        <v>45911</v>
      </c>
      <c r="D121" s="61">
        <v>377063.6298</v>
      </c>
      <c r="E121" s="61">
        <f t="shared" si="80"/>
        <v>330757.57</v>
      </c>
      <c r="F121" s="61"/>
      <c r="G121" s="61"/>
      <c r="H121" s="61"/>
      <c r="I121" s="203">
        <f>Table8[[#This Row],[الاجمالي بدون الضريبه14%]]-Table8[[#This Row],[القاهرة ]]-Table8[[#This Row],[المنصورة ]]-Table8[[#This Row],[القانونيه ]]</f>
        <v>330757.57</v>
      </c>
      <c r="J121" s="61">
        <f t="shared" si="81"/>
        <v>46306.059799999988</v>
      </c>
      <c r="K121" s="61">
        <f t="shared" si="82"/>
        <v>9922.7271000000001</v>
      </c>
      <c r="L121" s="61">
        <f>D121-K121</f>
        <v>367140.90269999998</v>
      </c>
      <c r="M121" s="62">
        <v>360525.7513</v>
      </c>
      <c r="N121" s="181">
        <f>-Table8[[#This Row],[الاجمالي بدون الضريبه14%]]*0.02</f>
        <v>-6615.1514000000006</v>
      </c>
      <c r="O121" s="62">
        <f t="shared" si="84"/>
        <v>2.7284841053187847E-11</v>
      </c>
      <c r="P121" s="63"/>
      <c r="Q121" s="134">
        <f>IFERROR((Table8[[#This Row],[تاريخ الاستحقاق]]-Table8[[#This Row],[تاريخ اصدار الفاتورة ]]),0)</f>
        <v>-45911</v>
      </c>
      <c r="R121" s="133" t="str">
        <f ca="1">IF(Table8[[#This Row],[تاريخ الاستحقاق]]&lt;$S$1,"مستحق","غير مستحق")</f>
        <v>مستحق</v>
      </c>
      <c r="S121" s="135">
        <f ca="1">Table8[[#This Row],[تاريخ الاستحقاق]]-$S$1</f>
        <v>-46006</v>
      </c>
      <c r="T121" s="136"/>
      <c r="U121" s="184">
        <f>Table8[[#This Row],[المبلغ المسدد]]/1.14</f>
        <v>316250.65903508774</v>
      </c>
      <c r="V121" s="220"/>
    </row>
    <row r="122" spans="1:22">
      <c r="A122" s="58" t="s">
        <v>32</v>
      </c>
      <c r="B122" s="59">
        <v>45870</v>
      </c>
      <c r="C122" s="60">
        <v>45914</v>
      </c>
      <c r="D122" s="61">
        <v>325691.15999999997</v>
      </c>
      <c r="E122" s="61">
        <f t="shared" ref="E122:E123" si="85">D122/1.14</f>
        <v>285694</v>
      </c>
      <c r="F122" s="61"/>
      <c r="G122" s="61"/>
      <c r="H122" s="61"/>
      <c r="I122" s="203">
        <f>Table8[[#This Row],[الاجمالي بدون الضريبه14%]]-Table8[[#This Row],[القاهرة ]]-Table8[[#This Row],[المنصورة ]]-Table8[[#This Row],[القانونيه ]]</f>
        <v>285694</v>
      </c>
      <c r="J122" s="61">
        <f t="shared" ref="J122:J123" si="86">D122-E122</f>
        <v>39997.159999999974</v>
      </c>
      <c r="K122" s="61">
        <f t="shared" ref="K122:K123" si="87">E122*$K$3</f>
        <v>8570.82</v>
      </c>
      <c r="L122" s="61">
        <f t="shared" ref="L122:L123" si="88">D122-K122</f>
        <v>317120.33999999997</v>
      </c>
      <c r="M122" s="62">
        <v>317120.33999999997</v>
      </c>
      <c r="N122" s="181"/>
      <c r="O122" s="62">
        <f t="shared" ref="O122:O123" si="89">M122-L122-N122</f>
        <v>0</v>
      </c>
      <c r="P122" s="63"/>
      <c r="Q122" s="134">
        <f>IFERROR((Table8[[#This Row],[تاريخ الاستحقاق]]-Table8[[#This Row],[تاريخ اصدار الفاتورة ]]),0)</f>
        <v>-45914</v>
      </c>
      <c r="R122" s="133" t="str">
        <f ca="1">IF(Table8[[#This Row],[تاريخ الاستحقاق]]&lt;$S$1,"مستحق","غير مستحق")</f>
        <v>مستحق</v>
      </c>
      <c r="S122" s="135">
        <f ca="1">Table8[[#This Row],[تاريخ الاستحقاق]]-$S$1</f>
        <v>-46006</v>
      </c>
      <c r="T122" s="136"/>
      <c r="U122" s="184">
        <f>Table8[[#This Row],[المبلغ المسدد]]/1.14</f>
        <v>278175.73684210528</v>
      </c>
      <c r="V122" s="220"/>
    </row>
    <row r="123" spans="1:22">
      <c r="A123" s="58" t="s">
        <v>1195</v>
      </c>
      <c r="B123" s="59">
        <v>45870</v>
      </c>
      <c r="C123" s="60">
        <v>45916</v>
      </c>
      <c r="D123" s="61">
        <v>15609.38</v>
      </c>
      <c r="E123" s="61">
        <f t="shared" si="85"/>
        <v>13692.438596491229</v>
      </c>
      <c r="F123" s="61"/>
      <c r="G123" s="61"/>
      <c r="H123" s="61"/>
      <c r="I123" s="203">
        <f>Table8[[#This Row],[الاجمالي بدون الضريبه14%]]-Table8[[#This Row],[القاهرة ]]-Table8[[#This Row],[المنصورة ]]-Table8[[#This Row],[القانونيه ]]</f>
        <v>13692.438596491229</v>
      </c>
      <c r="J123" s="61">
        <f t="shared" si="86"/>
        <v>1916.9414035087702</v>
      </c>
      <c r="K123" s="61">
        <f t="shared" si="87"/>
        <v>410.77315789473687</v>
      </c>
      <c r="L123" s="61">
        <f t="shared" si="88"/>
        <v>15198.606842105262</v>
      </c>
      <c r="M123" s="62">
        <v>15198.606842105262</v>
      </c>
      <c r="N123" s="181"/>
      <c r="O123" s="62">
        <f t="shared" si="89"/>
        <v>0</v>
      </c>
      <c r="P123" s="63"/>
      <c r="Q123" s="134">
        <f>IFERROR((Table8[[#This Row],[تاريخ الاستحقاق]]-Table8[[#This Row],[تاريخ اصدار الفاتورة ]]),0)</f>
        <v>-45916</v>
      </c>
      <c r="R123" s="133" t="str">
        <f ca="1">IF(Table8[[#This Row],[تاريخ الاستحقاق]]&lt;$S$1,"مستحق","غير مستحق")</f>
        <v>مستحق</v>
      </c>
      <c r="S123" s="135">
        <f ca="1">Table8[[#This Row],[تاريخ الاستحقاق]]-$S$1</f>
        <v>-46006</v>
      </c>
      <c r="T123" s="136"/>
      <c r="U123" s="184">
        <f>Table8[[#This Row],[المبلغ المسدد]]/1.14</f>
        <v>13332.111265004618</v>
      </c>
      <c r="V123" s="220"/>
    </row>
    <row r="124" spans="1:22">
      <c r="A124" s="58" t="s">
        <v>1196</v>
      </c>
      <c r="B124" s="59">
        <v>45870</v>
      </c>
      <c r="C124" s="60">
        <v>45916</v>
      </c>
      <c r="D124" s="61">
        <v>49393.81</v>
      </c>
      <c r="E124" s="61">
        <f t="shared" ref="E124:E125" si="90">D124/1.14</f>
        <v>43327.903508771931</v>
      </c>
      <c r="F124" s="61"/>
      <c r="G124" s="61"/>
      <c r="H124" s="61"/>
      <c r="I124" s="203">
        <f>Table8[[#This Row],[الاجمالي بدون الضريبه14%]]-Table8[[#This Row],[القاهرة ]]-Table8[[#This Row],[المنصورة ]]-Table8[[#This Row],[القانونيه ]]</f>
        <v>43327.903508771931</v>
      </c>
      <c r="J124" s="61">
        <f t="shared" ref="J124:J125" si="91">D124-E124</f>
        <v>6065.9064912280664</v>
      </c>
      <c r="K124" s="61">
        <f t="shared" ref="K124:K125" si="92">E124*$K$3</f>
        <v>1299.8371052631578</v>
      </c>
      <c r="L124" s="61">
        <f t="shared" ref="L124:L125" si="93">D124-K124</f>
        <v>48093.972894736842</v>
      </c>
      <c r="M124" s="62">
        <v>48093.972894736842</v>
      </c>
      <c r="N124" s="181"/>
      <c r="O124" s="62">
        <f t="shared" ref="O124:O125" si="94">M124-L124-N124</f>
        <v>0</v>
      </c>
      <c r="P124" s="63"/>
      <c r="Q124" s="134">
        <f>IFERROR((Table8[[#This Row],[تاريخ الاستحقاق]]-Table8[[#This Row],[تاريخ اصدار الفاتورة ]]),0)</f>
        <v>-45916</v>
      </c>
      <c r="R124" s="133" t="str">
        <f ca="1">IF(Table8[[#This Row],[تاريخ الاستحقاق]]&lt;$S$1,"مستحق","غير مستحق")</f>
        <v>مستحق</v>
      </c>
      <c r="S124" s="135">
        <f ca="1">Table8[[#This Row],[تاريخ الاستحقاق]]-$S$1</f>
        <v>-46006</v>
      </c>
      <c r="T124" s="136"/>
      <c r="U124" s="184">
        <f>Table8[[#This Row],[المبلغ المسدد]]/1.14</f>
        <v>42187.695521698988</v>
      </c>
      <c r="V124" s="220"/>
    </row>
    <row r="125" spans="1:22">
      <c r="A125" s="58" t="s">
        <v>1197</v>
      </c>
      <c r="B125" s="59">
        <v>45870</v>
      </c>
      <c r="C125" s="60">
        <v>45916</v>
      </c>
      <c r="D125" s="61">
        <v>129805.1</v>
      </c>
      <c r="E125" s="61">
        <f t="shared" si="90"/>
        <v>113864.12280701756</v>
      </c>
      <c r="F125" s="61"/>
      <c r="G125" s="61"/>
      <c r="H125" s="61"/>
      <c r="I125" s="203">
        <f>Table8[[#This Row],[الاجمالي بدون الضريبه14%]]-Table8[[#This Row],[القاهرة ]]-Table8[[#This Row],[المنصورة ]]-Table8[[#This Row],[القانونيه ]]</f>
        <v>113864.12280701756</v>
      </c>
      <c r="J125" s="61">
        <f t="shared" si="91"/>
        <v>15940.977192982449</v>
      </c>
      <c r="K125" s="61">
        <f t="shared" si="92"/>
        <v>3415.9236842105265</v>
      </c>
      <c r="L125" s="61">
        <f t="shared" si="93"/>
        <v>126389.17631578947</v>
      </c>
      <c r="M125" s="62">
        <v>126389.17631578947</v>
      </c>
      <c r="N125" s="181"/>
      <c r="O125" s="62">
        <f t="shared" si="94"/>
        <v>0</v>
      </c>
      <c r="P125" s="63"/>
      <c r="Q125" s="134">
        <f>IFERROR((Table8[[#This Row],[تاريخ الاستحقاق]]-Table8[[#This Row],[تاريخ اصدار الفاتورة ]]),0)</f>
        <v>-45916</v>
      </c>
      <c r="R125" s="133" t="str">
        <f ca="1">IF(Table8[[#This Row],[تاريخ الاستحقاق]]&lt;$S$1,"مستحق","غير مستحق")</f>
        <v>مستحق</v>
      </c>
      <c r="S125" s="135">
        <f ca="1">Table8[[#This Row],[تاريخ الاستحقاق]]-$S$1</f>
        <v>-46006</v>
      </c>
      <c r="T125" s="136"/>
      <c r="U125" s="184">
        <f>Table8[[#This Row],[المبلغ المسدد]]/1.14</f>
        <v>110867.69852262236</v>
      </c>
      <c r="V125" s="220"/>
    </row>
    <row r="126" spans="1:22">
      <c r="A126" s="58" t="s">
        <v>1033</v>
      </c>
      <c r="B126" s="59">
        <v>45839</v>
      </c>
      <c r="C126" s="60">
        <v>45916</v>
      </c>
      <c r="D126" s="61">
        <v>3420</v>
      </c>
      <c r="E126" s="61">
        <f t="shared" ref="E126:E127" si="95">D126/1.14</f>
        <v>3000.0000000000005</v>
      </c>
      <c r="F126" s="61"/>
      <c r="G126" s="61"/>
      <c r="H126" s="61"/>
      <c r="I126" s="203">
        <f>Table8[[#This Row],[الاجمالي بدون الضريبه14%]]-Table8[[#This Row],[القاهرة ]]-Table8[[#This Row],[المنصورة ]]-Table8[[#This Row],[القانونيه ]]</f>
        <v>3000.0000000000005</v>
      </c>
      <c r="J126" s="61">
        <f t="shared" ref="J126:J127" si="96">D126-E126</f>
        <v>419.99999999999955</v>
      </c>
      <c r="K126" s="61">
        <f t="shared" ref="K126:K127" si="97">E126*$K$3</f>
        <v>90.000000000000014</v>
      </c>
      <c r="L126" s="61">
        <f t="shared" ref="L126:L127" si="98">D126-K126</f>
        <v>3330</v>
      </c>
      <c r="M126" s="62"/>
      <c r="N126" s="181"/>
      <c r="O126" s="62">
        <f t="shared" ref="O126:O127" si="99">M126-L126-N126</f>
        <v>-3330</v>
      </c>
      <c r="P126" s="63"/>
      <c r="Q126" s="134">
        <f>IFERROR((Table8[[#This Row],[تاريخ الاستحقاق]]-Table8[[#This Row],[تاريخ اصدار الفاتورة ]]),0)</f>
        <v>-45916</v>
      </c>
      <c r="R126" s="133" t="str">
        <f ca="1">IF(Table8[[#This Row],[تاريخ الاستحقاق]]&lt;$S$1,"مستحق","غير مستحق")</f>
        <v>مستحق</v>
      </c>
      <c r="S126" s="135">
        <f ca="1">Table8[[#This Row],[تاريخ الاستحقاق]]-$S$1</f>
        <v>-46006</v>
      </c>
      <c r="T126" s="136"/>
      <c r="U126" s="184">
        <f>Table8[[#This Row],[المبلغ المسدد]]/1.14</f>
        <v>0</v>
      </c>
      <c r="V126" s="220"/>
    </row>
    <row r="127" spans="1:22">
      <c r="A127" s="58" t="s">
        <v>1038</v>
      </c>
      <c r="B127" s="59">
        <v>45870</v>
      </c>
      <c r="C127" s="60">
        <v>45921</v>
      </c>
      <c r="D127" s="61">
        <v>13122.99</v>
      </c>
      <c r="E127" s="61">
        <f t="shared" si="95"/>
        <v>11511.394736842107</v>
      </c>
      <c r="F127" s="61"/>
      <c r="G127" s="61"/>
      <c r="H127" s="61"/>
      <c r="I127" s="203">
        <f>Table8[[#This Row],[الاجمالي بدون الضريبه14%]]-Table8[[#This Row],[القاهرة ]]-Table8[[#This Row],[المنصورة ]]-Table8[[#This Row],[القانونيه ]]</f>
        <v>11511.394736842107</v>
      </c>
      <c r="J127" s="61">
        <f t="shared" si="96"/>
        <v>1611.595263157893</v>
      </c>
      <c r="K127" s="61">
        <f t="shared" si="97"/>
        <v>345.3418421052632</v>
      </c>
      <c r="L127" s="61">
        <f t="shared" si="98"/>
        <v>12777.648157894737</v>
      </c>
      <c r="M127" s="62">
        <v>12777.648157894737</v>
      </c>
      <c r="N127" s="181"/>
      <c r="O127" s="62">
        <f t="shared" si="99"/>
        <v>0</v>
      </c>
      <c r="P127" s="63"/>
      <c r="Q127" s="134">
        <f>IFERROR((Table8[[#This Row],[تاريخ الاستحقاق]]-Table8[[#This Row],[تاريخ اصدار الفاتورة ]]),0)</f>
        <v>-45921</v>
      </c>
      <c r="R127" s="133" t="str">
        <f ca="1">IF(Table8[[#This Row],[تاريخ الاستحقاق]]&lt;$S$1,"مستحق","غير مستحق")</f>
        <v>مستحق</v>
      </c>
      <c r="S127" s="135">
        <f ca="1">Table8[[#This Row],[تاريخ الاستحقاق]]-$S$1</f>
        <v>-46006</v>
      </c>
      <c r="T127" s="136"/>
      <c r="U127" s="184">
        <f>Table8[[#This Row],[المبلغ المسدد]]/1.14</f>
        <v>11208.463296398893</v>
      </c>
      <c r="V127" s="220"/>
    </row>
    <row r="128" spans="1:22">
      <c r="A128" s="58" t="s">
        <v>75</v>
      </c>
      <c r="B128" s="59">
        <v>45870</v>
      </c>
      <c r="C128" s="60">
        <v>45923</v>
      </c>
      <c r="D128" s="61">
        <v>181981.88</v>
      </c>
      <c r="E128" s="61">
        <f t="shared" ref="E128:E129" si="100">D128/1.14</f>
        <v>159633.22807017545</v>
      </c>
      <c r="F128" s="61"/>
      <c r="G128" s="61"/>
      <c r="H128" s="61"/>
      <c r="I128" s="203">
        <f>Table8[[#This Row],[الاجمالي بدون الضريبه14%]]-Table8[[#This Row],[القاهرة ]]-Table8[[#This Row],[المنصورة ]]-Table8[[#This Row],[القانونيه ]]</f>
        <v>159633.22807017545</v>
      </c>
      <c r="J128" s="61">
        <f t="shared" ref="J128:J129" si="101">D128-E128</f>
        <v>22348.651929824555</v>
      </c>
      <c r="K128" s="61">
        <f t="shared" ref="K128:K129" si="102">E128*$K$3</f>
        <v>4788.9968421052636</v>
      </c>
      <c r="L128" s="61">
        <f t="shared" ref="L128:L129" si="103">D128-K128</f>
        <v>177192.88315789474</v>
      </c>
      <c r="M128" s="62">
        <v>177192.88315789474</v>
      </c>
      <c r="N128" s="181"/>
      <c r="O128" s="62">
        <f t="shared" ref="O128:O129" si="104">M128-L128-N128</f>
        <v>0</v>
      </c>
      <c r="P128" s="63"/>
      <c r="Q128" s="134">
        <f>IFERROR((Table8[[#This Row],[تاريخ الاستحقاق]]-Table8[[#This Row],[تاريخ اصدار الفاتورة ]]),0)</f>
        <v>-45923</v>
      </c>
      <c r="R128" s="133" t="str">
        <f ca="1">IF(Table8[[#This Row],[تاريخ الاستحقاق]]&lt;$S$1,"مستحق","غير مستحق")</f>
        <v>مستحق</v>
      </c>
      <c r="S128" s="135">
        <f ca="1">Table8[[#This Row],[تاريخ الاستحقاق]]-$S$1</f>
        <v>-46006</v>
      </c>
      <c r="T128" s="136"/>
      <c r="U128" s="184">
        <f>Table8[[#This Row],[المبلغ المسدد]]/1.14</f>
        <v>155432.35364727609</v>
      </c>
      <c r="V128" s="220"/>
    </row>
    <row r="129" spans="1:22">
      <c r="A129" s="58" t="s">
        <v>426</v>
      </c>
      <c r="B129" s="59">
        <v>45839</v>
      </c>
      <c r="C129" s="60">
        <v>45923</v>
      </c>
      <c r="D129" s="61">
        <v>79402.89</v>
      </c>
      <c r="E129" s="61">
        <f t="shared" si="100"/>
        <v>69651.657894736854</v>
      </c>
      <c r="F129" s="61"/>
      <c r="G129" s="61"/>
      <c r="H129" s="61"/>
      <c r="I129" s="203">
        <f>Table8[[#This Row],[الاجمالي بدون الضريبه14%]]-Table8[[#This Row],[القاهرة ]]-Table8[[#This Row],[المنصورة ]]-Table8[[#This Row],[القانونيه ]]</f>
        <v>69651.657894736854</v>
      </c>
      <c r="J129" s="61">
        <f t="shared" si="101"/>
        <v>9751.2321052631451</v>
      </c>
      <c r="K129" s="61">
        <f t="shared" si="102"/>
        <v>2089.5497368421056</v>
      </c>
      <c r="L129" s="61">
        <f t="shared" si="103"/>
        <v>77313.340263157894</v>
      </c>
      <c r="M129" s="62">
        <v>77313.340263157894</v>
      </c>
      <c r="N129" s="181"/>
      <c r="O129" s="62">
        <f t="shared" si="104"/>
        <v>0</v>
      </c>
      <c r="P129" s="63"/>
      <c r="Q129" s="134">
        <f>IFERROR((Table8[[#This Row],[تاريخ الاستحقاق]]-Table8[[#This Row],[تاريخ اصدار الفاتورة ]]),0)</f>
        <v>-45923</v>
      </c>
      <c r="R129" s="133" t="str">
        <f ca="1">IF(Table8[[#This Row],[تاريخ الاستحقاق]]&lt;$S$1,"مستحق","غير مستحق")</f>
        <v>مستحق</v>
      </c>
      <c r="S129" s="135">
        <f ca="1">Table8[[#This Row],[تاريخ الاستحقاق]]-$S$1</f>
        <v>-46006</v>
      </c>
      <c r="T129" s="136"/>
      <c r="U129" s="184">
        <f>Table8[[#This Row],[المبلغ المسدد]]/1.14</f>
        <v>67818.71952908588</v>
      </c>
      <c r="V129" s="220"/>
    </row>
    <row r="130" spans="1:22">
      <c r="A130" s="58" t="s">
        <v>1147</v>
      </c>
      <c r="B130" s="59">
        <v>45870</v>
      </c>
      <c r="C130" s="60">
        <v>45936</v>
      </c>
      <c r="D130" s="61">
        <v>47323.48</v>
      </c>
      <c r="E130" s="61">
        <f t="shared" si="55"/>
        <v>41511.824561403519</v>
      </c>
      <c r="F130" s="61"/>
      <c r="G130" s="61"/>
      <c r="H130" s="61"/>
      <c r="I130" s="203">
        <f>Table8[[#This Row],[الاجمالي بدون الضريبه14%]]-Table8[[#This Row],[القاهرة ]]-Table8[[#This Row],[المنصورة ]]-Table8[[#This Row],[القانونيه ]]</f>
        <v>41511.824561403519</v>
      </c>
      <c r="J130" s="61">
        <f t="shared" si="56"/>
        <v>5811.6554385964846</v>
      </c>
      <c r="K130" s="61">
        <f t="shared" si="57"/>
        <v>1245.3547368421055</v>
      </c>
      <c r="L130" s="61">
        <f t="shared" si="58"/>
        <v>46078.125263157897</v>
      </c>
      <c r="M130" s="61">
        <v>46078.125263157897</v>
      </c>
      <c r="N130" s="181"/>
      <c r="O130" s="62">
        <f t="shared" si="59"/>
        <v>0</v>
      </c>
      <c r="P130" s="63"/>
      <c r="Q130" s="134">
        <f>IFERROR((Table8[[#This Row],[تاريخ الاستحقاق]]-Table8[[#This Row],[تاريخ اصدار الفاتورة ]]),0)</f>
        <v>-45936</v>
      </c>
      <c r="R130" s="133" t="str">
        <f ca="1">IF(Table8[[#This Row],[تاريخ الاستحقاق]]&lt;$S$1,"مستحق","غير مستحق")</f>
        <v>مستحق</v>
      </c>
      <c r="S130" s="135">
        <f ca="1">Table8[[#This Row],[تاريخ الاستحقاق]]-$S$1</f>
        <v>-46006</v>
      </c>
      <c r="T130" s="136"/>
      <c r="U130" s="184">
        <f>Table8[[#This Row],[المبلغ المسدد]]/1.14</f>
        <v>40419.408125577109</v>
      </c>
      <c r="V130" s="220"/>
    </row>
    <row r="131" spans="1:22">
      <c r="A131" s="58" t="s">
        <v>80</v>
      </c>
      <c r="B131" s="59">
        <v>45870</v>
      </c>
      <c r="C131" s="60">
        <v>45924</v>
      </c>
      <c r="D131" s="61">
        <v>66819.23</v>
      </c>
      <c r="E131" s="61">
        <f t="shared" ref="E131:E145" si="105">D131/1.14</f>
        <v>58613.359649122809</v>
      </c>
      <c r="F131" s="61"/>
      <c r="G131" s="61"/>
      <c r="H131" s="61"/>
      <c r="I131" s="203">
        <f>Table8[[#This Row],[الاجمالي بدون الضريبه14%]]-Table8[[#This Row],[القاهرة ]]-Table8[[#This Row],[المنصورة ]]-Table8[[#This Row],[القانونيه ]]</f>
        <v>58613.359649122809</v>
      </c>
      <c r="J131" s="61">
        <f t="shared" ref="J131:J145" si="106">D131-E131</f>
        <v>8205.8703508771869</v>
      </c>
      <c r="K131" s="61">
        <f t="shared" ref="K131:K145" si="107">E131*$K$3</f>
        <v>1758.4007894736842</v>
      </c>
      <c r="L131" s="61">
        <f t="shared" ref="L131:L145" si="108">D131-K131</f>
        <v>65060.82921052631</v>
      </c>
      <c r="M131" s="62">
        <v>63888.562017543903</v>
      </c>
      <c r="N131" s="181">
        <f>-Table8[[#This Row],[الاجمالي بدون الضريبه14%]]*0.02</f>
        <v>-1172.2671929824562</v>
      </c>
      <c r="O131" s="62">
        <f t="shared" ref="O131:O145" si="109">M131-L131-N131</f>
        <v>4.9794834922067821E-11</v>
      </c>
      <c r="P131" s="63"/>
      <c r="Q131" s="134">
        <f>IFERROR((Table8[[#This Row],[تاريخ الاستحقاق]]-Table8[[#This Row],[تاريخ اصدار الفاتورة ]]),0)</f>
        <v>-45924</v>
      </c>
      <c r="R131" s="133" t="str">
        <f ca="1">IF(Table8[[#This Row],[تاريخ الاستحقاق]]&lt;$S$1,"مستحق","غير مستحق")</f>
        <v>مستحق</v>
      </c>
      <c r="S131" s="135">
        <f ca="1">Table8[[#This Row],[تاريخ الاستحقاق]]-$S$1</f>
        <v>-46006</v>
      </c>
      <c r="T131" s="136"/>
      <c r="U131" s="184">
        <f>Table8[[#This Row],[المبلغ المسدد]]/1.14</f>
        <v>56042.598261003426</v>
      </c>
      <c r="V131" s="220"/>
    </row>
    <row r="132" spans="1:22">
      <c r="A132" s="58" t="s">
        <v>93</v>
      </c>
      <c r="B132" s="59">
        <v>45870</v>
      </c>
      <c r="C132" s="60">
        <v>45929</v>
      </c>
      <c r="D132" s="61">
        <v>102062.46435000001</v>
      </c>
      <c r="E132" s="61">
        <f t="shared" si="105"/>
        <v>89528.477500000023</v>
      </c>
      <c r="F132" s="61"/>
      <c r="G132" s="61"/>
      <c r="H132" s="61"/>
      <c r="I132" s="203">
        <f>Table8[[#This Row],[الاجمالي بدون الضريبه14%]]-Table8[[#This Row],[القاهرة ]]-Table8[[#This Row],[المنصورة ]]-Table8[[#This Row],[القانونيه ]]</f>
        <v>89528.477500000023</v>
      </c>
      <c r="J132" s="61">
        <f t="shared" si="106"/>
        <v>12533.986849999987</v>
      </c>
      <c r="K132" s="61">
        <f t="shared" si="107"/>
        <v>2685.8543250000007</v>
      </c>
      <c r="L132" s="61">
        <f t="shared" si="108"/>
        <v>99376.610025000002</v>
      </c>
      <c r="M132" s="61">
        <v>99376</v>
      </c>
      <c r="N132" s="181"/>
      <c r="O132" s="62">
        <f t="shared" si="109"/>
        <v>-0.61002500000176951</v>
      </c>
      <c r="P132" s="63"/>
      <c r="Q132" s="134">
        <f>IFERROR((Table8[[#This Row],[تاريخ الاستحقاق]]-Table8[[#This Row],[تاريخ اصدار الفاتورة ]]),0)</f>
        <v>-45929</v>
      </c>
      <c r="R132" s="133" t="str">
        <f ca="1">IF(Table8[[#This Row],[تاريخ الاستحقاق]]&lt;$S$1,"مستحق","غير مستحق")</f>
        <v>مستحق</v>
      </c>
      <c r="S132" s="135">
        <f ca="1">Table8[[#This Row],[تاريخ الاستحقاق]]-$S$1</f>
        <v>-46006</v>
      </c>
      <c r="T132" s="136"/>
      <c r="U132" s="184">
        <f>Table8[[#This Row],[المبلغ المسدد]]/1.14</f>
        <v>87171.929824561405</v>
      </c>
      <c r="V132" s="220"/>
    </row>
    <row r="133" spans="1:22">
      <c r="A133" s="58" t="s">
        <v>396</v>
      </c>
      <c r="B133" s="59">
        <v>45870</v>
      </c>
      <c r="C133" s="60">
        <v>45936</v>
      </c>
      <c r="D133" s="61">
        <v>123404.94</v>
      </c>
      <c r="E133" s="61">
        <f t="shared" si="105"/>
        <v>108249.94736842107</v>
      </c>
      <c r="F133" s="61"/>
      <c r="G133" s="61"/>
      <c r="H133" s="61"/>
      <c r="I133" s="203">
        <f>Table8[[#This Row],[الاجمالي بدون الضريبه14%]]-Table8[[#This Row],[القاهرة ]]-Table8[[#This Row],[المنصورة ]]-Table8[[#This Row],[القانونيه ]]</f>
        <v>108249.94736842107</v>
      </c>
      <c r="J133" s="61">
        <f t="shared" si="106"/>
        <v>15154.992631578934</v>
      </c>
      <c r="K133" s="61">
        <f t="shared" si="107"/>
        <v>3247.4984210526318</v>
      </c>
      <c r="L133" s="61">
        <f t="shared" si="108"/>
        <v>120157.44157894737</v>
      </c>
      <c r="M133" s="62">
        <v>120157.44</v>
      </c>
      <c r="N133" s="181"/>
      <c r="O133" s="62">
        <f t="shared" si="109"/>
        <v>-1.5789473691256717E-3</v>
      </c>
      <c r="P133" s="63"/>
      <c r="Q133" s="134">
        <f>IFERROR((Table8[[#This Row],[تاريخ الاستحقاق]]-Table8[[#This Row],[تاريخ اصدار الفاتورة ]]),0)</f>
        <v>-45936</v>
      </c>
      <c r="R133" s="133" t="str">
        <f ca="1">IF(Table8[[#This Row],[تاريخ الاستحقاق]]&lt;$S$1,"مستحق","غير مستحق")</f>
        <v>مستحق</v>
      </c>
      <c r="S133" s="135">
        <f ca="1">Table8[[#This Row],[تاريخ الاستحقاق]]-$S$1</f>
        <v>-46006</v>
      </c>
      <c r="T133" s="136"/>
      <c r="U133" s="184">
        <f>Table8[[#This Row],[المبلغ المسدد]]/1.14</f>
        <v>105401.26315789475</v>
      </c>
      <c r="V133" s="220"/>
    </row>
    <row r="134" spans="1:22">
      <c r="A134" s="58" t="s">
        <v>388</v>
      </c>
      <c r="B134" s="59">
        <v>45870</v>
      </c>
      <c r="C134" s="60">
        <v>45936</v>
      </c>
      <c r="D134" s="61">
        <v>75643.31</v>
      </c>
      <c r="E134" s="61">
        <f t="shared" si="105"/>
        <v>66353.780701754396</v>
      </c>
      <c r="F134" s="61"/>
      <c r="G134" s="61"/>
      <c r="H134" s="61"/>
      <c r="I134" s="203">
        <f>Table8[[#This Row],[الاجمالي بدون الضريبه14%]]-Table8[[#This Row],[القاهرة ]]-Table8[[#This Row],[المنصورة ]]-Table8[[#This Row],[القانونيه ]]</f>
        <v>66353.780701754396</v>
      </c>
      <c r="J134" s="61">
        <f t="shared" si="106"/>
        <v>9289.5292982456012</v>
      </c>
      <c r="K134" s="61">
        <f t="shared" si="107"/>
        <v>1990.6134210526318</v>
      </c>
      <c r="L134" s="61">
        <f t="shared" si="108"/>
        <v>73652.696578947362</v>
      </c>
      <c r="M134" s="62"/>
      <c r="N134" s="181"/>
      <c r="O134" s="62">
        <f t="shared" si="109"/>
        <v>-73652.696578947362</v>
      </c>
      <c r="P134" s="63"/>
      <c r="Q134" s="134">
        <f>IFERROR((Table8[[#This Row],[تاريخ الاستحقاق]]-Table8[[#This Row],[تاريخ اصدار الفاتورة ]]),0)</f>
        <v>-45936</v>
      </c>
      <c r="R134" s="133" t="str">
        <f ca="1">IF(Table8[[#This Row],[تاريخ الاستحقاق]]&lt;$S$1,"مستحق","غير مستحق")</f>
        <v>مستحق</v>
      </c>
      <c r="S134" s="135">
        <f ca="1">Table8[[#This Row],[تاريخ الاستحقاق]]-$S$1</f>
        <v>-46006</v>
      </c>
      <c r="T134" s="136"/>
      <c r="U134" s="184">
        <f>Table8[[#This Row],[المبلغ المسدد]]/1.14</f>
        <v>0</v>
      </c>
      <c r="V134" s="220"/>
    </row>
    <row r="135" spans="1:22">
      <c r="A135" s="58" t="s">
        <v>1017</v>
      </c>
      <c r="B135" s="59">
        <v>45870</v>
      </c>
      <c r="C135" s="60">
        <v>45936</v>
      </c>
      <c r="D135" s="61">
        <v>56612.4</v>
      </c>
      <c r="E135" s="61">
        <f t="shared" si="105"/>
        <v>49660.000000000007</v>
      </c>
      <c r="F135" s="61"/>
      <c r="G135" s="61"/>
      <c r="H135" s="61"/>
      <c r="I135" s="203">
        <f>Table8[[#This Row],[الاجمالي بدون الضريبه14%]]-Table8[[#This Row],[القاهرة ]]-Table8[[#This Row],[المنصورة ]]-Table8[[#This Row],[القانونيه ]]</f>
        <v>49660.000000000007</v>
      </c>
      <c r="J135" s="61">
        <f t="shared" si="106"/>
        <v>6952.3999999999942</v>
      </c>
      <c r="K135" s="61">
        <f t="shared" si="107"/>
        <v>1489.8000000000002</v>
      </c>
      <c r="L135" s="61">
        <f t="shared" si="108"/>
        <v>55122.6</v>
      </c>
      <c r="M135" s="62">
        <v>55122.6</v>
      </c>
      <c r="N135" s="181"/>
      <c r="O135" s="62">
        <f t="shared" si="109"/>
        <v>0</v>
      </c>
      <c r="P135" s="63"/>
      <c r="Q135" s="134">
        <f>IFERROR((Table8[[#This Row],[تاريخ الاستحقاق]]-Table8[[#This Row],[تاريخ اصدار الفاتورة ]]),0)</f>
        <v>-45936</v>
      </c>
      <c r="R135" s="133" t="str">
        <f ca="1">IF(Table8[[#This Row],[تاريخ الاستحقاق]]&lt;$S$1,"مستحق","غير مستحق")</f>
        <v>مستحق</v>
      </c>
      <c r="S135" s="135">
        <f ca="1">Table8[[#This Row],[تاريخ الاستحقاق]]-$S$1</f>
        <v>-46006</v>
      </c>
      <c r="T135" s="136"/>
      <c r="U135" s="184">
        <f>Table8[[#This Row],[المبلغ المسدد]]/1.14</f>
        <v>48353.157894736847</v>
      </c>
      <c r="V135" s="220"/>
    </row>
    <row r="136" spans="1:22">
      <c r="A136" s="58" t="s">
        <v>1033</v>
      </c>
      <c r="B136" s="59">
        <v>45870</v>
      </c>
      <c r="C136" s="60">
        <v>45937</v>
      </c>
      <c r="D136" s="61">
        <v>3420</v>
      </c>
      <c r="E136" s="61">
        <f t="shared" si="105"/>
        <v>3000.0000000000005</v>
      </c>
      <c r="F136" s="61"/>
      <c r="G136" s="61"/>
      <c r="H136" s="61"/>
      <c r="I136" s="203">
        <f>Table8[[#This Row],[الاجمالي بدون الضريبه14%]]-Table8[[#This Row],[القاهرة ]]-Table8[[#This Row],[المنصورة ]]-Table8[[#This Row],[القانونيه ]]</f>
        <v>3000.0000000000005</v>
      </c>
      <c r="J136" s="61">
        <f t="shared" si="106"/>
        <v>419.99999999999955</v>
      </c>
      <c r="K136" s="61">
        <f t="shared" si="107"/>
        <v>90.000000000000014</v>
      </c>
      <c r="L136" s="61">
        <f t="shared" si="108"/>
        <v>3330</v>
      </c>
      <c r="M136" s="62"/>
      <c r="N136" s="181"/>
      <c r="O136" s="62">
        <f t="shared" si="109"/>
        <v>-3330</v>
      </c>
      <c r="P136" s="63"/>
      <c r="Q136" s="134">
        <f>IFERROR((Table8[[#This Row],[تاريخ الاستحقاق]]-Table8[[#This Row],[تاريخ اصدار الفاتورة ]]),0)</f>
        <v>-45937</v>
      </c>
      <c r="R136" s="133" t="str">
        <f ca="1">IF(Table8[[#This Row],[تاريخ الاستحقاق]]&lt;$S$1,"مستحق","غير مستحق")</f>
        <v>مستحق</v>
      </c>
      <c r="S136" s="135">
        <f ca="1">Table8[[#This Row],[تاريخ الاستحقاق]]-$S$1</f>
        <v>-46006</v>
      </c>
      <c r="T136" s="136"/>
      <c r="U136" s="184">
        <f>Table8[[#This Row],[المبلغ المسدد]]/1.14</f>
        <v>0</v>
      </c>
      <c r="V136" s="220"/>
    </row>
    <row r="137" spans="1:22">
      <c r="A137" s="58" t="s">
        <v>83</v>
      </c>
      <c r="B137" s="59">
        <v>45901</v>
      </c>
      <c r="C137" s="60">
        <v>45944</v>
      </c>
      <c r="D137" s="61">
        <v>154983.87</v>
      </c>
      <c r="E137" s="61">
        <f t="shared" si="105"/>
        <v>135950.76315789475</v>
      </c>
      <c r="F137" s="61"/>
      <c r="G137" s="61"/>
      <c r="H137" s="61"/>
      <c r="I137" s="203">
        <f>Table8[[#This Row],[الاجمالي بدون الضريبه14%]]-Table8[[#This Row],[القاهرة ]]-Table8[[#This Row],[المنصورة ]]-Table8[[#This Row],[القانونيه ]]</f>
        <v>135950.76315789475</v>
      </c>
      <c r="J137" s="61">
        <f t="shared" si="106"/>
        <v>19033.106842105248</v>
      </c>
      <c r="K137" s="61">
        <f t="shared" si="107"/>
        <v>4078.5228947368423</v>
      </c>
      <c r="L137" s="61">
        <f t="shared" si="108"/>
        <v>150905.34710526315</v>
      </c>
      <c r="M137" s="62">
        <v>148186.33184210525</v>
      </c>
      <c r="N137" s="181">
        <f>-Table8[[#This Row],[الاجمالي بدون الضريبه14%]]*0.02</f>
        <v>-2719.0152631578949</v>
      </c>
      <c r="O137" s="62">
        <f t="shared" si="109"/>
        <v>0</v>
      </c>
      <c r="P137" s="63"/>
      <c r="Q137" s="134">
        <f>IFERROR((Table8[[#This Row],[تاريخ الاستحقاق]]-Table8[[#This Row],[تاريخ اصدار الفاتورة ]]),0)</f>
        <v>-45944</v>
      </c>
      <c r="R137" s="133" t="str">
        <f ca="1">IF(Table8[[#This Row],[تاريخ الاستحقاق]]&lt;$S$1,"مستحق","غير مستحق")</f>
        <v>مستحق</v>
      </c>
      <c r="S137" s="135">
        <f ca="1">Table8[[#This Row],[تاريخ الاستحقاق]]-$S$1</f>
        <v>-46006</v>
      </c>
      <c r="T137" s="136"/>
      <c r="U137" s="184">
        <f>Table8[[#This Row],[المبلغ المسدد]]/1.14</f>
        <v>129988.01038781164</v>
      </c>
      <c r="V137" s="220"/>
    </row>
    <row r="138" spans="1:22">
      <c r="A138" s="58" t="s">
        <v>32</v>
      </c>
      <c r="B138" s="59">
        <v>45901</v>
      </c>
      <c r="C138" s="60">
        <v>45944</v>
      </c>
      <c r="D138" s="61">
        <v>347656.46</v>
      </c>
      <c r="E138" s="61">
        <f t="shared" si="105"/>
        <v>304961.80701754388</v>
      </c>
      <c r="F138" s="61"/>
      <c r="G138" s="61"/>
      <c r="H138" s="61"/>
      <c r="I138" s="203">
        <f>Table8[[#This Row],[الاجمالي بدون الضريبه14%]]-Table8[[#This Row],[القاهرة ]]-Table8[[#This Row],[المنصورة ]]-Table8[[#This Row],[القانونيه ]]</f>
        <v>304961.80701754388</v>
      </c>
      <c r="J138" s="61">
        <f t="shared" si="106"/>
        <v>42694.652982456144</v>
      </c>
      <c r="K138" s="61">
        <f t="shared" si="107"/>
        <v>9148.8542105263168</v>
      </c>
      <c r="L138" s="61">
        <f t="shared" si="108"/>
        <v>338507.60578947369</v>
      </c>
      <c r="M138" s="62">
        <v>338507.60578947369</v>
      </c>
      <c r="N138" s="181"/>
      <c r="O138" s="62">
        <f t="shared" si="109"/>
        <v>0</v>
      </c>
      <c r="P138" s="63"/>
      <c r="Q138" s="134">
        <f>IFERROR((Table8[[#This Row],[تاريخ الاستحقاق]]-Table8[[#This Row],[تاريخ اصدار الفاتورة ]]),0)</f>
        <v>-45944</v>
      </c>
      <c r="R138" s="133" t="str">
        <f ca="1">IF(Table8[[#This Row],[تاريخ الاستحقاق]]&lt;$S$1,"مستحق","غير مستحق")</f>
        <v>مستحق</v>
      </c>
      <c r="S138" s="135">
        <f ca="1">Table8[[#This Row],[تاريخ الاستحقاق]]-$S$1</f>
        <v>-46006</v>
      </c>
      <c r="T138" s="136"/>
      <c r="U138" s="184">
        <f>Table8[[#This Row],[المبلغ المسدد]]/1.14</f>
        <v>296936.49630655587</v>
      </c>
      <c r="V138" s="220"/>
    </row>
    <row r="139" spans="1:22">
      <c r="A139" s="58" t="s">
        <v>1195</v>
      </c>
      <c r="B139" s="59">
        <v>45901</v>
      </c>
      <c r="C139" s="60">
        <v>45944</v>
      </c>
      <c r="D139" s="61">
        <v>20822.689999999999</v>
      </c>
      <c r="E139" s="61">
        <f t="shared" si="105"/>
        <v>18265.517543859649</v>
      </c>
      <c r="F139" s="61"/>
      <c r="G139" s="61"/>
      <c r="H139" s="61"/>
      <c r="I139" s="203">
        <f>Table8[[#This Row],[الاجمالي بدون الضريبه14%]]-Table8[[#This Row],[القاهرة ]]-Table8[[#This Row],[المنصورة ]]-Table8[[#This Row],[القانونيه ]]</f>
        <v>18265.517543859649</v>
      </c>
      <c r="J139" s="61">
        <f t="shared" si="106"/>
        <v>2557.1724561403498</v>
      </c>
      <c r="K139" s="61">
        <f t="shared" si="107"/>
        <v>547.96552631578948</v>
      </c>
      <c r="L139" s="61">
        <f t="shared" si="108"/>
        <v>20274.724473684208</v>
      </c>
      <c r="M139" s="62">
        <v>20274.724473684208</v>
      </c>
      <c r="N139" s="181"/>
      <c r="O139" s="62">
        <f t="shared" si="109"/>
        <v>0</v>
      </c>
      <c r="P139" s="63"/>
      <c r="Q139" s="134">
        <f>IFERROR((Table8[[#This Row],[تاريخ الاستحقاق]]-Table8[[#This Row],[تاريخ اصدار الفاتورة ]]),0)</f>
        <v>-45944</v>
      </c>
      <c r="R139" s="133" t="str">
        <f ca="1">IF(Table8[[#This Row],[تاريخ الاستحقاق]]&lt;$S$1,"مستحق","غير مستحق")</f>
        <v>مستحق</v>
      </c>
      <c r="S139" s="135">
        <f ca="1">Table8[[#This Row],[تاريخ الاستحقاق]]-$S$1</f>
        <v>-46006</v>
      </c>
      <c r="T139" s="136"/>
      <c r="U139" s="184">
        <f>Table8[[#This Row],[المبلغ المسدد]]/1.14</f>
        <v>17784.846029547552</v>
      </c>
      <c r="V139" s="220"/>
    </row>
    <row r="140" spans="1:22">
      <c r="A140" s="58" t="s">
        <v>1196</v>
      </c>
      <c r="B140" s="59">
        <v>45901</v>
      </c>
      <c r="C140" s="60">
        <v>45944</v>
      </c>
      <c r="D140" s="61">
        <v>47570.49</v>
      </c>
      <c r="E140" s="61">
        <f t="shared" si="105"/>
        <v>41728.5</v>
      </c>
      <c r="F140" s="61"/>
      <c r="G140" s="61"/>
      <c r="H140" s="61"/>
      <c r="I140" s="203">
        <f>Table8[[#This Row],[الاجمالي بدون الضريبه14%]]-Table8[[#This Row],[القاهرة ]]-Table8[[#This Row],[المنصورة ]]-Table8[[#This Row],[القانونيه ]]</f>
        <v>41728.5</v>
      </c>
      <c r="J140" s="61">
        <f t="shared" si="106"/>
        <v>5841.989999999998</v>
      </c>
      <c r="K140" s="61">
        <f t="shared" si="107"/>
        <v>1251.855</v>
      </c>
      <c r="L140" s="61">
        <f t="shared" si="108"/>
        <v>46318.634999999995</v>
      </c>
      <c r="M140" s="62">
        <v>46318.634999999995</v>
      </c>
      <c r="N140" s="181"/>
      <c r="O140" s="62">
        <f t="shared" si="109"/>
        <v>0</v>
      </c>
      <c r="P140" s="63"/>
      <c r="Q140" s="134">
        <f>IFERROR((Table8[[#This Row],[تاريخ الاستحقاق]]-Table8[[#This Row],[تاريخ اصدار الفاتورة ]]),0)</f>
        <v>-45944</v>
      </c>
      <c r="R140" s="133" t="str">
        <f ca="1">IF(Table8[[#This Row],[تاريخ الاستحقاق]]&lt;$S$1,"مستحق","غير مستحق")</f>
        <v>مستحق</v>
      </c>
      <c r="S140" s="135">
        <f ca="1">Table8[[#This Row],[تاريخ الاستحقاق]]-$S$1</f>
        <v>-46006</v>
      </c>
      <c r="T140" s="136"/>
      <c r="U140" s="184">
        <f>Table8[[#This Row],[المبلغ المسدد]]/1.14</f>
        <v>40630.381578947367</v>
      </c>
      <c r="V140" s="220"/>
    </row>
    <row r="141" spans="1:22">
      <c r="A141" s="58" t="s">
        <v>1197</v>
      </c>
      <c r="B141" s="59">
        <v>45901</v>
      </c>
      <c r="C141" s="60">
        <v>45944</v>
      </c>
      <c r="D141" s="61">
        <v>53468.19</v>
      </c>
      <c r="E141" s="61">
        <f t="shared" si="105"/>
        <v>46901.921052631587</v>
      </c>
      <c r="F141" s="61"/>
      <c r="G141" s="61"/>
      <c r="H141" s="61"/>
      <c r="I141" s="203">
        <f>Table8[[#This Row],[الاجمالي بدون الضريبه14%]]-Table8[[#This Row],[القاهرة ]]-Table8[[#This Row],[المنصورة ]]-Table8[[#This Row],[القانونيه ]]</f>
        <v>46901.921052631587</v>
      </c>
      <c r="J141" s="61">
        <f t="shared" si="106"/>
        <v>6566.268947368415</v>
      </c>
      <c r="K141" s="61">
        <f t="shared" si="107"/>
        <v>1407.0576315789476</v>
      </c>
      <c r="L141" s="61">
        <f t="shared" si="108"/>
        <v>52061.132368421051</v>
      </c>
      <c r="M141" s="62">
        <v>52061.132368421051</v>
      </c>
      <c r="N141" s="181"/>
      <c r="O141" s="62">
        <f t="shared" si="109"/>
        <v>0</v>
      </c>
      <c r="P141" s="63"/>
      <c r="Q141" s="134">
        <f>IFERROR((Table8[[#This Row],[تاريخ الاستحقاق]]-Table8[[#This Row],[تاريخ اصدار الفاتورة ]]),0)</f>
        <v>-45944</v>
      </c>
      <c r="R141" s="133" t="str">
        <f ca="1">IF(Table8[[#This Row],[تاريخ الاستحقاق]]&lt;$S$1,"مستحق","غير مستحق")</f>
        <v>مستحق</v>
      </c>
      <c r="S141" s="135">
        <f ca="1">Table8[[#This Row],[تاريخ الاستحقاق]]-$S$1</f>
        <v>-46006</v>
      </c>
      <c r="T141" s="136"/>
      <c r="U141" s="184">
        <f>Table8[[#This Row],[المبلغ المسدد]]/1.14</f>
        <v>45667.659972299174</v>
      </c>
      <c r="V141" s="220"/>
    </row>
    <row r="142" spans="1:22">
      <c r="A142" s="58" t="s">
        <v>1404</v>
      </c>
      <c r="B142" s="59">
        <v>45901</v>
      </c>
      <c r="C142" s="60">
        <v>45949</v>
      </c>
      <c r="D142" s="61">
        <v>77982.789999999994</v>
      </c>
      <c r="E142" s="61">
        <f t="shared" si="105"/>
        <v>68405.956140350871</v>
      </c>
      <c r="F142" s="61"/>
      <c r="G142" s="61"/>
      <c r="H142" s="61"/>
      <c r="I142" s="203">
        <f>Table8[[#This Row],[الاجمالي بدون الضريبه14%]]-Table8[[#This Row],[القاهرة ]]-Table8[[#This Row],[المنصورة ]]-Table8[[#This Row],[القانونيه ]]</f>
        <v>68405.956140350871</v>
      </c>
      <c r="J142" s="61">
        <f t="shared" si="106"/>
        <v>9576.833859649123</v>
      </c>
      <c r="K142" s="61">
        <f t="shared" si="107"/>
        <v>2052.1786842105262</v>
      </c>
      <c r="L142" s="61">
        <f t="shared" si="108"/>
        <v>75930.611315789472</v>
      </c>
      <c r="M142" s="62">
        <v>75930.611315789472</v>
      </c>
      <c r="N142" s="181"/>
      <c r="O142" s="62">
        <f t="shared" si="109"/>
        <v>0</v>
      </c>
      <c r="P142" s="63"/>
      <c r="Q142" s="134">
        <f>IFERROR((Table8[[#This Row],[تاريخ الاستحقاق]]-Table8[[#This Row],[تاريخ اصدار الفاتورة ]]),0)</f>
        <v>-45949</v>
      </c>
      <c r="R142" s="133" t="str">
        <f ca="1">IF(Table8[[#This Row],[تاريخ الاستحقاق]]&lt;$S$1,"مستحق","غير مستحق")</f>
        <v>مستحق</v>
      </c>
      <c r="S142" s="135">
        <f ca="1">Table8[[#This Row],[تاريخ الاستحقاق]]-$S$1</f>
        <v>-46006</v>
      </c>
      <c r="T142" s="136"/>
      <c r="U142" s="184">
        <f>Table8[[#This Row],[المبلغ المسدد]]/1.14</f>
        <v>66605.799399815325</v>
      </c>
      <c r="V142" s="220"/>
    </row>
    <row r="143" spans="1:22">
      <c r="A143" s="58" t="s">
        <v>1405</v>
      </c>
      <c r="B143" s="59">
        <v>45839</v>
      </c>
      <c r="C143" s="60">
        <v>45964</v>
      </c>
      <c r="D143" s="61">
        <v>77232.72</v>
      </c>
      <c r="E143" s="61">
        <f t="shared" si="105"/>
        <v>67748</v>
      </c>
      <c r="F143" s="61"/>
      <c r="G143" s="61"/>
      <c r="H143" s="61"/>
      <c r="I143" s="203">
        <f>Table8[[#This Row],[الاجمالي بدون الضريبه14%]]-Table8[[#This Row],[القاهرة ]]-Table8[[#This Row],[المنصورة ]]-Table8[[#This Row],[القانونيه ]]</f>
        <v>67748</v>
      </c>
      <c r="J143" s="61">
        <f t="shared" si="106"/>
        <v>9484.7200000000012</v>
      </c>
      <c r="K143" s="61">
        <f t="shared" si="107"/>
        <v>2032.4399999999998</v>
      </c>
      <c r="L143" s="61">
        <f t="shared" si="108"/>
        <v>75200.28</v>
      </c>
      <c r="M143" s="62">
        <v>75200.28</v>
      </c>
      <c r="N143" s="181"/>
      <c r="O143" s="62">
        <f t="shared" si="109"/>
        <v>0</v>
      </c>
      <c r="P143" s="63"/>
      <c r="Q143" s="134">
        <f>IFERROR((Table8[[#This Row],[تاريخ الاستحقاق]]-Table8[[#This Row],[تاريخ اصدار الفاتورة ]]),0)</f>
        <v>-45964</v>
      </c>
      <c r="R143" s="133" t="str">
        <f ca="1">IF(Table8[[#This Row],[تاريخ الاستحقاق]]&lt;$S$1,"مستحق","غير مستحق")</f>
        <v>مستحق</v>
      </c>
      <c r="S143" s="135">
        <f ca="1">Table8[[#This Row],[تاريخ الاستحقاق]]-$S$1</f>
        <v>-46006</v>
      </c>
      <c r="T143" s="136"/>
      <c r="U143" s="184">
        <f>Table8[[#This Row],[المبلغ المسدد]]/1.14</f>
        <v>65965.15789473684</v>
      </c>
      <c r="V143" s="220"/>
    </row>
    <row r="144" spans="1:22">
      <c r="A144" s="58" t="s">
        <v>1405</v>
      </c>
      <c r="B144" s="59">
        <v>45870</v>
      </c>
      <c r="C144" s="60">
        <v>45964</v>
      </c>
      <c r="D144" s="61">
        <v>21078.6</v>
      </c>
      <c r="E144" s="61">
        <f t="shared" si="105"/>
        <v>18490</v>
      </c>
      <c r="F144" s="61"/>
      <c r="G144" s="61"/>
      <c r="H144" s="61"/>
      <c r="I144" s="203">
        <f>Table8[[#This Row],[الاجمالي بدون الضريبه14%]]-Table8[[#This Row],[القاهرة ]]-Table8[[#This Row],[المنصورة ]]-Table8[[#This Row],[القانونيه ]]</f>
        <v>18490</v>
      </c>
      <c r="J144" s="61">
        <f t="shared" si="106"/>
        <v>2588.5999999999985</v>
      </c>
      <c r="K144" s="61">
        <f t="shared" si="107"/>
        <v>554.69999999999993</v>
      </c>
      <c r="L144" s="61">
        <f t="shared" si="108"/>
        <v>20523.899999999998</v>
      </c>
      <c r="M144" s="62">
        <v>20523.900000000001</v>
      </c>
      <c r="N144" s="181"/>
      <c r="O144" s="62">
        <f t="shared" si="109"/>
        <v>3.637978807091713E-12</v>
      </c>
      <c r="P144" s="63"/>
      <c r="Q144" s="134">
        <f>IFERROR((Table8[[#This Row],[تاريخ الاستحقاق]]-Table8[[#This Row],[تاريخ اصدار الفاتورة ]]),0)</f>
        <v>-45964</v>
      </c>
      <c r="R144" s="133" t="str">
        <f ca="1">IF(Table8[[#This Row],[تاريخ الاستحقاق]]&lt;$S$1,"مستحق","غير مستحق")</f>
        <v>مستحق</v>
      </c>
      <c r="S144" s="135">
        <f ca="1">Table8[[#This Row],[تاريخ الاستحقاق]]-$S$1</f>
        <v>-46006</v>
      </c>
      <c r="T144" s="136"/>
      <c r="U144" s="184">
        <f>Table8[[#This Row],[المبلغ المسدد]]/1.14</f>
        <v>18003.42105263158</v>
      </c>
      <c r="V144" s="220"/>
    </row>
    <row r="145" spans="1:22">
      <c r="A145" s="58" t="s">
        <v>426</v>
      </c>
      <c r="B145" s="59">
        <v>45870</v>
      </c>
      <c r="C145" s="60">
        <v>45951</v>
      </c>
      <c r="D145" s="61">
        <v>77649.98</v>
      </c>
      <c r="E145" s="61">
        <f t="shared" si="105"/>
        <v>68114.017543859649</v>
      </c>
      <c r="F145" s="61"/>
      <c r="G145" s="61"/>
      <c r="H145" s="61"/>
      <c r="I145" s="203">
        <f>Table8[[#This Row],[الاجمالي بدون الضريبه14%]]-Table8[[#This Row],[القاهرة ]]-Table8[[#This Row],[المنصورة ]]-Table8[[#This Row],[القانونيه ]]</f>
        <v>68114.017543859649</v>
      </c>
      <c r="J145" s="61">
        <f t="shared" si="106"/>
        <v>9535.9624561403471</v>
      </c>
      <c r="K145" s="61">
        <f t="shared" si="107"/>
        <v>2043.4205263157894</v>
      </c>
      <c r="L145" s="61">
        <f t="shared" si="108"/>
        <v>75606.559473684203</v>
      </c>
      <c r="M145" s="62">
        <v>75606.559473684203</v>
      </c>
      <c r="N145" s="181"/>
      <c r="O145" s="62">
        <f t="shared" si="109"/>
        <v>0</v>
      </c>
      <c r="P145" s="63"/>
      <c r="Q145" s="134">
        <f>IFERROR((Table8[[#This Row],[تاريخ الاستحقاق]]-Table8[[#This Row],[تاريخ اصدار الفاتورة ]]),0)</f>
        <v>-45951</v>
      </c>
      <c r="R145" s="133" t="str">
        <f ca="1">IF(Table8[[#This Row],[تاريخ الاستحقاق]]&lt;$S$1,"مستحق","غير مستحق")</f>
        <v>مستحق</v>
      </c>
      <c r="S145" s="135">
        <f ca="1">Table8[[#This Row],[تاريخ الاستحقاق]]-$S$1</f>
        <v>-46006</v>
      </c>
      <c r="T145" s="136"/>
      <c r="U145" s="184">
        <f>Table8[[#This Row],[المبلغ المسدد]]/1.14</f>
        <v>66321.543397968606</v>
      </c>
      <c r="V145" s="220"/>
    </row>
    <row r="146" spans="1:22">
      <c r="A146" s="58" t="s">
        <v>1421</v>
      </c>
      <c r="B146" s="59">
        <v>45901</v>
      </c>
      <c r="C146" s="60">
        <v>45955</v>
      </c>
      <c r="D146" s="61">
        <v>4212.3</v>
      </c>
      <c r="E146" s="61">
        <f t="shared" ref="E146:E150" si="110">D146/1.14</f>
        <v>3695.0000000000005</v>
      </c>
      <c r="F146" s="61"/>
      <c r="G146" s="61"/>
      <c r="H146" s="61"/>
      <c r="I146" s="203">
        <f>Table8[[#This Row],[الاجمالي بدون الضريبه14%]]-Table8[[#This Row],[القاهرة ]]-Table8[[#This Row],[المنصورة ]]-Table8[[#This Row],[القانونيه ]]</f>
        <v>3695.0000000000005</v>
      </c>
      <c r="J146" s="61">
        <f t="shared" ref="J146:J150" si="111">D146-E146</f>
        <v>517.29999999999973</v>
      </c>
      <c r="K146" s="61">
        <f t="shared" ref="K146:K150" si="112">E146*$K$3</f>
        <v>110.85000000000001</v>
      </c>
      <c r="L146" s="61">
        <f t="shared" ref="L146:L150" si="113">D146-K146</f>
        <v>4101.45</v>
      </c>
      <c r="M146" s="62">
        <v>4101.45</v>
      </c>
      <c r="N146" s="181"/>
      <c r="O146" s="62">
        <f t="shared" ref="O146:O150" si="114">M146-L146-N146</f>
        <v>0</v>
      </c>
      <c r="P146" s="63"/>
      <c r="Q146" s="134">
        <f>IFERROR((Table8[[#This Row],[تاريخ الاستحقاق]]-Table8[[#This Row],[تاريخ اصدار الفاتورة ]]),0)</f>
        <v>-45955</v>
      </c>
      <c r="R146" s="133" t="str">
        <f ca="1">IF(Table8[[#This Row],[تاريخ الاستحقاق]]&lt;$S$1,"مستحق","غير مستحق")</f>
        <v>مستحق</v>
      </c>
      <c r="S146" s="135">
        <f ca="1">Table8[[#This Row],[تاريخ الاستحقاق]]-$S$1</f>
        <v>-46006</v>
      </c>
      <c r="T146" s="136"/>
      <c r="U146" s="184">
        <f>Table8[[#This Row],[المبلغ المسدد]]/1.14</f>
        <v>3597.7631578947371</v>
      </c>
      <c r="V146" s="220"/>
    </row>
    <row r="147" spans="1:22">
      <c r="A147" s="58" t="s">
        <v>1078</v>
      </c>
      <c r="B147" s="59">
        <v>45901</v>
      </c>
      <c r="C147" s="60">
        <v>45946</v>
      </c>
      <c r="D147" s="61">
        <v>23155.68</v>
      </c>
      <c r="E147" s="61">
        <f t="shared" si="110"/>
        <v>20312.000000000004</v>
      </c>
      <c r="F147" s="61"/>
      <c r="G147" s="61"/>
      <c r="H147" s="61"/>
      <c r="I147" s="203">
        <f>Table8[[#This Row],[الاجمالي بدون الضريبه14%]]-Table8[[#This Row],[القاهرة ]]-Table8[[#This Row],[المنصورة ]]-Table8[[#This Row],[القانونيه ]]</f>
        <v>20312.000000000004</v>
      </c>
      <c r="J147" s="61">
        <f t="shared" si="111"/>
        <v>2843.6799999999967</v>
      </c>
      <c r="K147" s="61">
        <f t="shared" si="112"/>
        <v>609.36000000000013</v>
      </c>
      <c r="L147" s="61">
        <f t="shared" si="113"/>
        <v>22546.32</v>
      </c>
      <c r="M147" s="62">
        <v>22546.32</v>
      </c>
      <c r="N147" s="181"/>
      <c r="O147" s="62">
        <f t="shared" si="114"/>
        <v>0</v>
      </c>
      <c r="P147" s="63"/>
      <c r="Q147" s="134">
        <f>IFERROR((Table8[[#This Row],[تاريخ الاستحقاق]]-Table8[[#This Row],[تاريخ اصدار الفاتورة ]]),0)</f>
        <v>-45946</v>
      </c>
      <c r="R147" s="133" t="str">
        <f ca="1">IF(Table8[[#This Row],[تاريخ الاستحقاق]]&lt;$S$1,"مستحق","غير مستحق")</f>
        <v>مستحق</v>
      </c>
      <c r="S147" s="135">
        <f ca="1">Table8[[#This Row],[تاريخ الاستحقاق]]-$S$1</f>
        <v>-46006</v>
      </c>
      <c r="T147" s="136"/>
      <c r="U147" s="184">
        <f>Table8[[#This Row],[المبلغ المسدد]]/1.14</f>
        <v>19777.473684210527</v>
      </c>
      <c r="V147" s="220"/>
    </row>
    <row r="148" spans="1:22">
      <c r="A148" s="58" t="s">
        <v>1147</v>
      </c>
      <c r="B148" s="59">
        <v>45901</v>
      </c>
      <c r="C148" s="60">
        <v>45959</v>
      </c>
      <c r="D148" s="61">
        <v>260537.8</v>
      </c>
      <c r="E148" s="61">
        <f t="shared" si="110"/>
        <v>228541.9298245614</v>
      </c>
      <c r="F148" s="61"/>
      <c r="G148" s="61"/>
      <c r="H148" s="61"/>
      <c r="I148" s="203">
        <f>Table8[[#This Row],[الاجمالي بدون الضريبه14%]]-Table8[[#This Row],[القاهرة ]]-Table8[[#This Row],[المنصورة ]]-Table8[[#This Row],[القانونيه ]]</f>
        <v>228541.9298245614</v>
      </c>
      <c r="J148" s="61">
        <f t="shared" si="111"/>
        <v>31995.870175438584</v>
      </c>
      <c r="K148" s="61">
        <f t="shared" si="112"/>
        <v>6856.257894736842</v>
      </c>
      <c r="L148" s="61">
        <f t="shared" si="113"/>
        <v>253681.54210526316</v>
      </c>
      <c r="M148" s="62">
        <v>253681.54210526316</v>
      </c>
      <c r="N148" s="181"/>
      <c r="O148" s="62">
        <f t="shared" si="114"/>
        <v>0</v>
      </c>
      <c r="P148" s="63"/>
      <c r="Q148" s="134">
        <f>IFERROR((Table8[[#This Row],[تاريخ الاستحقاق]]-Table8[[#This Row],[تاريخ اصدار الفاتورة ]]),0)</f>
        <v>-45959</v>
      </c>
      <c r="R148" s="133" t="str">
        <f ca="1">IF(Table8[[#This Row],[تاريخ الاستحقاق]]&lt;$S$1,"مستحق","غير مستحق")</f>
        <v>مستحق</v>
      </c>
      <c r="S148" s="135">
        <f ca="1">Table8[[#This Row],[تاريخ الاستحقاق]]-$S$1</f>
        <v>-46006</v>
      </c>
      <c r="T148" s="136"/>
      <c r="U148" s="184">
        <f>Table8[[#This Row],[المبلغ المسدد]]/1.14</f>
        <v>222527.66851338875</v>
      </c>
      <c r="V148" s="220"/>
    </row>
    <row r="149" spans="1:22">
      <c r="A149" s="58" t="s">
        <v>187</v>
      </c>
      <c r="B149" s="59">
        <v>45870</v>
      </c>
      <c r="C149" s="60">
        <v>45964</v>
      </c>
      <c r="D149" s="61">
        <v>305520</v>
      </c>
      <c r="E149" s="61">
        <f t="shared" si="110"/>
        <v>268000</v>
      </c>
      <c r="F149" s="61"/>
      <c r="G149" s="61"/>
      <c r="H149" s="61"/>
      <c r="I149" s="203">
        <f>Table8[[#This Row],[الاجمالي بدون الضريبه14%]]-Table8[[#This Row],[القاهرة ]]-Table8[[#This Row],[المنصورة ]]-Table8[[#This Row],[القانونيه ]]</f>
        <v>268000</v>
      </c>
      <c r="J149" s="61">
        <f t="shared" si="111"/>
        <v>37520</v>
      </c>
      <c r="K149" s="61">
        <f t="shared" si="112"/>
        <v>8040</v>
      </c>
      <c r="L149" s="61">
        <f t="shared" si="113"/>
        <v>297480</v>
      </c>
      <c r="M149" s="62"/>
      <c r="N149" s="181"/>
      <c r="O149" s="62">
        <f t="shared" si="114"/>
        <v>-297480</v>
      </c>
      <c r="P149" s="63"/>
      <c r="Q149" s="134">
        <f>IFERROR((Table8[[#This Row],[تاريخ الاستحقاق]]-Table8[[#This Row],[تاريخ اصدار الفاتورة ]]),0)</f>
        <v>-45964</v>
      </c>
      <c r="R149" s="133" t="str">
        <f ca="1">IF(Table8[[#This Row],[تاريخ الاستحقاق]]&lt;$S$1,"مستحق","غير مستحق")</f>
        <v>مستحق</v>
      </c>
      <c r="S149" s="135">
        <f ca="1">Table8[[#This Row],[تاريخ الاستحقاق]]-$S$1</f>
        <v>-46006</v>
      </c>
      <c r="T149" s="136"/>
      <c r="U149" s="184">
        <f>Table8[[#This Row],[المبلغ المسدد]]/1.14</f>
        <v>0</v>
      </c>
      <c r="V149" s="220"/>
    </row>
    <row r="150" spans="1:22">
      <c r="A150" s="58" t="s">
        <v>337</v>
      </c>
      <c r="B150" s="59">
        <v>45870</v>
      </c>
      <c r="C150" s="60">
        <v>45964</v>
      </c>
      <c r="D150" s="61">
        <v>243162</v>
      </c>
      <c r="E150" s="61">
        <f t="shared" si="110"/>
        <v>213300.00000000003</v>
      </c>
      <c r="F150" s="61"/>
      <c r="G150" s="61"/>
      <c r="H150" s="61"/>
      <c r="I150" s="203">
        <f>Table8[[#This Row],[الاجمالي بدون الضريبه14%]]-Table8[[#This Row],[القاهرة ]]-Table8[[#This Row],[المنصورة ]]-Table8[[#This Row],[القانونيه ]]</f>
        <v>213300.00000000003</v>
      </c>
      <c r="J150" s="61">
        <f t="shared" si="111"/>
        <v>29861.999999999971</v>
      </c>
      <c r="K150" s="61">
        <f t="shared" si="112"/>
        <v>6399.0000000000009</v>
      </c>
      <c r="L150" s="61">
        <f t="shared" si="113"/>
        <v>236763</v>
      </c>
      <c r="M150" s="62">
        <v>236763</v>
      </c>
      <c r="N150" s="181"/>
      <c r="O150" s="62">
        <f t="shared" si="114"/>
        <v>0</v>
      </c>
      <c r="P150" s="63"/>
      <c r="Q150" s="134">
        <f>IFERROR((Table8[[#This Row],[تاريخ الاستحقاق]]-Table8[[#This Row],[تاريخ اصدار الفاتورة ]]),0)</f>
        <v>-45964</v>
      </c>
      <c r="R150" s="133" t="str">
        <f ca="1">IF(Table8[[#This Row],[تاريخ الاستحقاق]]&lt;$S$1,"مستحق","غير مستحق")</f>
        <v>مستحق</v>
      </c>
      <c r="S150" s="135">
        <f ca="1">Table8[[#This Row],[تاريخ الاستحقاق]]-$S$1</f>
        <v>-46006</v>
      </c>
      <c r="T150" s="136"/>
      <c r="U150" s="184">
        <f>Table8[[#This Row],[المبلغ المسدد]]/1.14</f>
        <v>207686.84210526317</v>
      </c>
      <c r="V150" s="220"/>
    </row>
    <row r="151" spans="1:22" ht="18.75">
      <c r="A151" s="140" t="s">
        <v>14</v>
      </c>
      <c r="B151" s="138"/>
      <c r="C151" s="138"/>
      <c r="D151" s="139">
        <f>SUBTOTAL(109,Table8[الاجمالي بالضريبه 14%])</f>
        <v>16938610.316802002</v>
      </c>
      <c r="E151" s="139">
        <f>SUBTOTAL(109,Table8[الاجمالي بدون الضريبه14%])</f>
        <v>14858430.102457898</v>
      </c>
      <c r="F151" s="139"/>
      <c r="G151" s="139"/>
      <c r="H151" s="139"/>
      <c r="I151" s="139"/>
      <c r="J151" s="139">
        <f>SUBTOTAL(109,Table8[14%])</f>
        <v>2080180.2143441043</v>
      </c>
      <c r="K151" s="139">
        <f>SUBTOTAL(109,Table8[3%])</f>
        <v>445752.90307373693</v>
      </c>
      <c r="L151" s="139">
        <f>SUBTOTAL(109,Table8[[المطلوب تحويله ]])</f>
        <v>16492857.413728261</v>
      </c>
      <c r="M151" s="139">
        <f>SUBTOTAL(109,Table8[المبلغ المسدد])</f>
        <v>15679253.29101547</v>
      </c>
      <c r="N151" s="182">
        <f>SUBTOTAL(109,Table8[[مصروفات ]])</f>
        <v>-52083.663447859661</v>
      </c>
      <c r="O151" s="139">
        <f>SUBTOTAL(109,Table8[[المستحق ]])</f>
        <v>-761520.45926492976</v>
      </c>
      <c r="P151" s="137"/>
      <c r="Q151" s="241"/>
      <c r="R151" s="242"/>
      <c r="S151" s="141"/>
      <c r="T151" s="138"/>
      <c r="U151" s="183"/>
    </row>
    <row r="153" spans="1:22">
      <c r="P153" s="47">
        <f>+M86-M107-M118</f>
        <v>80034.321052631552</v>
      </c>
    </row>
    <row r="154" spans="1:22">
      <c r="P154" s="47" t="s">
        <v>1299</v>
      </c>
    </row>
    <row r="155" spans="1:22">
      <c r="P155" s="47">
        <v>79402.89</v>
      </c>
    </row>
    <row r="156" spans="1:22">
      <c r="P156" s="47">
        <f>+P153-P155</f>
        <v>631.43105263155303</v>
      </c>
    </row>
  </sheetData>
  <mergeCells count="1">
    <mergeCell ref="S1:T2"/>
  </mergeCells>
  <phoneticPr fontId="14" type="noConversion"/>
  <printOptions horizontalCentered="1"/>
  <pageMargins left="0" right="0" top="0" bottom="0" header="0" footer="0"/>
  <pageSetup paperSize="9" scale="53" fitToHeight="0" orientation="landscape"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C11C6A21-F59D-467E-914C-03D410CA0E6B}">
          <x14:formula1>
            <xm:f>'قاعدة بيانات  '!$B$3:$B$30</xm:f>
          </x14:formula1>
          <xm:sqref>A4:A141</xm:sqref>
        </x14:dataValidation>
        <x14:dataValidation type="list" allowBlank="1" showInputMessage="1" showErrorMessage="1" xr:uid="{284B4596-3621-4DB0-8A1F-D891E43D2055}">
          <x14:formula1>
            <xm:f>'قاعدة بيانات  '!$B$3:$B$31</xm:f>
          </x14:formula1>
          <xm:sqref>A142</xm:sqref>
        </x14:dataValidation>
        <x14:dataValidation type="list" allowBlank="1" showInputMessage="1" showErrorMessage="1" xr:uid="{7E9F5A9F-1C3C-4FE8-B48E-794278D8F473}">
          <x14:formula1>
            <xm:f>'قاعدة بيانات  '!$B$3:$B$33</xm:f>
          </x14:formula1>
          <xm:sqref>A143:A150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580"/>
  <sheetViews>
    <sheetView rightToLeft="1" tabSelected="1" topLeftCell="D1" zoomScale="85" zoomScaleNormal="85" workbookViewId="0">
      <pane ySplit="2" topLeftCell="A7319" activePane="bottomLeft" state="frozen"/>
      <selection pane="bottomLeft" activeCell="D7321" sqref="D7321"/>
    </sheetView>
  </sheetViews>
  <sheetFormatPr defaultColWidth="11.140625" defaultRowHeight="15.75"/>
  <cols>
    <col min="1" max="1" width="16.5703125" style="159" customWidth="1"/>
    <col min="2" max="2" width="10.7109375" style="159" bestFit="1" customWidth="1"/>
    <col min="3" max="3" width="13" style="160" customWidth="1"/>
    <col min="4" max="4" width="58.28515625" style="161" customWidth="1"/>
    <col min="5" max="5" width="28.85546875" style="161" hidden="1" customWidth="1"/>
    <col min="6" max="6" width="48.5703125" style="162" hidden="1" customWidth="1"/>
    <col min="7" max="7" width="12.28515625" style="226" customWidth="1"/>
    <col min="8" max="8" width="27.140625" style="161" customWidth="1"/>
    <col min="9" max="9" width="24.42578125" style="226" bestFit="1" customWidth="1"/>
    <col min="10" max="10" width="20.85546875" style="226" bestFit="1" customWidth="1"/>
    <col min="11" max="11" width="21" style="226" bestFit="1" customWidth="1"/>
    <col min="12" max="12" width="13.7109375" style="160" customWidth="1"/>
    <col min="13" max="13" width="6.42578125" style="160" customWidth="1"/>
    <col min="14" max="14" width="16" style="160" customWidth="1"/>
    <col min="15" max="15" width="14.42578125" style="160" customWidth="1"/>
    <col min="16" max="16" width="16.7109375" style="163" bestFit="1" customWidth="1"/>
    <col min="17" max="17" width="18.85546875" style="163" customWidth="1"/>
    <col min="18" max="18" width="16.7109375" style="163" bestFit="1" customWidth="1"/>
    <col min="19" max="19" width="15.85546875" style="160" bestFit="1" customWidth="1"/>
    <col min="20" max="20" width="24.42578125" style="160" bestFit="1" customWidth="1"/>
    <col min="21" max="21" width="11.140625" style="160"/>
    <col min="22" max="22" width="13.42578125" style="160" bestFit="1" customWidth="1"/>
    <col min="23" max="23" width="24.42578125" style="160" bestFit="1" customWidth="1"/>
    <col min="24" max="16384" width="11.140625" style="160"/>
  </cols>
  <sheetData>
    <row r="1" spans="1:20">
      <c r="P1" s="163">
        <f>SUBTOTAL(9,Table1[[الوارد ]])</f>
        <v>1598560.633016486</v>
      </c>
      <c r="Q1" s="163">
        <f>SUBTOTAL(9,Table1[[المنصرف ]])</f>
        <v>1454310.7435999999</v>
      </c>
      <c r="R1" s="163" t="e">
        <f>+A556</f>
        <v>#REF!</v>
      </c>
      <c r="S1" s="160" t="e">
        <f>C556</f>
        <v>#REF!</v>
      </c>
    </row>
    <row r="2" spans="1:20" s="303" customFormat="1">
      <c r="A2" s="302" t="s">
        <v>0</v>
      </c>
      <c r="B2" s="302" t="s">
        <v>186</v>
      </c>
      <c r="C2" s="303" t="s">
        <v>1</v>
      </c>
      <c r="D2" s="303" t="s">
        <v>2</v>
      </c>
      <c r="E2" s="303" t="s">
        <v>181</v>
      </c>
      <c r="F2" s="304" t="s">
        <v>184</v>
      </c>
      <c r="G2" s="303" t="s">
        <v>185</v>
      </c>
      <c r="H2" s="303" t="s">
        <v>180</v>
      </c>
      <c r="I2" s="303" t="s">
        <v>8</v>
      </c>
      <c r="J2" s="303" t="s">
        <v>30</v>
      </c>
      <c r="K2" s="303" t="s">
        <v>4</v>
      </c>
      <c r="L2" s="303" t="s">
        <v>183</v>
      </c>
      <c r="M2" s="303" t="s">
        <v>182</v>
      </c>
      <c r="N2" s="303" t="s">
        <v>361</v>
      </c>
      <c r="O2" s="303" t="s">
        <v>12</v>
      </c>
      <c r="P2" s="305" t="s">
        <v>9</v>
      </c>
      <c r="Q2" s="305" t="s">
        <v>10</v>
      </c>
      <c r="R2" s="305" t="s">
        <v>11</v>
      </c>
      <c r="S2" s="303" t="s">
        <v>31</v>
      </c>
    </row>
    <row r="3" spans="1:20">
      <c r="A3" s="159">
        <v>45292</v>
      </c>
      <c r="B3" s="160" t="str">
        <f>IF(Table1[[#This Row],[التاريخ ]]="","",TEXT(Table1[[#This Row],[التاريخ ]],"DDD"))</f>
        <v>Mon</v>
      </c>
      <c r="C3" s="160" t="str">
        <f>IF(Table1[[#This Row],[التاريخ ]]="","",TEXT(Table1[[#This Row],[التاريخ ]],"mmm"))</f>
        <v>Jan</v>
      </c>
      <c r="D3" s="161" t="s">
        <v>13</v>
      </c>
      <c r="H3" s="227"/>
      <c r="K3" s="226" t="s">
        <v>113</v>
      </c>
      <c r="L3" s="164">
        <v>1</v>
      </c>
      <c r="M3" s="165"/>
      <c r="N3" s="165"/>
      <c r="O3" s="160" t="s">
        <v>188</v>
      </c>
      <c r="P3" s="163">
        <v>56145.633016485954</v>
      </c>
      <c r="Q3" s="166"/>
      <c r="R3" s="163">
        <f>+Table1[[#This Row],[الوارد ]]</f>
        <v>56145.633016485954</v>
      </c>
    </row>
    <row r="4" spans="1:20">
      <c r="A4" s="237">
        <v>45658</v>
      </c>
      <c r="B4" s="160" t="str">
        <f>TEXT(Table1[[#This Row],[التاريخ ]],"DDD")</f>
        <v>Wed</v>
      </c>
      <c r="C4" s="160" t="str">
        <f>IF(Table1[[#This Row],[التاريخ ]]="","",TEXT(Table1[[#This Row],[التاريخ ]],"mmm"))</f>
        <v>Jan</v>
      </c>
      <c r="D4" s="161" t="s">
        <v>193</v>
      </c>
      <c r="G4" s="226">
        <v>151</v>
      </c>
      <c r="H4" s="227" t="str">
        <f>VLOOKUP(G:G,'قاعدة بيانات  '!K:L,2,0)</f>
        <v xml:space="preserve">احمد عبد الباسط عبد السلام محمد </v>
      </c>
      <c r="I4" s="226" t="s">
        <v>167</v>
      </c>
      <c r="J4" s="226" t="s">
        <v>301</v>
      </c>
      <c r="K4" s="226" t="s">
        <v>140</v>
      </c>
      <c r="L4" s="164">
        <v>2</v>
      </c>
      <c r="M4" s="165"/>
      <c r="N4" s="165"/>
      <c r="P4" s="163">
        <v>30000</v>
      </c>
      <c r="Q4" s="166"/>
      <c r="R4" s="163">
        <f>R3+Table1[[#This Row],[الوارد ]]-Table1[[#This Row],[المنصرف ]]</f>
        <v>86145.633016485954</v>
      </c>
      <c r="S4" s="226"/>
      <c r="T4" s="226"/>
    </row>
    <row r="5" spans="1:20">
      <c r="A5" s="237">
        <v>45658</v>
      </c>
      <c r="B5" s="160" t="str">
        <f>TEXT(Table1[[#This Row],[التاريخ ]],"DDD")</f>
        <v>Wed</v>
      </c>
      <c r="C5" s="160" t="str">
        <f>IF(Table1[[#This Row],[التاريخ ]]="","",TEXT(Table1[[#This Row],[التاريخ ]],"mmm"))</f>
        <v>Jan</v>
      </c>
      <c r="D5" s="161" t="s">
        <v>428</v>
      </c>
      <c r="G5" s="226">
        <v>151</v>
      </c>
      <c r="H5" s="227" t="str">
        <f>VLOOKUP(G:G,'قاعدة بيانات  '!K:L,2,0)</f>
        <v xml:space="preserve">احمد عبد الباسط عبد السلام محمد </v>
      </c>
      <c r="I5" s="226" t="s">
        <v>167</v>
      </c>
      <c r="J5" s="226" t="s">
        <v>301</v>
      </c>
      <c r="K5" s="226" t="s">
        <v>134</v>
      </c>
      <c r="L5" s="164">
        <v>3</v>
      </c>
      <c r="M5" s="165"/>
      <c r="N5" s="165"/>
      <c r="Q5" s="166">
        <v>2500</v>
      </c>
      <c r="R5" s="163">
        <f>R4+Table1[[#This Row],[الوارد ]]-Table1[[#This Row],[المنصرف ]]</f>
        <v>83645.633016485954</v>
      </c>
      <c r="S5" s="226"/>
      <c r="T5" s="226"/>
    </row>
    <row r="6" spans="1:20">
      <c r="A6" s="237">
        <v>45658</v>
      </c>
      <c r="B6" s="160" t="str">
        <f>TEXT(Table1[[#This Row],[التاريخ ]],"DDD")</f>
        <v>Wed</v>
      </c>
      <c r="C6" s="160" t="str">
        <f>IF(Table1[[#This Row],[التاريخ ]]="","",TEXT(Table1[[#This Row],[التاريخ ]],"mmm"))</f>
        <v>Jan</v>
      </c>
      <c r="D6" s="161" t="s">
        <v>429</v>
      </c>
      <c r="G6" s="226">
        <v>151</v>
      </c>
      <c r="H6" s="227" t="str">
        <f>VLOOKUP(G:G,'قاعدة بيانات  '!K:L,2,0)</f>
        <v xml:space="preserve">احمد عبد الباسط عبد السلام محمد </v>
      </c>
      <c r="I6" s="226" t="s">
        <v>167</v>
      </c>
      <c r="J6" s="226" t="s">
        <v>301</v>
      </c>
      <c r="K6" s="226" t="s">
        <v>134</v>
      </c>
      <c r="L6" s="164">
        <v>4</v>
      </c>
      <c r="M6" s="165"/>
      <c r="N6" s="165"/>
      <c r="Q6" s="166">
        <v>4000</v>
      </c>
      <c r="R6" s="163">
        <f>R5+Table1[[#This Row],[الوارد ]]-Table1[[#This Row],[المنصرف ]]</f>
        <v>79645.633016485954</v>
      </c>
      <c r="S6" s="226"/>
      <c r="T6" s="226"/>
    </row>
    <row r="7" spans="1:20">
      <c r="A7" s="237">
        <v>45658</v>
      </c>
      <c r="B7" s="160" t="str">
        <f>TEXT(Table1[[#This Row],[التاريخ ]],"DDD")</f>
        <v>Wed</v>
      </c>
      <c r="C7" s="160" t="str">
        <f>IF(Table1[[#This Row],[التاريخ ]]="","",TEXT(Table1[[#This Row],[التاريخ ]],"mmm"))</f>
        <v>Jan</v>
      </c>
      <c r="D7" s="161" t="s">
        <v>430</v>
      </c>
      <c r="G7" s="226">
        <v>151</v>
      </c>
      <c r="H7" s="227" t="str">
        <f>VLOOKUP(G:G,'قاعدة بيانات  '!K:L,2,0)</f>
        <v xml:space="preserve">احمد عبد الباسط عبد السلام محمد </v>
      </c>
      <c r="I7" s="226" t="s">
        <v>199</v>
      </c>
      <c r="J7" s="226" t="s">
        <v>111</v>
      </c>
      <c r="K7" s="226" t="s">
        <v>117</v>
      </c>
      <c r="L7" s="164">
        <v>5</v>
      </c>
      <c r="M7" s="165"/>
      <c r="N7" s="165"/>
      <c r="Q7" s="166">
        <v>8000</v>
      </c>
      <c r="R7" s="163">
        <f>R6+Table1[[#This Row],[الوارد ]]-Table1[[#This Row],[المنصرف ]]</f>
        <v>71645.633016485954</v>
      </c>
      <c r="S7" s="226"/>
      <c r="T7" s="226"/>
    </row>
    <row r="8" spans="1:20">
      <c r="A8" s="237">
        <v>45659</v>
      </c>
      <c r="B8" s="160" t="str">
        <f>TEXT(Table1[[#This Row],[التاريخ ]],"DDD")</f>
        <v>Thu</v>
      </c>
      <c r="C8" s="160" t="str">
        <f>IF(Table1[[#This Row],[التاريخ ]]="","",TEXT(Table1[[#This Row],[التاريخ ]],"mmm"))</f>
        <v>Jan</v>
      </c>
      <c r="D8" s="161" t="s">
        <v>333</v>
      </c>
      <c r="G8" s="226">
        <v>151</v>
      </c>
      <c r="H8" s="227" t="str">
        <f>VLOOKUP(G:G,'قاعدة بيانات  '!K:L,2,0)</f>
        <v xml:space="preserve">احمد عبد الباسط عبد السلام محمد </v>
      </c>
      <c r="I8" s="226" t="s">
        <v>167</v>
      </c>
      <c r="J8" s="226" t="s">
        <v>301</v>
      </c>
      <c r="K8" s="226" t="s">
        <v>120</v>
      </c>
      <c r="L8" s="164">
        <v>6</v>
      </c>
      <c r="M8" s="165"/>
      <c r="N8" s="165"/>
      <c r="Q8" s="166">
        <v>30</v>
      </c>
      <c r="R8" s="163">
        <f>R7+Table1[[#This Row],[الوارد ]]-Table1[[#This Row],[المنصرف ]]</f>
        <v>71615.633016485954</v>
      </c>
      <c r="S8" s="226"/>
      <c r="T8" s="226"/>
    </row>
    <row r="9" spans="1:20">
      <c r="A9" s="237">
        <v>45662</v>
      </c>
      <c r="B9" s="160" t="str">
        <f>TEXT(Table1[[#This Row],[التاريخ ]],"DDD")</f>
        <v>Sun</v>
      </c>
      <c r="C9" s="160" t="str">
        <f>IF(Table1[[#This Row],[التاريخ ]]="","",TEXT(Table1[[#This Row],[التاريخ ]],"mmm"))</f>
        <v>Jan</v>
      </c>
      <c r="D9" s="161" t="s">
        <v>435</v>
      </c>
      <c r="G9" s="226">
        <v>529</v>
      </c>
      <c r="H9" s="227" t="str">
        <f>VLOOKUP(G:G,'قاعدة بيانات  '!K:L,2,0)</f>
        <v xml:space="preserve">احمد سيد محمد ابوالخير سليمان </v>
      </c>
      <c r="I9" s="226" t="s">
        <v>376</v>
      </c>
      <c r="J9" s="226" t="s">
        <v>1113</v>
      </c>
      <c r="K9" s="226" t="s">
        <v>116</v>
      </c>
      <c r="L9" s="164">
        <v>7</v>
      </c>
      <c r="M9" s="165"/>
      <c r="N9" s="165"/>
      <c r="Q9" s="166">
        <v>116</v>
      </c>
      <c r="R9" s="163">
        <f>R8+Table1[[#This Row],[الوارد ]]-Table1[[#This Row],[المنصرف ]]</f>
        <v>71499.633016485954</v>
      </c>
      <c r="S9" s="226"/>
      <c r="T9" s="226"/>
    </row>
    <row r="10" spans="1:20">
      <c r="A10" s="237">
        <v>45662</v>
      </c>
      <c r="B10" s="160" t="str">
        <f>TEXT(Table1[[#This Row],[التاريخ ]],"DDD")</f>
        <v>Sun</v>
      </c>
      <c r="C10" s="160" t="str">
        <f>IF(Table1[[#This Row],[التاريخ ]]="","",TEXT(Table1[[#This Row],[التاريخ ]],"mmm"))</f>
        <v>Jan</v>
      </c>
      <c r="D10" s="161" t="s">
        <v>436</v>
      </c>
      <c r="G10" s="226">
        <v>515</v>
      </c>
      <c r="H10" s="227" t="str">
        <f>VLOOKUP(G:G,'قاعدة بيانات  '!K:L,2,0)</f>
        <v>محمد عبدالمنعم عبدالحليم إبراهيم</v>
      </c>
      <c r="I10" s="226" t="s">
        <v>167</v>
      </c>
      <c r="J10" s="226" t="s">
        <v>301</v>
      </c>
      <c r="K10" s="226" t="s">
        <v>117</v>
      </c>
      <c r="L10" s="164">
        <v>8</v>
      </c>
      <c r="M10" s="165"/>
      <c r="N10" s="165"/>
      <c r="Q10" s="166">
        <v>85</v>
      </c>
      <c r="R10" s="163">
        <f>R9+Table1[[#This Row],[الوارد ]]-Table1[[#This Row],[المنصرف ]]</f>
        <v>71414.633016485954</v>
      </c>
      <c r="S10" s="226"/>
      <c r="T10" s="226"/>
    </row>
    <row r="11" spans="1:20">
      <c r="A11" s="237">
        <v>45662</v>
      </c>
      <c r="B11" s="160" t="str">
        <f>TEXT(Table1[[#This Row],[التاريخ ]],"DDD")</f>
        <v>Sun</v>
      </c>
      <c r="C11" s="160" t="str">
        <f>IF(Table1[[#This Row],[التاريخ ]]="","",TEXT(Table1[[#This Row],[التاريخ ]],"mmm"))</f>
        <v>Jan</v>
      </c>
      <c r="D11" s="161" t="s">
        <v>419</v>
      </c>
      <c r="G11" s="226">
        <v>493</v>
      </c>
      <c r="H11" s="227" t="str">
        <f>VLOOKUP(G:G,'قاعدة بيانات  '!K:L,2,0)</f>
        <v>محمود محمد محمود محمد</v>
      </c>
      <c r="I11" s="226" t="s">
        <v>106</v>
      </c>
      <c r="J11" s="226" t="s">
        <v>1114</v>
      </c>
      <c r="K11" s="226" t="s">
        <v>116</v>
      </c>
      <c r="L11" s="164">
        <v>9</v>
      </c>
      <c r="M11" s="165"/>
      <c r="N11" s="165"/>
      <c r="Q11" s="166">
        <f>79+20.5+24.5+16</f>
        <v>140</v>
      </c>
      <c r="R11" s="163">
        <f>R10+Table1[[#This Row],[الوارد ]]-Table1[[#This Row],[المنصرف ]]</f>
        <v>71274.633016485954</v>
      </c>
      <c r="S11" s="226"/>
      <c r="T11" s="226"/>
    </row>
    <row r="12" spans="1:20">
      <c r="A12" s="237">
        <v>45662</v>
      </c>
      <c r="B12" s="160" t="str">
        <f>TEXT(Table1[[#This Row],[التاريخ ]],"DDD")</f>
        <v>Sun</v>
      </c>
      <c r="C12" s="160" t="str">
        <f>IF(Table1[[#This Row],[التاريخ ]]="","",TEXT(Table1[[#This Row],[التاريخ ]],"mmm"))</f>
        <v>Jan</v>
      </c>
      <c r="D12" s="161" t="s">
        <v>419</v>
      </c>
      <c r="G12" s="226">
        <v>493</v>
      </c>
      <c r="H12" s="227" t="str">
        <f>VLOOKUP(G:G,'قاعدة بيانات  '!K:L,2,0)</f>
        <v>محمود محمد محمود محمد</v>
      </c>
      <c r="I12" s="226" t="s">
        <v>106</v>
      </c>
      <c r="J12" s="226" t="s">
        <v>1114</v>
      </c>
      <c r="K12" s="226" t="s">
        <v>124</v>
      </c>
      <c r="L12" s="164">
        <v>9</v>
      </c>
      <c r="M12" s="165"/>
      <c r="N12" s="165"/>
      <c r="Q12" s="166">
        <v>70</v>
      </c>
      <c r="R12" s="163">
        <f>R11+Table1[[#This Row],[الوارد ]]-Table1[[#This Row],[المنصرف ]]</f>
        <v>71204.633016485954</v>
      </c>
      <c r="S12" s="226"/>
      <c r="T12" s="226"/>
    </row>
    <row r="13" spans="1:20">
      <c r="A13" s="237">
        <v>45662</v>
      </c>
      <c r="B13" s="160" t="str">
        <f>TEXT(Table1[[#This Row],[التاريخ ]],"DDD")</f>
        <v>Sun</v>
      </c>
      <c r="C13" s="160" t="str">
        <f>IF(Table1[[#This Row],[التاريخ ]]="","",TEXT(Table1[[#This Row],[التاريخ ]],"mmm"))</f>
        <v>Jan</v>
      </c>
      <c r="D13" s="161" t="s">
        <v>419</v>
      </c>
      <c r="G13" s="226">
        <v>493</v>
      </c>
      <c r="H13" s="227" t="str">
        <f>VLOOKUP(G:G,'قاعدة بيانات  '!K:L,2,0)</f>
        <v>محمود محمد محمود محمد</v>
      </c>
      <c r="I13" s="226" t="s">
        <v>392</v>
      </c>
      <c r="J13" s="226" t="s">
        <v>112</v>
      </c>
      <c r="K13" s="226" t="s">
        <v>120</v>
      </c>
      <c r="L13" s="164">
        <v>9</v>
      </c>
      <c r="M13" s="165"/>
      <c r="N13" s="165"/>
      <c r="Q13" s="166">
        <f>60+40+15+20</f>
        <v>135</v>
      </c>
      <c r="R13" s="163">
        <f>R12+Table1[[#This Row],[الوارد ]]-Table1[[#This Row],[المنصرف ]]</f>
        <v>71069.633016485954</v>
      </c>
      <c r="S13" s="226"/>
      <c r="T13" s="226"/>
    </row>
    <row r="14" spans="1:20">
      <c r="A14" s="237">
        <v>45662</v>
      </c>
      <c r="B14" s="160" t="str">
        <f>TEXT(Table1[[#This Row],[التاريخ ]],"DDD")</f>
        <v>Sun</v>
      </c>
      <c r="C14" s="160" t="str">
        <f>IF(Table1[[#This Row],[التاريخ ]]="","",TEXT(Table1[[#This Row],[التاريخ ]],"mmm"))</f>
        <v>Jan</v>
      </c>
      <c r="D14" s="161" t="s">
        <v>419</v>
      </c>
      <c r="G14" s="226">
        <v>493</v>
      </c>
      <c r="H14" s="227" t="str">
        <f>VLOOKUP(G:G,'قاعدة بيانات  '!K:L,2,0)</f>
        <v>محمود محمد محمود محمد</v>
      </c>
      <c r="I14" s="226" t="s">
        <v>392</v>
      </c>
      <c r="J14" s="226" t="s">
        <v>112</v>
      </c>
      <c r="K14" s="226" t="s">
        <v>116</v>
      </c>
      <c r="L14" s="164">
        <v>9</v>
      </c>
      <c r="M14" s="165"/>
      <c r="N14" s="165"/>
      <c r="Q14" s="166">
        <f>20.5+24.5+16.5</f>
        <v>61.5</v>
      </c>
      <c r="R14" s="163">
        <f>R13+Table1[[#This Row],[الوارد ]]-Table1[[#This Row],[المنصرف ]]</f>
        <v>71008.133016485954</v>
      </c>
      <c r="S14" s="226"/>
      <c r="T14" s="226"/>
    </row>
    <row r="15" spans="1:20">
      <c r="A15" s="237">
        <v>45662</v>
      </c>
      <c r="B15" s="160" t="str">
        <f>TEXT(Table1[[#This Row],[التاريخ ]],"DDD")</f>
        <v>Sun</v>
      </c>
      <c r="C15" s="160" t="str">
        <f>IF(Table1[[#This Row],[التاريخ ]]="","",TEXT(Table1[[#This Row],[التاريخ ]],"mmm"))</f>
        <v>Jan</v>
      </c>
      <c r="D15" s="161" t="s">
        <v>419</v>
      </c>
      <c r="G15" s="226">
        <v>493</v>
      </c>
      <c r="H15" s="227" t="str">
        <f>VLOOKUP(G:G,'قاعدة بيانات  '!K:L,2,0)</f>
        <v>محمود محمد محمود محمد</v>
      </c>
      <c r="I15" s="226" t="s">
        <v>425</v>
      </c>
      <c r="J15" s="226" t="s">
        <v>112</v>
      </c>
      <c r="K15" s="226" t="s">
        <v>116</v>
      </c>
      <c r="L15" s="164">
        <v>9</v>
      </c>
      <c r="M15" s="165"/>
      <c r="N15" s="165"/>
      <c r="Q15" s="166">
        <v>73</v>
      </c>
      <c r="R15" s="163">
        <f>R14+Table1[[#This Row],[الوارد ]]-Table1[[#This Row],[المنصرف ]]</f>
        <v>70935.133016485954</v>
      </c>
      <c r="S15" s="226"/>
      <c r="T15" s="226"/>
    </row>
    <row r="16" spans="1:20">
      <c r="A16" s="237">
        <v>45662</v>
      </c>
      <c r="B16" s="160" t="str">
        <f>TEXT(Table1[[#This Row],[التاريخ ]],"DDD")</f>
        <v>Sun</v>
      </c>
      <c r="C16" s="160" t="str">
        <f>IF(Table1[[#This Row],[التاريخ ]]="","",TEXT(Table1[[#This Row],[التاريخ ]],"mmm"))</f>
        <v>Jan</v>
      </c>
      <c r="D16" s="161" t="s">
        <v>419</v>
      </c>
      <c r="G16" s="226">
        <v>493</v>
      </c>
      <c r="H16" s="227" t="str">
        <f>VLOOKUP(G:G,'قاعدة بيانات  '!K:L,2,0)</f>
        <v>محمود محمد محمود محمد</v>
      </c>
      <c r="I16" s="226" t="s">
        <v>103</v>
      </c>
      <c r="J16" s="226" t="s">
        <v>112</v>
      </c>
      <c r="K16" s="226" t="s">
        <v>116</v>
      </c>
      <c r="L16" s="164">
        <v>9</v>
      </c>
      <c r="M16" s="165"/>
      <c r="N16" s="165"/>
      <c r="Q16" s="166">
        <f>16.5+15.5+18</f>
        <v>50</v>
      </c>
      <c r="R16" s="163">
        <f>R15+Table1[[#This Row],[الوارد ]]-Table1[[#This Row],[المنصرف ]]</f>
        <v>70885.133016485954</v>
      </c>
      <c r="S16" s="226"/>
      <c r="T16" s="226"/>
    </row>
    <row r="17" spans="1:20">
      <c r="A17" s="237">
        <v>45662</v>
      </c>
      <c r="B17" s="160" t="str">
        <f>TEXT(Table1[[#This Row],[التاريخ ]],"DDD")</f>
        <v>Sun</v>
      </c>
      <c r="C17" s="160" t="str">
        <f>IF(Table1[[#This Row],[التاريخ ]]="","",TEXT(Table1[[#This Row],[التاريخ ]],"mmm"))</f>
        <v>Jan</v>
      </c>
      <c r="D17" s="161" t="s">
        <v>419</v>
      </c>
      <c r="G17" s="226">
        <v>493</v>
      </c>
      <c r="H17" s="227" t="str">
        <f>VLOOKUP(G:G,'قاعدة بيانات  '!K:L,2,0)</f>
        <v>محمود محمد محمود محمد</v>
      </c>
      <c r="I17" s="226" t="s">
        <v>359</v>
      </c>
      <c r="J17" s="226" t="s">
        <v>112</v>
      </c>
      <c r="K17" s="226" t="s">
        <v>116</v>
      </c>
      <c r="L17" s="164">
        <v>9</v>
      </c>
      <c r="M17" s="165"/>
      <c r="N17" s="165"/>
      <c r="Q17" s="166">
        <v>15.5</v>
      </c>
      <c r="R17" s="163">
        <f>R16+Table1[[#This Row],[الوارد ]]-Table1[[#This Row],[المنصرف ]]</f>
        <v>70869.633016485954</v>
      </c>
      <c r="S17" s="226"/>
      <c r="T17" s="226"/>
    </row>
    <row r="18" spans="1:20">
      <c r="A18" s="237">
        <v>45662</v>
      </c>
      <c r="B18" s="160" t="str">
        <f>TEXT(Table1[[#This Row],[التاريخ ]],"DDD")</f>
        <v>Sun</v>
      </c>
      <c r="C18" s="160" t="str">
        <f>IF(Table1[[#This Row],[التاريخ ]]="","",TEXT(Table1[[#This Row],[التاريخ ]],"mmm"))</f>
        <v>Jan</v>
      </c>
      <c r="D18" s="161" t="s">
        <v>437</v>
      </c>
      <c r="G18" s="226">
        <v>544</v>
      </c>
      <c r="H18" s="227" t="str">
        <f>VLOOKUP(G:G,'قاعدة بيانات  '!K:L,2,0)</f>
        <v>احمد منصور سليم منصور سليم</v>
      </c>
      <c r="I18" s="226" t="s">
        <v>425</v>
      </c>
      <c r="J18" s="226" t="s">
        <v>112</v>
      </c>
      <c r="K18" s="226" t="s">
        <v>116</v>
      </c>
      <c r="L18" s="164">
        <v>10</v>
      </c>
      <c r="M18" s="165"/>
      <c r="N18" s="165"/>
      <c r="Q18" s="166">
        <v>62</v>
      </c>
      <c r="R18" s="163">
        <f>R17+Table1[[#This Row],[الوارد ]]-Table1[[#This Row],[المنصرف ]]</f>
        <v>70807.633016485954</v>
      </c>
      <c r="S18" s="226"/>
      <c r="T18" s="226"/>
    </row>
    <row r="19" spans="1:20">
      <c r="A19" s="237">
        <v>45662</v>
      </c>
      <c r="B19" s="160" t="str">
        <f>TEXT(Table1[[#This Row],[التاريخ ]],"DDD")</f>
        <v>Sun</v>
      </c>
      <c r="C19" s="160" t="str">
        <f>IF(Table1[[#This Row],[التاريخ ]]="","",TEXT(Table1[[#This Row],[التاريخ ]],"mmm"))</f>
        <v>Jan</v>
      </c>
      <c r="D19" s="161" t="s">
        <v>406</v>
      </c>
      <c r="G19" s="226">
        <v>62</v>
      </c>
      <c r="H19" s="227" t="str">
        <f>VLOOKUP(G:G,'قاعدة بيانات  '!K:L,2,0)</f>
        <v>محمد مجدى السيد عبد الدايم</v>
      </c>
      <c r="I19" s="226" t="s">
        <v>103</v>
      </c>
      <c r="J19" s="226" t="s">
        <v>112</v>
      </c>
      <c r="K19" s="226" t="s">
        <v>116</v>
      </c>
      <c r="L19" s="164">
        <v>11</v>
      </c>
      <c r="M19" s="165"/>
      <c r="N19" s="165"/>
      <c r="Q19" s="166">
        <f>15+39+35+15+11</f>
        <v>115</v>
      </c>
      <c r="R19" s="163">
        <f>R18+Table1[[#This Row],[الوارد ]]-Table1[[#This Row],[المنصرف ]]</f>
        <v>70692.633016485954</v>
      </c>
      <c r="S19" s="226"/>
      <c r="T19" s="226"/>
    </row>
    <row r="20" spans="1:20">
      <c r="A20" s="237">
        <v>45662</v>
      </c>
      <c r="B20" s="160" t="str">
        <f>TEXT(Table1[[#This Row],[التاريخ ]],"DDD")</f>
        <v>Sun</v>
      </c>
      <c r="C20" s="160" t="str">
        <f>IF(Table1[[#This Row],[التاريخ ]]="","",TEXT(Table1[[#This Row],[التاريخ ]],"mmm"))</f>
        <v>Jan</v>
      </c>
      <c r="D20" s="161" t="s">
        <v>406</v>
      </c>
      <c r="G20" s="226">
        <v>62</v>
      </c>
      <c r="H20" s="227" t="str">
        <f>VLOOKUP(G:G,'قاعدة بيانات  '!K:L,2,0)</f>
        <v>محمد مجدى السيد عبد الدايم</v>
      </c>
      <c r="I20" s="226" t="s">
        <v>359</v>
      </c>
      <c r="J20" s="226" t="s">
        <v>112</v>
      </c>
      <c r="K20" s="226" t="s">
        <v>116</v>
      </c>
      <c r="L20" s="164">
        <v>11</v>
      </c>
      <c r="M20" s="165"/>
      <c r="N20" s="165"/>
      <c r="Q20" s="166">
        <v>15</v>
      </c>
      <c r="R20" s="163">
        <f>R19+Table1[[#This Row],[الوارد ]]-Table1[[#This Row],[المنصرف ]]</f>
        <v>70677.633016485954</v>
      </c>
      <c r="S20" s="226"/>
      <c r="T20" s="226"/>
    </row>
    <row r="21" spans="1:20">
      <c r="A21" s="237">
        <v>45662</v>
      </c>
      <c r="B21" s="160" t="str">
        <f>TEXT(Table1[[#This Row],[التاريخ ]],"DDD")</f>
        <v>Sun</v>
      </c>
      <c r="C21" s="160" t="str">
        <f>IF(Table1[[#This Row],[التاريخ ]]="","",TEXT(Table1[[#This Row],[التاريخ ]],"mmm"))</f>
        <v>Jan</v>
      </c>
      <c r="D21" s="161" t="s">
        <v>406</v>
      </c>
      <c r="G21" s="226">
        <v>62</v>
      </c>
      <c r="H21" s="227" t="str">
        <f>VLOOKUP(G:G,'قاعدة بيانات  '!K:L,2,0)</f>
        <v>محمد مجدى السيد عبد الدايم</v>
      </c>
      <c r="I21" s="226" t="s">
        <v>106</v>
      </c>
      <c r="J21" s="226" t="s">
        <v>1114</v>
      </c>
      <c r="K21" s="226" t="s">
        <v>116</v>
      </c>
      <c r="L21" s="164">
        <v>11</v>
      </c>
      <c r="M21" s="165"/>
      <c r="N21" s="165"/>
      <c r="Q21" s="166">
        <v>15</v>
      </c>
      <c r="R21" s="163">
        <f>R20+Table1[[#This Row],[الوارد ]]-Table1[[#This Row],[المنصرف ]]</f>
        <v>70662.633016485954</v>
      </c>
      <c r="S21" s="226"/>
      <c r="T21" s="226"/>
    </row>
    <row r="22" spans="1:20">
      <c r="A22" s="237">
        <v>45662</v>
      </c>
      <c r="B22" s="160" t="str">
        <f>TEXT(Table1[[#This Row],[التاريخ ]],"DDD")</f>
        <v>Sun</v>
      </c>
      <c r="C22" s="160" t="str">
        <f>IF(Table1[[#This Row],[التاريخ ]]="","",TEXT(Table1[[#This Row],[التاريخ ]],"mmm"))</f>
        <v>Jan</v>
      </c>
      <c r="D22" s="161" t="s">
        <v>406</v>
      </c>
      <c r="G22" s="226">
        <v>62</v>
      </c>
      <c r="H22" s="227" t="str">
        <f>VLOOKUP(G:G,'قاعدة بيانات  '!K:L,2,0)</f>
        <v>محمد مجدى السيد عبد الدايم</v>
      </c>
      <c r="I22" s="226" t="s">
        <v>102</v>
      </c>
      <c r="J22" s="226" t="s">
        <v>112</v>
      </c>
      <c r="K22" s="226" t="s">
        <v>116</v>
      </c>
      <c r="L22" s="164">
        <v>11</v>
      </c>
      <c r="M22" s="165"/>
      <c r="N22" s="165"/>
      <c r="Q22" s="166">
        <f>15+11</f>
        <v>26</v>
      </c>
      <c r="R22" s="163">
        <f>R21+Table1[[#This Row],[الوارد ]]-Table1[[#This Row],[المنصرف ]]</f>
        <v>70636.633016485954</v>
      </c>
      <c r="S22" s="226"/>
      <c r="T22" s="226"/>
    </row>
    <row r="23" spans="1:20">
      <c r="A23" s="237">
        <v>45662</v>
      </c>
      <c r="B23" s="160" t="str">
        <f>TEXT(Table1[[#This Row],[التاريخ ]],"DDD")</f>
        <v>Sun</v>
      </c>
      <c r="C23" s="160" t="str">
        <f>IF(Table1[[#This Row],[التاريخ ]]="","",TEXT(Table1[[#This Row],[التاريخ ]],"mmm"))</f>
        <v>Jan</v>
      </c>
      <c r="D23" s="161" t="s">
        <v>406</v>
      </c>
      <c r="G23" s="226">
        <v>62</v>
      </c>
      <c r="H23" s="227" t="str">
        <f>VLOOKUP(G:G,'قاعدة بيانات  '!K:L,2,0)</f>
        <v>محمد مجدى السيد عبد الدايم</v>
      </c>
      <c r="I23" s="226" t="s">
        <v>103</v>
      </c>
      <c r="J23" s="226" t="s">
        <v>112</v>
      </c>
      <c r="K23" s="226" t="s">
        <v>120</v>
      </c>
      <c r="L23" s="164">
        <v>11</v>
      </c>
      <c r="M23" s="165"/>
      <c r="N23" s="165"/>
      <c r="Q23" s="166">
        <v>6.5</v>
      </c>
      <c r="R23" s="163">
        <f>R22+Table1[[#This Row],[الوارد ]]-Table1[[#This Row],[المنصرف ]]</f>
        <v>70630.133016485954</v>
      </c>
      <c r="S23" s="226"/>
      <c r="T23" s="226"/>
    </row>
    <row r="24" spans="1:20">
      <c r="A24" s="237">
        <v>45662</v>
      </c>
      <c r="B24" s="160" t="str">
        <f>TEXT(Table1[[#This Row],[التاريخ ]],"DDD")</f>
        <v>Sun</v>
      </c>
      <c r="C24" s="160" t="str">
        <f>IF(Table1[[#This Row],[التاريخ ]]="","",TEXT(Table1[[#This Row],[التاريخ ]],"mmm"))</f>
        <v>Jan</v>
      </c>
      <c r="D24" s="161" t="s">
        <v>406</v>
      </c>
      <c r="G24" s="226">
        <v>62</v>
      </c>
      <c r="H24" s="227" t="str">
        <f>VLOOKUP(G:G,'قاعدة بيانات  '!K:L,2,0)</f>
        <v>محمد مجدى السيد عبد الدايم</v>
      </c>
      <c r="I24" s="226" t="s">
        <v>103</v>
      </c>
      <c r="J24" s="226" t="s">
        <v>112</v>
      </c>
      <c r="K24" s="226" t="s">
        <v>124</v>
      </c>
      <c r="L24" s="164">
        <v>11</v>
      </c>
      <c r="M24" s="165"/>
      <c r="N24" s="165"/>
      <c r="Q24" s="166">
        <v>10.5</v>
      </c>
      <c r="R24" s="163">
        <f>R23+Table1[[#This Row],[الوارد ]]-Table1[[#This Row],[المنصرف ]]</f>
        <v>70619.633016485954</v>
      </c>
      <c r="S24" s="226"/>
      <c r="T24" s="226"/>
    </row>
    <row r="25" spans="1:20">
      <c r="A25" s="237">
        <v>45662</v>
      </c>
      <c r="B25" s="160" t="str">
        <f>TEXT(Table1[[#This Row],[التاريخ ]],"DDD")</f>
        <v>Sun</v>
      </c>
      <c r="C25" s="160" t="str">
        <f>IF(Table1[[#This Row],[التاريخ ]]="","",TEXT(Table1[[#This Row],[التاريخ ]],"mmm"))</f>
        <v>Jan</v>
      </c>
      <c r="D25" s="161" t="s">
        <v>407</v>
      </c>
      <c r="G25" s="226">
        <v>20</v>
      </c>
      <c r="H25" s="227" t="str">
        <f>VLOOKUP(G:G,'قاعدة بيانات  '!K:L,2,0)</f>
        <v>عبد العزيز صلاح عبد العزيز على حسن</v>
      </c>
      <c r="I25" s="226" t="s">
        <v>328</v>
      </c>
      <c r="J25" s="226" t="s">
        <v>112</v>
      </c>
      <c r="K25" s="226" t="s">
        <v>116</v>
      </c>
      <c r="L25" s="164">
        <v>12</v>
      </c>
      <c r="M25" s="165"/>
      <c r="N25" s="165"/>
      <c r="Q25" s="166">
        <f>14+52</f>
        <v>66</v>
      </c>
      <c r="R25" s="163">
        <f>R24+Table1[[#This Row],[الوارد ]]-Table1[[#This Row],[المنصرف ]]</f>
        <v>70553.633016485954</v>
      </c>
      <c r="S25" s="226"/>
      <c r="T25" s="226"/>
    </row>
    <row r="26" spans="1:20">
      <c r="A26" s="237">
        <v>45662</v>
      </c>
      <c r="B26" s="160" t="str">
        <f>TEXT(Table1[[#This Row],[التاريخ ]],"DDD")</f>
        <v>Sun</v>
      </c>
      <c r="C26" s="160" t="str">
        <f>IF(Table1[[#This Row],[التاريخ ]]="","",TEXT(Table1[[#This Row],[التاريخ ]],"mmm"))</f>
        <v>Jan</v>
      </c>
      <c r="D26" s="161" t="s">
        <v>407</v>
      </c>
      <c r="G26" s="226">
        <v>20</v>
      </c>
      <c r="H26" s="227" t="str">
        <f>VLOOKUP(G:G,'قاعدة بيانات  '!K:L,2,0)</f>
        <v>عبد العزيز صلاح عبد العزيز على حسن</v>
      </c>
      <c r="I26" s="226" t="s">
        <v>328</v>
      </c>
      <c r="J26" s="226" t="s">
        <v>112</v>
      </c>
      <c r="K26" s="226" t="s">
        <v>124</v>
      </c>
      <c r="L26" s="164">
        <v>12</v>
      </c>
      <c r="M26" s="165"/>
      <c r="N26" s="165"/>
      <c r="Q26" s="166">
        <f>50+25</f>
        <v>75</v>
      </c>
      <c r="R26" s="163">
        <f>R25+Table1[[#This Row],[الوارد ]]-Table1[[#This Row],[المنصرف ]]</f>
        <v>70478.633016485954</v>
      </c>
      <c r="S26" s="226"/>
      <c r="T26" s="226"/>
    </row>
    <row r="27" spans="1:20">
      <c r="A27" s="237">
        <v>45662</v>
      </c>
      <c r="B27" s="160" t="str">
        <f>TEXT(Table1[[#This Row],[التاريخ ]],"DDD")</f>
        <v>Sun</v>
      </c>
      <c r="C27" s="160" t="str">
        <f>IF(Table1[[#This Row],[التاريخ ]]="","",TEXT(Table1[[#This Row],[التاريخ ]],"mmm"))</f>
        <v>Jan</v>
      </c>
      <c r="D27" s="161" t="s">
        <v>407</v>
      </c>
      <c r="G27" s="226">
        <v>20</v>
      </c>
      <c r="H27" s="227" t="str">
        <f>VLOOKUP(G:G,'قاعدة بيانات  '!K:L,2,0)</f>
        <v>عبد العزيز صلاح عبد العزيز على حسن</v>
      </c>
      <c r="I27" s="226" t="s">
        <v>328</v>
      </c>
      <c r="J27" s="226" t="s">
        <v>112</v>
      </c>
      <c r="K27" s="226" t="s">
        <v>120</v>
      </c>
      <c r="L27" s="164">
        <v>12</v>
      </c>
      <c r="M27" s="165"/>
      <c r="N27" s="165"/>
      <c r="O27" s="160" t="s">
        <v>316</v>
      </c>
      <c r="Q27" s="166">
        <v>6</v>
      </c>
      <c r="R27" s="163">
        <f>R26+Table1[[#This Row],[الوارد ]]-Table1[[#This Row],[المنصرف ]]</f>
        <v>70472.633016485954</v>
      </c>
      <c r="S27" s="226"/>
      <c r="T27" s="226"/>
    </row>
    <row r="28" spans="1:20">
      <c r="A28" s="237">
        <v>45662</v>
      </c>
      <c r="B28" s="160" t="str">
        <f>TEXT(Table1[[#This Row],[التاريخ ]],"DDD")</f>
        <v>Sun</v>
      </c>
      <c r="C28" s="160" t="str">
        <f>IF(Table1[[#This Row],[التاريخ ]]="","",TEXT(Table1[[#This Row],[التاريخ ]],"mmm"))</f>
        <v>Jan</v>
      </c>
      <c r="D28" s="161" t="s">
        <v>407</v>
      </c>
      <c r="G28" s="226">
        <v>20</v>
      </c>
      <c r="H28" s="227" t="str">
        <f>VLOOKUP(G:G,'قاعدة بيانات  '!K:L,2,0)</f>
        <v>عبد العزيز صلاح عبد العزيز على حسن</v>
      </c>
      <c r="I28" s="226" t="s">
        <v>106</v>
      </c>
      <c r="J28" s="226" t="s">
        <v>1114</v>
      </c>
      <c r="K28" s="226" t="s">
        <v>116</v>
      </c>
      <c r="L28" s="164">
        <v>12</v>
      </c>
      <c r="M28" s="165"/>
      <c r="N28" s="165"/>
      <c r="Q28" s="166">
        <f>14+23.5+15</f>
        <v>52.5</v>
      </c>
      <c r="R28" s="163">
        <f>R27+Table1[[#This Row],[الوارد ]]-Table1[[#This Row],[المنصرف ]]</f>
        <v>70420.133016485954</v>
      </c>
      <c r="S28" s="226"/>
      <c r="T28" s="226"/>
    </row>
    <row r="29" spans="1:20">
      <c r="A29" s="237">
        <v>45662</v>
      </c>
      <c r="B29" s="160" t="str">
        <f>TEXT(Table1[[#This Row],[التاريخ ]],"DDD")</f>
        <v>Sun</v>
      </c>
      <c r="C29" s="160" t="str">
        <f>IF(Table1[[#This Row],[التاريخ ]]="","",TEXT(Table1[[#This Row],[التاريخ ]],"mmm"))</f>
        <v>Jan</v>
      </c>
      <c r="D29" s="161" t="s">
        <v>407</v>
      </c>
      <c r="G29" s="226">
        <v>20</v>
      </c>
      <c r="H29" s="227" t="str">
        <f>VLOOKUP(G:G,'قاعدة بيانات  '!K:L,2,0)</f>
        <v>عبد العزيز صلاح عبد العزيز على حسن</v>
      </c>
      <c r="I29" s="226" t="s">
        <v>103</v>
      </c>
      <c r="J29" s="226" t="s">
        <v>112</v>
      </c>
      <c r="K29" s="226" t="s">
        <v>116</v>
      </c>
      <c r="L29" s="164">
        <v>12</v>
      </c>
      <c r="M29" s="165"/>
      <c r="N29" s="165"/>
      <c r="Q29" s="166">
        <f>14+23.5+52+32+41+24</f>
        <v>186.5</v>
      </c>
      <c r="R29" s="163">
        <f>R28+Table1[[#This Row],[الوارد ]]-Table1[[#This Row],[المنصرف ]]</f>
        <v>70233.633016485954</v>
      </c>
      <c r="S29" s="226"/>
      <c r="T29" s="226"/>
    </row>
    <row r="30" spans="1:20">
      <c r="A30" s="237">
        <v>45662</v>
      </c>
      <c r="B30" s="160" t="str">
        <f>TEXT(Table1[[#This Row],[التاريخ ]],"DDD")</f>
        <v>Sun</v>
      </c>
      <c r="C30" s="160" t="str">
        <f>IF(Table1[[#This Row],[التاريخ ]]="","",TEXT(Table1[[#This Row],[التاريخ ]],"mmm"))</f>
        <v>Jan</v>
      </c>
      <c r="D30" s="161" t="s">
        <v>407</v>
      </c>
      <c r="G30" s="226">
        <v>20</v>
      </c>
      <c r="H30" s="227" t="str">
        <f>VLOOKUP(G:G,'قاعدة بيانات  '!K:L,2,0)</f>
        <v>عبد العزيز صلاح عبد العزيز على حسن</v>
      </c>
      <c r="I30" s="226" t="s">
        <v>107</v>
      </c>
      <c r="J30" s="226" t="s">
        <v>301</v>
      </c>
      <c r="K30" s="226" t="s">
        <v>116</v>
      </c>
      <c r="L30" s="164">
        <v>12</v>
      </c>
      <c r="M30" s="165"/>
      <c r="N30" s="165"/>
      <c r="Q30" s="166">
        <v>15</v>
      </c>
      <c r="R30" s="163">
        <f>R29+Table1[[#This Row],[الوارد ]]-Table1[[#This Row],[المنصرف ]]</f>
        <v>70218.633016485954</v>
      </c>
      <c r="S30" s="226"/>
      <c r="T30" s="226"/>
    </row>
    <row r="31" spans="1:20">
      <c r="A31" s="237">
        <v>45662</v>
      </c>
      <c r="B31" s="160" t="str">
        <f>TEXT(Table1[[#This Row],[التاريخ ]],"DDD")</f>
        <v>Sun</v>
      </c>
      <c r="C31" s="160" t="str">
        <f>IF(Table1[[#This Row],[التاريخ ]]="","",TEXT(Table1[[#This Row],[التاريخ ]],"mmm"))</f>
        <v>Jan</v>
      </c>
      <c r="D31" s="161" t="s">
        <v>407</v>
      </c>
      <c r="G31" s="226">
        <v>20</v>
      </c>
      <c r="H31" s="227" t="str">
        <f>VLOOKUP(G:G,'قاعدة بيانات  '!K:L,2,0)</f>
        <v>عبد العزيز صلاح عبد العزيز على حسن</v>
      </c>
      <c r="I31" s="226" t="s">
        <v>103</v>
      </c>
      <c r="J31" s="226" t="s">
        <v>112</v>
      </c>
      <c r="K31" s="226" t="s">
        <v>120</v>
      </c>
      <c r="L31" s="164">
        <v>12</v>
      </c>
      <c r="M31" s="165"/>
      <c r="N31" s="165"/>
      <c r="Q31" s="166">
        <f>15+10</f>
        <v>25</v>
      </c>
      <c r="R31" s="163">
        <f>R30+Table1[[#This Row],[الوارد ]]-Table1[[#This Row],[المنصرف ]]</f>
        <v>70193.633016485954</v>
      </c>
      <c r="S31" s="226"/>
      <c r="T31" s="226"/>
    </row>
    <row r="32" spans="1:20">
      <c r="A32" s="237">
        <v>45662</v>
      </c>
      <c r="B32" s="160" t="str">
        <f>TEXT(Table1[[#This Row],[التاريخ ]],"DDD")</f>
        <v>Sun</v>
      </c>
      <c r="C32" s="160" t="str">
        <f>IF(Table1[[#This Row],[التاريخ ]]="","",TEXT(Table1[[#This Row],[التاريخ ]],"mmm"))</f>
        <v>Jan</v>
      </c>
      <c r="D32" s="161" t="s">
        <v>407</v>
      </c>
      <c r="G32" s="226">
        <v>20</v>
      </c>
      <c r="H32" s="227" t="str">
        <f>VLOOKUP(G:G,'قاعدة بيانات  '!K:L,2,0)</f>
        <v>عبد العزيز صلاح عبد العزيز على حسن</v>
      </c>
      <c r="I32" s="226" t="s">
        <v>352</v>
      </c>
      <c r="J32" s="226" t="s">
        <v>1113</v>
      </c>
      <c r="K32" s="226" t="s">
        <v>116</v>
      </c>
      <c r="L32" s="164">
        <v>12</v>
      </c>
      <c r="M32" s="165"/>
      <c r="N32" s="165"/>
      <c r="Q32" s="166">
        <v>70</v>
      </c>
      <c r="R32" s="163">
        <f>R31+Table1[[#This Row],[الوارد ]]-Table1[[#This Row],[المنصرف ]]</f>
        <v>70123.633016485954</v>
      </c>
      <c r="S32" s="226"/>
      <c r="T32" s="226"/>
    </row>
    <row r="33" spans="1:20">
      <c r="A33" s="237">
        <v>45662</v>
      </c>
      <c r="B33" s="160" t="str">
        <f>TEXT(Table1[[#This Row],[التاريخ ]],"DDD")</f>
        <v>Sun</v>
      </c>
      <c r="C33" s="160" t="str">
        <f>IF(Table1[[#This Row],[التاريخ ]]="","",TEXT(Table1[[#This Row],[التاريخ ]],"mmm"))</f>
        <v>Jan</v>
      </c>
      <c r="D33" s="161" t="s">
        <v>407</v>
      </c>
      <c r="G33" s="226">
        <v>20</v>
      </c>
      <c r="H33" s="227" t="str">
        <f>VLOOKUP(G:G,'قاعدة بيانات  '!K:L,2,0)</f>
        <v>عبد العزيز صلاح عبد العزيز على حسن</v>
      </c>
      <c r="I33" s="226" t="s">
        <v>439</v>
      </c>
      <c r="J33" s="226" t="s">
        <v>112</v>
      </c>
      <c r="K33" s="226" t="s">
        <v>116</v>
      </c>
      <c r="L33" s="164">
        <v>12</v>
      </c>
      <c r="M33" s="165"/>
      <c r="N33" s="165"/>
      <c r="Q33" s="166">
        <v>41</v>
      </c>
      <c r="R33" s="163">
        <f>R32+Table1[[#This Row],[الوارد ]]-Table1[[#This Row],[المنصرف ]]</f>
        <v>70082.633016485954</v>
      </c>
      <c r="S33" s="226"/>
      <c r="T33" s="226"/>
    </row>
    <row r="34" spans="1:20">
      <c r="A34" s="237">
        <v>45662</v>
      </c>
      <c r="B34" s="160" t="str">
        <f>TEXT(Table1[[#This Row],[التاريخ ]],"DDD")</f>
        <v>Sun</v>
      </c>
      <c r="C34" s="160" t="str">
        <f>IF(Table1[[#This Row],[التاريخ ]]="","",TEXT(Table1[[#This Row],[التاريخ ]],"mmm"))</f>
        <v>Jan</v>
      </c>
      <c r="D34" s="161" t="s">
        <v>407</v>
      </c>
      <c r="G34" s="226">
        <v>20</v>
      </c>
      <c r="H34" s="227" t="str">
        <f>VLOOKUP(G:G,'قاعدة بيانات  '!K:L,2,0)</f>
        <v>عبد العزيز صلاح عبد العزيز على حسن</v>
      </c>
      <c r="I34" s="226" t="s">
        <v>103</v>
      </c>
      <c r="J34" s="226" t="s">
        <v>112</v>
      </c>
      <c r="K34" s="226" t="s">
        <v>120</v>
      </c>
      <c r="L34" s="164">
        <v>12</v>
      </c>
      <c r="M34" s="165"/>
      <c r="N34" s="165"/>
      <c r="O34" s="160" t="s">
        <v>316</v>
      </c>
      <c r="Q34" s="166">
        <v>6</v>
      </c>
      <c r="R34" s="163">
        <f>R33+Table1[[#This Row],[الوارد ]]-Table1[[#This Row],[المنصرف ]]</f>
        <v>70076.633016485954</v>
      </c>
      <c r="S34" s="226"/>
      <c r="T34" s="226"/>
    </row>
    <row r="35" spans="1:20">
      <c r="A35" s="237">
        <v>45663</v>
      </c>
      <c r="B35" s="160" t="str">
        <f>TEXT(Table1[[#This Row],[التاريخ ]],"DDD")</f>
        <v>Mon</v>
      </c>
      <c r="C35" s="160" t="str">
        <f>IF(Table1[[#This Row],[التاريخ ]]="","",TEXT(Table1[[#This Row],[التاريخ ]],"mmm"))</f>
        <v>Jan</v>
      </c>
      <c r="D35" s="161" t="s">
        <v>193</v>
      </c>
      <c r="G35" s="226">
        <v>151</v>
      </c>
      <c r="H35" s="227" t="str">
        <f>VLOOKUP(G:G,'قاعدة بيانات  '!K:L,2,0)</f>
        <v xml:space="preserve">احمد عبد الباسط عبد السلام محمد </v>
      </c>
      <c r="I35" s="226" t="s">
        <v>167</v>
      </c>
      <c r="J35" s="226" t="s">
        <v>301</v>
      </c>
      <c r="K35" s="226" t="s">
        <v>140</v>
      </c>
      <c r="L35" s="164">
        <v>13</v>
      </c>
      <c r="M35" s="165"/>
      <c r="N35" s="165"/>
      <c r="P35" s="163">
        <v>30000</v>
      </c>
      <c r="Q35" s="166"/>
      <c r="R35" s="163">
        <f>R34+Table1[[#This Row],[الوارد ]]-Table1[[#This Row],[المنصرف ]]</f>
        <v>100076.63301648595</v>
      </c>
      <c r="S35" s="226"/>
      <c r="T35" s="226"/>
    </row>
    <row r="36" spans="1:20">
      <c r="A36" s="237">
        <v>45663</v>
      </c>
      <c r="B36" s="160" t="str">
        <f>TEXT(Table1[[#This Row],[التاريخ ]],"DDD")</f>
        <v>Mon</v>
      </c>
      <c r="C36" s="160" t="str">
        <f>IF(Table1[[#This Row],[التاريخ ]]="","",TEXT(Table1[[#This Row],[التاريخ ]],"mmm"))</f>
        <v>Jan</v>
      </c>
      <c r="D36" s="161" t="s">
        <v>440</v>
      </c>
      <c r="G36" s="226">
        <v>151</v>
      </c>
      <c r="H36" s="227" t="str">
        <f>VLOOKUP(G:G,'قاعدة بيانات  '!K:L,2,0)</f>
        <v xml:space="preserve">احمد عبد الباسط عبد السلام محمد </v>
      </c>
      <c r="I36" s="226" t="s">
        <v>198</v>
      </c>
      <c r="J36" s="226" t="s">
        <v>301</v>
      </c>
      <c r="K36" s="226" t="s">
        <v>118</v>
      </c>
      <c r="L36" s="164">
        <v>14</v>
      </c>
      <c r="M36" s="165"/>
      <c r="N36" s="165"/>
      <c r="Q36" s="166">
        <v>6000</v>
      </c>
      <c r="R36" s="163">
        <f>R35+Table1[[#This Row],[الوارد ]]-Table1[[#This Row],[المنصرف ]]</f>
        <v>94076.633016485954</v>
      </c>
      <c r="S36" s="226"/>
      <c r="T36" s="226"/>
    </row>
    <row r="37" spans="1:20">
      <c r="A37" s="237">
        <v>45663</v>
      </c>
      <c r="B37" s="160" t="str">
        <f>TEXT(Table1[[#This Row],[التاريخ ]],"DDD")</f>
        <v>Mon</v>
      </c>
      <c r="C37" s="160" t="str">
        <f>IF(Table1[[#This Row],[التاريخ ]]="","",TEXT(Table1[[#This Row],[التاريخ ]],"mmm"))</f>
        <v>Jan</v>
      </c>
      <c r="D37" s="161" t="s">
        <v>441</v>
      </c>
      <c r="G37" s="226">
        <v>151</v>
      </c>
      <c r="H37" s="227" t="str">
        <f>VLOOKUP(G:G,'قاعدة بيانات  '!K:L,2,0)</f>
        <v xml:space="preserve">احمد عبد الباسط عبد السلام محمد </v>
      </c>
      <c r="I37" s="226" t="s">
        <v>198</v>
      </c>
      <c r="J37" s="226" t="s">
        <v>1114</v>
      </c>
      <c r="K37" s="226" t="s">
        <v>118</v>
      </c>
      <c r="L37" s="164">
        <v>15</v>
      </c>
      <c r="M37" s="165"/>
      <c r="N37" s="165"/>
      <c r="Q37" s="166">
        <v>11000</v>
      </c>
      <c r="R37" s="163">
        <f>R36+Table1[[#This Row],[الوارد ]]-Table1[[#This Row],[المنصرف ]]</f>
        <v>83076.633016485954</v>
      </c>
      <c r="S37" s="226"/>
      <c r="T37" s="226"/>
    </row>
    <row r="38" spans="1:20">
      <c r="A38" s="237">
        <v>45663</v>
      </c>
      <c r="B38" s="160" t="str">
        <f>TEXT(Table1[[#This Row],[التاريخ ]],"DDD")</f>
        <v>Mon</v>
      </c>
      <c r="C38" s="160" t="str">
        <f>IF(Table1[[#This Row],[التاريخ ]]="","",TEXT(Table1[[#This Row],[التاريخ ]],"mmm"))</f>
        <v>Jan</v>
      </c>
      <c r="D38" s="161" t="s">
        <v>442</v>
      </c>
      <c r="G38" s="226">
        <v>151</v>
      </c>
      <c r="H38" s="227" t="str">
        <f>VLOOKUP(G:G,'قاعدة بيانات  '!K:L,2,0)</f>
        <v xml:space="preserve">احمد عبد الباسط عبد السلام محمد </v>
      </c>
      <c r="I38" s="226" t="s">
        <v>198</v>
      </c>
      <c r="J38" s="226" t="s">
        <v>1114</v>
      </c>
      <c r="K38" s="226" t="s">
        <v>117</v>
      </c>
      <c r="L38" s="164">
        <v>15</v>
      </c>
      <c r="M38" s="165"/>
      <c r="N38" s="165"/>
      <c r="Q38" s="166">
        <v>1000</v>
      </c>
      <c r="R38" s="163">
        <f>R37+Table1[[#This Row],[الوارد ]]-Table1[[#This Row],[المنصرف ]]</f>
        <v>82076.633016485954</v>
      </c>
      <c r="S38" s="226"/>
      <c r="T38" s="226"/>
    </row>
    <row r="39" spans="1:20">
      <c r="A39" s="237">
        <v>45663</v>
      </c>
      <c r="B39" s="160" t="str">
        <f>TEXT(Table1[[#This Row],[التاريخ ]],"DDD")</f>
        <v>Mon</v>
      </c>
      <c r="C39" s="160" t="str">
        <f>IF(Table1[[#This Row],[التاريخ ]]="","",TEXT(Table1[[#This Row],[التاريخ ]],"mmm"))</f>
        <v>Jan</v>
      </c>
      <c r="D39" s="161" t="s">
        <v>443</v>
      </c>
      <c r="G39" s="226">
        <v>151</v>
      </c>
      <c r="H39" s="227" t="str">
        <f>VLOOKUP(G:G,'قاعدة بيانات  '!K:L,2,0)</f>
        <v xml:space="preserve">احمد عبد الباسط عبد السلام محمد </v>
      </c>
      <c r="I39" s="226" t="s">
        <v>198</v>
      </c>
      <c r="J39" s="226" t="s">
        <v>301</v>
      </c>
      <c r="K39" s="226" t="s">
        <v>117</v>
      </c>
      <c r="L39" s="164">
        <v>15</v>
      </c>
      <c r="M39" s="165"/>
      <c r="N39" s="165"/>
      <c r="Q39" s="166">
        <v>1000</v>
      </c>
      <c r="R39" s="163">
        <f>R38+Table1[[#This Row],[الوارد ]]-Table1[[#This Row],[المنصرف ]]</f>
        <v>81076.633016485954</v>
      </c>
      <c r="S39" s="226"/>
      <c r="T39" s="226"/>
    </row>
    <row r="40" spans="1:20">
      <c r="A40" s="237">
        <v>45663</v>
      </c>
      <c r="B40" s="160" t="str">
        <f>TEXT(Table1[[#This Row],[التاريخ ]],"DDD")</f>
        <v>Mon</v>
      </c>
      <c r="C40" s="160" t="str">
        <f>IF(Table1[[#This Row],[التاريخ ]]="","",TEXT(Table1[[#This Row],[التاريخ ]],"mmm"))</f>
        <v>Jan</v>
      </c>
      <c r="D40" s="161" t="s">
        <v>444</v>
      </c>
      <c r="G40" s="226">
        <v>151</v>
      </c>
      <c r="H40" s="227" t="str">
        <f>VLOOKUP(G:G,'قاعدة بيانات  '!K:L,2,0)</f>
        <v xml:space="preserve">احمد عبد الباسط عبد السلام محمد </v>
      </c>
      <c r="I40" s="226" t="s">
        <v>198</v>
      </c>
      <c r="J40" s="226" t="s">
        <v>301</v>
      </c>
      <c r="K40" s="226" t="s">
        <v>124</v>
      </c>
      <c r="L40" s="164">
        <v>15</v>
      </c>
      <c r="M40" s="165"/>
      <c r="N40" s="165"/>
      <c r="Q40" s="166">
        <v>200</v>
      </c>
      <c r="R40" s="163">
        <f>R39+Table1[[#This Row],[الوارد ]]-Table1[[#This Row],[المنصرف ]]</f>
        <v>80876.633016485954</v>
      </c>
      <c r="S40" s="226"/>
      <c r="T40" s="226"/>
    </row>
    <row r="41" spans="1:20">
      <c r="A41" s="237">
        <v>45663</v>
      </c>
      <c r="B41" s="160" t="str">
        <f>TEXT(Table1[[#This Row],[التاريخ ]],"DDD")</f>
        <v>Mon</v>
      </c>
      <c r="C41" s="160" t="str">
        <f>IF(Table1[[#This Row],[التاريخ ]]="","",TEXT(Table1[[#This Row],[التاريخ ]],"mmm"))</f>
        <v>Jan</v>
      </c>
      <c r="D41" s="161" t="s">
        <v>445</v>
      </c>
      <c r="G41" s="226">
        <v>151</v>
      </c>
      <c r="H41" s="227" t="str">
        <f>VLOOKUP(G:G,'قاعدة بيانات  '!K:L,2,0)</f>
        <v xml:space="preserve">احمد عبد الباسط عبد السلام محمد </v>
      </c>
      <c r="I41" s="226" t="s">
        <v>198</v>
      </c>
      <c r="J41" s="226" t="s">
        <v>301</v>
      </c>
      <c r="K41" s="226" t="s">
        <v>117</v>
      </c>
      <c r="L41" s="164">
        <v>15</v>
      </c>
      <c r="M41" s="165"/>
      <c r="N41" s="165"/>
      <c r="Q41" s="166">
        <v>25</v>
      </c>
      <c r="R41" s="163">
        <f>R40+Table1[[#This Row],[الوارد ]]-Table1[[#This Row],[المنصرف ]]</f>
        <v>80851.633016485954</v>
      </c>
      <c r="S41" s="226"/>
      <c r="T41" s="226"/>
    </row>
    <row r="42" spans="1:20">
      <c r="A42" s="237">
        <v>45663</v>
      </c>
      <c r="B42" s="160" t="str">
        <f>TEXT(Table1[[#This Row],[التاريخ ]],"DDD")</f>
        <v>Mon</v>
      </c>
      <c r="C42" s="160" t="str">
        <f>IF(Table1[[#This Row],[التاريخ ]]="","",TEXT(Table1[[#This Row],[التاريخ ]],"mmm"))</f>
        <v>Jan</v>
      </c>
      <c r="D42" s="161" t="s">
        <v>446</v>
      </c>
      <c r="E42" s="161" t="s">
        <v>878</v>
      </c>
      <c r="F42" s="162">
        <v>15065111212244</v>
      </c>
      <c r="G42" s="226">
        <v>151</v>
      </c>
      <c r="H42" s="227" t="str">
        <f>VLOOKUP(G:G,'قاعدة بيانات  '!K:L,2,0)</f>
        <v xml:space="preserve">احمد عبد الباسط عبد السلام محمد </v>
      </c>
      <c r="I42" s="226" t="s">
        <v>167</v>
      </c>
      <c r="J42" s="226" t="s">
        <v>301</v>
      </c>
      <c r="K42" s="226" t="s">
        <v>125</v>
      </c>
      <c r="L42" s="164">
        <v>16</v>
      </c>
      <c r="M42" s="165"/>
      <c r="N42" s="165"/>
      <c r="Q42" s="166">
        <v>4623.8</v>
      </c>
      <c r="R42" s="163">
        <f>R41+Table1[[#This Row],[الوارد ]]-Table1[[#This Row],[المنصرف ]]</f>
        <v>76227.833016485951</v>
      </c>
      <c r="S42" s="226"/>
      <c r="T42" s="226"/>
    </row>
    <row r="43" spans="1:20">
      <c r="A43" s="237">
        <v>45663</v>
      </c>
      <c r="B43" s="160" t="str">
        <f>TEXT(Table1[[#This Row],[التاريخ ]],"DDD")</f>
        <v>Mon</v>
      </c>
      <c r="C43" s="160" t="str">
        <f>IF(Table1[[#This Row],[التاريخ ]]="","",TEXT(Table1[[#This Row],[التاريخ ]],"mmm"))</f>
        <v>Jan</v>
      </c>
      <c r="D43" s="161" t="s">
        <v>879</v>
      </c>
      <c r="E43" s="161" t="s">
        <v>878</v>
      </c>
      <c r="F43" s="162">
        <v>15065111212244</v>
      </c>
      <c r="G43" s="226">
        <v>151</v>
      </c>
      <c r="H43" s="227" t="str">
        <f>VLOOKUP(G:G,'قاعدة بيانات  '!K:L,2,0)</f>
        <v xml:space="preserve">احمد عبد الباسط عبد السلام محمد </v>
      </c>
      <c r="I43" s="226" t="s">
        <v>167</v>
      </c>
      <c r="J43" s="226" t="s">
        <v>301</v>
      </c>
      <c r="K43" s="226" t="s">
        <v>120</v>
      </c>
      <c r="L43" s="164">
        <v>16</v>
      </c>
      <c r="M43" s="165"/>
      <c r="N43" s="165"/>
      <c r="Q43" s="166">
        <v>17</v>
      </c>
      <c r="R43" s="163">
        <f>R42+Table1[[#This Row],[الوارد ]]-Table1[[#This Row],[المنصرف ]]</f>
        <v>76210.833016485951</v>
      </c>
      <c r="S43" s="226"/>
      <c r="T43" s="226"/>
    </row>
    <row r="44" spans="1:20">
      <c r="A44" s="237">
        <v>45663</v>
      </c>
      <c r="B44" s="160" t="str">
        <f>TEXT(Table1[[#This Row],[التاريخ ]],"DDD")</f>
        <v>Mon</v>
      </c>
      <c r="C44" s="160" t="str">
        <f>IF(Table1[[#This Row],[التاريخ ]]="","",TEXT(Table1[[#This Row],[التاريخ ]],"mmm"))</f>
        <v>Jan</v>
      </c>
      <c r="D44" s="161" t="s">
        <v>193</v>
      </c>
      <c r="G44" s="226">
        <v>151</v>
      </c>
      <c r="H44" s="227" t="str">
        <f>VLOOKUP(G:G,'قاعدة بيانات  '!K:L,2,0)</f>
        <v xml:space="preserve">احمد عبد الباسط عبد السلام محمد </v>
      </c>
      <c r="I44" s="226" t="s">
        <v>167</v>
      </c>
      <c r="J44" s="226" t="s">
        <v>301</v>
      </c>
      <c r="K44" s="226" t="s">
        <v>140</v>
      </c>
      <c r="L44" s="164">
        <v>17</v>
      </c>
      <c r="M44" s="165"/>
      <c r="N44" s="165"/>
      <c r="P44" s="163">
        <v>30000</v>
      </c>
      <c r="Q44" s="166"/>
      <c r="R44" s="163">
        <f>R43+Table1[[#This Row],[الوارد ]]-Table1[[#This Row],[المنصرف ]]</f>
        <v>106210.83301648595</v>
      </c>
      <c r="S44" s="226"/>
      <c r="T44" s="226"/>
    </row>
    <row r="45" spans="1:20">
      <c r="A45" s="237">
        <v>45663</v>
      </c>
      <c r="B45" s="160" t="str">
        <f>TEXT(Table1[[#This Row],[التاريخ ]],"DDD")</f>
        <v>Mon</v>
      </c>
      <c r="C45" s="160" t="str">
        <f>IF(Table1[[#This Row],[التاريخ ]]="","",TEXT(Table1[[#This Row],[التاريخ ]],"mmm"))</f>
        <v>Jan</v>
      </c>
      <c r="D45" s="161" t="s">
        <v>195</v>
      </c>
      <c r="G45" s="226">
        <v>151</v>
      </c>
      <c r="H45" s="227" t="str">
        <f>VLOOKUP(G:G,'[9]قاعدة بيانات  '!K:L,2,0)</f>
        <v xml:space="preserve">احمد عبد الباسط عبد السلام محمد </v>
      </c>
      <c r="I45" s="226" t="s">
        <v>198</v>
      </c>
      <c r="J45" s="226" t="s">
        <v>301</v>
      </c>
      <c r="K45" s="226" t="s">
        <v>118</v>
      </c>
      <c r="L45" s="164">
        <v>18</v>
      </c>
      <c r="M45" s="165"/>
      <c r="N45" s="165"/>
      <c r="Q45" s="166">
        <v>8000</v>
      </c>
      <c r="R45" s="163">
        <f>R44+Table1[[#This Row],[الوارد ]]-Table1[[#This Row],[المنصرف ]]</f>
        <v>98210.833016485951</v>
      </c>
      <c r="S45" s="226"/>
      <c r="T45" s="226"/>
    </row>
    <row r="46" spans="1:20">
      <c r="A46" s="237">
        <v>45664</v>
      </c>
      <c r="B46" s="160" t="str">
        <f>TEXT(Table1[[#This Row],[التاريخ ]],"DDD")</f>
        <v>Tue</v>
      </c>
      <c r="C46" s="160" t="str">
        <f>IF(Table1[[#This Row],[التاريخ ]]="","",TEXT(Table1[[#This Row],[التاريخ ]],"mmm"))</f>
        <v>Jan</v>
      </c>
      <c r="D46" s="161" t="s">
        <v>193</v>
      </c>
      <c r="G46" s="226">
        <v>151</v>
      </c>
      <c r="H46" s="227" t="str">
        <f>VLOOKUP(G:G,'قاعدة بيانات  '!K:L,2,0)</f>
        <v xml:space="preserve">احمد عبد الباسط عبد السلام محمد </v>
      </c>
      <c r="I46" s="226" t="s">
        <v>167</v>
      </c>
      <c r="J46" s="226" t="s">
        <v>301</v>
      </c>
      <c r="K46" s="226" t="s">
        <v>140</v>
      </c>
      <c r="L46" s="164">
        <v>19</v>
      </c>
      <c r="M46" s="165"/>
      <c r="N46" s="165"/>
      <c r="P46" s="163">
        <v>40000</v>
      </c>
      <c r="Q46" s="166"/>
      <c r="R46" s="163">
        <f>R45+Table1[[#This Row],[الوارد ]]-Table1[[#This Row],[المنصرف ]]</f>
        <v>138210.83301648597</v>
      </c>
      <c r="S46" s="226"/>
      <c r="T46" s="226"/>
    </row>
    <row r="47" spans="1:20">
      <c r="A47" s="237">
        <v>45665</v>
      </c>
      <c r="B47" s="160" t="str">
        <f>TEXT(Table1[[#This Row],[التاريخ ]],"DDD")</f>
        <v>Wed</v>
      </c>
      <c r="C47" s="160" t="str">
        <f>IF(Table1[[#This Row],[التاريخ ]]="","",TEXT(Table1[[#This Row],[التاريخ ]],"mmm"))</f>
        <v>Jan</v>
      </c>
      <c r="D47" s="161" t="s">
        <v>447</v>
      </c>
      <c r="G47" s="226">
        <v>10</v>
      </c>
      <c r="H47" s="227" t="str">
        <f>VLOOKUP(G:G,'قاعدة بيانات  '!K:L,2,0)</f>
        <v>عبد المنعم مجدى عبدربه محمد هلهل</v>
      </c>
      <c r="I47" s="226" t="s">
        <v>167</v>
      </c>
      <c r="J47" s="226" t="s">
        <v>301</v>
      </c>
      <c r="K47" s="226" t="s">
        <v>403</v>
      </c>
      <c r="L47" s="164">
        <v>20</v>
      </c>
      <c r="M47" s="165"/>
      <c r="N47" s="165"/>
      <c r="Q47" s="166">
        <v>40000</v>
      </c>
      <c r="R47" s="163">
        <f>R46+Table1[[#This Row],[الوارد ]]-Table1[[#This Row],[المنصرف ]]</f>
        <v>98210.833016485965</v>
      </c>
      <c r="S47" s="226"/>
      <c r="T47" s="226"/>
    </row>
    <row r="48" spans="1:20">
      <c r="A48" s="237">
        <v>45665</v>
      </c>
      <c r="B48" s="160" t="str">
        <f>TEXT(Table1[[#This Row],[التاريخ ]],"DDD")</f>
        <v>Wed</v>
      </c>
      <c r="C48" s="160" t="str">
        <f>IF(Table1[[#This Row],[التاريخ ]]="","",TEXT(Table1[[#This Row],[التاريخ ]],"mmm"))</f>
        <v>Jan</v>
      </c>
      <c r="D48" s="161" t="s">
        <v>454</v>
      </c>
      <c r="G48" s="226">
        <v>278</v>
      </c>
      <c r="H48" s="227" t="str">
        <f>VLOOKUP(G:G,'قاعدة بيانات  '!K:L,2,0)</f>
        <v>هشام فتح الله عبدربه فرج</v>
      </c>
      <c r="I48" s="226" t="s">
        <v>352</v>
      </c>
      <c r="J48" s="226" t="s">
        <v>1113</v>
      </c>
      <c r="K48" s="226" t="s">
        <v>131</v>
      </c>
      <c r="L48" s="164">
        <v>21</v>
      </c>
      <c r="M48" s="165"/>
      <c r="N48" s="165"/>
      <c r="Q48" s="166">
        <v>100</v>
      </c>
      <c r="R48" s="163">
        <f>R47+Table1[[#This Row],[الوارد ]]-Table1[[#This Row],[المنصرف ]]</f>
        <v>98110.833016485965</v>
      </c>
      <c r="S48" s="226"/>
      <c r="T48" s="226"/>
    </row>
    <row r="49" spans="1:20">
      <c r="A49" s="237">
        <v>45665</v>
      </c>
      <c r="B49" s="160" t="str">
        <f>TEXT(Table1[[#This Row],[التاريخ ]],"DDD")</f>
        <v>Wed</v>
      </c>
      <c r="C49" s="160" t="str">
        <f>IF(Table1[[#This Row],[التاريخ ]]="","",TEXT(Table1[[#This Row],[التاريخ ]],"mmm"))</f>
        <v>Jan</v>
      </c>
      <c r="D49" s="161" t="s">
        <v>193</v>
      </c>
      <c r="G49" s="226">
        <v>151</v>
      </c>
      <c r="H49" s="227" t="str">
        <f>VLOOKUP(G:G,'قاعدة بيانات  '!K:L,2,0)</f>
        <v xml:space="preserve">احمد عبد الباسط عبد السلام محمد </v>
      </c>
      <c r="I49" s="226" t="s">
        <v>167</v>
      </c>
      <c r="J49" s="226" t="s">
        <v>301</v>
      </c>
      <c r="K49" s="226" t="s">
        <v>140</v>
      </c>
      <c r="L49" s="164">
        <v>22</v>
      </c>
      <c r="M49" s="165"/>
      <c r="N49" s="165"/>
      <c r="P49" s="163">
        <v>60000</v>
      </c>
      <c r="Q49" s="166"/>
      <c r="R49" s="163">
        <f>R48+Table1[[#This Row],[الوارد ]]-Table1[[#This Row],[المنصرف ]]</f>
        <v>158110.83301648597</v>
      </c>
      <c r="S49" s="226"/>
      <c r="T49" s="226"/>
    </row>
    <row r="50" spans="1:20">
      <c r="A50" s="237">
        <v>45666</v>
      </c>
      <c r="B50" s="160" t="str">
        <f>TEXT(Table1[[#This Row],[التاريخ ]],"DDD")</f>
        <v>Thu</v>
      </c>
      <c r="C50" s="160" t="str">
        <f>IF(Table1[[#This Row],[التاريخ ]]="","",TEXT(Table1[[#This Row],[التاريخ ]],"mmm"))</f>
        <v>Jan</v>
      </c>
      <c r="D50" s="161" t="s">
        <v>605</v>
      </c>
      <c r="G50" s="226">
        <v>4</v>
      </c>
      <c r="H50" s="227" t="str">
        <f>VLOOKUP(G:G,'قاعدة بيانات  '!K:L,2,0)</f>
        <v>وليد عبد الكريم عبد العليم</v>
      </c>
      <c r="I50" s="226" t="s">
        <v>167</v>
      </c>
      <c r="J50" s="226" t="s">
        <v>301</v>
      </c>
      <c r="K50" s="226" t="s">
        <v>128</v>
      </c>
      <c r="L50" s="164">
        <v>23</v>
      </c>
      <c r="M50" s="165"/>
      <c r="N50" s="165"/>
      <c r="Q50" s="166">
        <v>2605</v>
      </c>
      <c r="R50" s="163">
        <f>R49+Table1[[#This Row],[الوارد ]]-Table1[[#This Row],[المنصرف ]]</f>
        <v>155505.83301648597</v>
      </c>
      <c r="S50" s="226"/>
      <c r="T50" s="226"/>
    </row>
    <row r="51" spans="1:20">
      <c r="A51" s="237">
        <v>45666</v>
      </c>
      <c r="B51" s="160" t="str">
        <f>TEXT(Table1[[#This Row],[التاريخ ]],"DDD")</f>
        <v>Thu</v>
      </c>
      <c r="C51" s="160" t="str">
        <f>IF(Table1[[#This Row],[التاريخ ]]="","",TEXT(Table1[[#This Row],[التاريخ ]],"mmm"))</f>
        <v>Jan</v>
      </c>
      <c r="D51" s="161" t="s">
        <v>437</v>
      </c>
      <c r="H51" s="227" t="s">
        <v>438</v>
      </c>
      <c r="I51" s="226" t="s">
        <v>425</v>
      </c>
      <c r="J51" s="226" t="s">
        <v>112</v>
      </c>
      <c r="K51" s="226" t="s">
        <v>116</v>
      </c>
      <c r="L51" s="164">
        <v>24</v>
      </c>
      <c r="M51" s="165"/>
      <c r="N51" s="165"/>
      <c r="Q51" s="166">
        <v>72</v>
      </c>
      <c r="R51" s="163">
        <f>R50+Table1[[#This Row],[الوارد ]]-Table1[[#This Row],[المنصرف ]]</f>
        <v>155433.83301648597</v>
      </c>
      <c r="S51" s="226"/>
      <c r="T51" s="226"/>
    </row>
    <row r="52" spans="1:20">
      <c r="A52" s="237">
        <v>45666</v>
      </c>
      <c r="B52" s="160" t="str">
        <f>TEXT(Table1[[#This Row],[التاريخ ]],"DDD")</f>
        <v>Thu</v>
      </c>
      <c r="C52" s="160" t="str">
        <f>IF(Table1[[#This Row],[التاريخ ]]="","",TEXT(Table1[[#This Row],[التاريخ ]],"mmm"))</f>
        <v>Jan</v>
      </c>
      <c r="D52" s="161" t="s">
        <v>407</v>
      </c>
      <c r="G52" s="226">
        <v>20</v>
      </c>
      <c r="H52" s="227" t="str">
        <f>VLOOKUP(G:G,'قاعدة بيانات  '!K:L,2,0)</f>
        <v>عبد العزيز صلاح عبد العزيز على حسن</v>
      </c>
      <c r="I52" s="226" t="s">
        <v>103</v>
      </c>
      <c r="J52" s="226" t="s">
        <v>112</v>
      </c>
      <c r="K52" s="226" t="s">
        <v>116</v>
      </c>
      <c r="L52" s="164">
        <v>25</v>
      </c>
      <c r="M52" s="165"/>
      <c r="N52" s="165"/>
      <c r="Q52" s="166">
        <v>38</v>
      </c>
      <c r="R52" s="163">
        <f>R51+Table1[[#This Row],[الوارد ]]-Table1[[#This Row],[المنصرف ]]</f>
        <v>155395.83301648597</v>
      </c>
      <c r="S52" s="226"/>
      <c r="T52" s="226"/>
    </row>
    <row r="53" spans="1:20">
      <c r="A53" s="237">
        <v>45666</v>
      </c>
      <c r="B53" s="160" t="str">
        <f>TEXT(Table1[[#This Row],[التاريخ ]],"DDD")</f>
        <v>Thu</v>
      </c>
      <c r="C53" s="160" t="str">
        <f>IF(Table1[[#This Row],[التاريخ ]]="","",TEXT(Table1[[#This Row],[التاريخ ]],"mmm"))</f>
        <v>Jan</v>
      </c>
      <c r="D53" s="161" t="s">
        <v>407</v>
      </c>
      <c r="G53" s="226">
        <v>20</v>
      </c>
      <c r="H53" s="227" t="str">
        <f>VLOOKUP(G:G,'قاعدة بيانات  '!K:L,2,0)</f>
        <v>عبد العزيز صلاح عبد العزيز على حسن</v>
      </c>
      <c r="I53" s="226" t="s">
        <v>103</v>
      </c>
      <c r="J53" s="226" t="s">
        <v>112</v>
      </c>
      <c r="K53" s="226" t="s">
        <v>120</v>
      </c>
      <c r="L53" s="164">
        <v>25</v>
      </c>
      <c r="M53" s="165"/>
      <c r="N53" s="165"/>
      <c r="Q53" s="166">
        <v>85</v>
      </c>
      <c r="R53" s="163">
        <f>R52+Table1[[#This Row],[الوارد ]]-Table1[[#This Row],[المنصرف ]]</f>
        <v>155310.83301648597</v>
      </c>
      <c r="S53" s="226"/>
      <c r="T53" s="226"/>
    </row>
    <row r="54" spans="1:20">
      <c r="A54" s="237">
        <v>45666</v>
      </c>
      <c r="B54" s="160" t="str">
        <f>TEXT(Table1[[#This Row],[التاريخ ]],"DDD")</f>
        <v>Thu</v>
      </c>
      <c r="C54" s="160" t="str">
        <f>IF(Table1[[#This Row],[التاريخ ]]="","",TEXT(Table1[[#This Row],[التاريخ ]],"mmm"))</f>
        <v>Jan</v>
      </c>
      <c r="D54" s="161" t="s">
        <v>606</v>
      </c>
      <c r="G54" s="226">
        <v>492</v>
      </c>
      <c r="H54" s="227" t="str">
        <f>VLOOKUP(G:G,'قاعدة بيانات  '!K:L,2,0)</f>
        <v>اسامه محمد احمد عبد الحميد</v>
      </c>
      <c r="I54" s="226" t="s">
        <v>106</v>
      </c>
      <c r="J54" s="226" t="s">
        <v>1114</v>
      </c>
      <c r="K54" s="226" t="s">
        <v>116</v>
      </c>
      <c r="L54" s="164">
        <v>26</v>
      </c>
      <c r="M54" s="165"/>
      <c r="N54" s="165"/>
      <c r="Q54" s="166">
        <f>728+146</f>
        <v>874</v>
      </c>
      <c r="R54" s="163">
        <f>R53+Table1[[#This Row],[الوارد ]]-Table1[[#This Row],[المنصرف ]]</f>
        <v>154436.83301648597</v>
      </c>
      <c r="S54" s="226"/>
      <c r="T54" s="226"/>
    </row>
    <row r="55" spans="1:20">
      <c r="A55" s="237">
        <v>45666</v>
      </c>
      <c r="B55" s="160" t="str">
        <f>TEXT(Table1[[#This Row],[التاريخ ]],"DDD")</f>
        <v>Thu</v>
      </c>
      <c r="C55" s="160" t="str">
        <f>IF(Table1[[#This Row],[التاريخ ]]="","",TEXT(Table1[[#This Row],[التاريخ ]],"mmm"))</f>
        <v>Jan</v>
      </c>
      <c r="D55" s="161" t="s">
        <v>606</v>
      </c>
      <c r="G55" s="226">
        <v>492</v>
      </c>
      <c r="H55" s="227" t="str">
        <f>VLOOKUP(G:G,'قاعدة بيانات  '!K:L,2,0)</f>
        <v>اسامه محمد احمد عبد الحميد</v>
      </c>
      <c r="I55" s="226" t="s">
        <v>425</v>
      </c>
      <c r="J55" s="226" t="s">
        <v>112</v>
      </c>
      <c r="K55" s="226" t="s">
        <v>116</v>
      </c>
      <c r="L55" s="164">
        <v>26</v>
      </c>
      <c r="M55" s="165"/>
      <c r="N55" s="165"/>
      <c r="Q55" s="166">
        <v>146</v>
      </c>
      <c r="R55" s="163">
        <f>R54+Table1[[#This Row],[الوارد ]]-Table1[[#This Row],[المنصرف ]]</f>
        <v>154290.83301648597</v>
      </c>
      <c r="S55" s="226"/>
      <c r="T55" s="226"/>
    </row>
    <row r="56" spans="1:20">
      <c r="A56" s="237">
        <v>45666</v>
      </c>
      <c r="B56" s="160" t="str">
        <f>TEXT(Table1[[#This Row],[التاريخ ]],"DDD")</f>
        <v>Thu</v>
      </c>
      <c r="C56" s="160" t="str">
        <f>IF(Table1[[#This Row],[التاريخ ]]="","",TEXT(Table1[[#This Row],[التاريخ ]],"mmm"))</f>
        <v>Jan</v>
      </c>
      <c r="D56" s="161" t="s">
        <v>606</v>
      </c>
      <c r="G56" s="226">
        <v>492</v>
      </c>
      <c r="H56" s="227" t="str">
        <f>VLOOKUP(G:G,'قاعدة بيانات  '!K:L,2,0)</f>
        <v>اسامه محمد احمد عبد الحميد</v>
      </c>
      <c r="I56" s="226" t="s">
        <v>100</v>
      </c>
      <c r="J56" s="226" t="s">
        <v>1114</v>
      </c>
      <c r="K56" s="226" t="s">
        <v>116</v>
      </c>
      <c r="L56" s="164">
        <v>26</v>
      </c>
      <c r="M56" s="165"/>
      <c r="N56" s="165"/>
      <c r="Q56" s="166">
        <f>15+8+20+10+10+20+161.5</f>
        <v>244.5</v>
      </c>
      <c r="R56" s="163">
        <f>R55+Table1[[#This Row],[الوارد ]]-Table1[[#This Row],[المنصرف ]]</f>
        <v>154046.33301648597</v>
      </c>
      <c r="S56" s="226"/>
      <c r="T56" s="226"/>
    </row>
    <row r="57" spans="1:20">
      <c r="A57" s="237">
        <v>45666</v>
      </c>
      <c r="B57" s="160" t="str">
        <f>TEXT(Table1[[#This Row],[التاريخ ]],"DDD")</f>
        <v>Thu</v>
      </c>
      <c r="C57" s="160" t="str">
        <f>IF(Table1[[#This Row],[التاريخ ]]="","",TEXT(Table1[[#This Row],[التاريخ ]],"mmm"))</f>
        <v>Jan</v>
      </c>
      <c r="D57" s="161" t="s">
        <v>193</v>
      </c>
      <c r="G57" s="226">
        <v>151</v>
      </c>
      <c r="H57" s="227" t="str">
        <f>VLOOKUP(G:G,'قاعدة بيانات  '!K:L,2,0)</f>
        <v xml:space="preserve">احمد عبد الباسط عبد السلام محمد </v>
      </c>
      <c r="I57" s="226" t="s">
        <v>167</v>
      </c>
      <c r="J57" s="226" t="s">
        <v>301</v>
      </c>
      <c r="K57" s="226" t="s">
        <v>140</v>
      </c>
      <c r="L57" s="164">
        <v>27</v>
      </c>
      <c r="M57" s="165"/>
      <c r="N57" s="165"/>
      <c r="P57" s="163">
        <v>50000</v>
      </c>
      <c r="Q57" s="166"/>
      <c r="R57" s="163">
        <f>R56+Table1[[#This Row],[الوارد ]]-Table1[[#This Row],[المنصرف ]]</f>
        <v>204046.33301648597</v>
      </c>
      <c r="S57" s="226"/>
      <c r="T57" s="226"/>
    </row>
    <row r="58" spans="1:20">
      <c r="A58" s="237">
        <v>45668</v>
      </c>
      <c r="B58" s="160" t="str">
        <f>TEXT(Table1[[#This Row],[التاريخ ]],"DDD")</f>
        <v>Sat</v>
      </c>
      <c r="C58" s="160" t="str">
        <f>IF(Table1[[#This Row],[التاريخ ]]="","",TEXT(Table1[[#This Row],[التاريخ ]],"mmm"))</f>
        <v>Jan</v>
      </c>
      <c r="D58" s="161" t="s">
        <v>193</v>
      </c>
      <c r="G58" s="226">
        <v>151</v>
      </c>
      <c r="H58" s="227" t="str">
        <f>VLOOKUP(G:G,'قاعدة بيانات  '!K:L,2,0)</f>
        <v xml:space="preserve">احمد عبد الباسط عبد السلام محمد </v>
      </c>
      <c r="I58" s="226" t="s">
        <v>198</v>
      </c>
      <c r="J58" s="226" t="s">
        <v>301</v>
      </c>
      <c r="K58" s="226" t="s">
        <v>140</v>
      </c>
      <c r="L58" s="164">
        <v>28</v>
      </c>
      <c r="M58" s="165"/>
      <c r="N58" s="165"/>
      <c r="P58" s="163">
        <v>30000</v>
      </c>
      <c r="Q58" s="166"/>
      <c r="R58" s="163">
        <f>R57+Table1[[#This Row],[الوارد ]]-Table1[[#This Row],[المنصرف ]]</f>
        <v>234046.33301648597</v>
      </c>
      <c r="S58" s="226"/>
      <c r="T58" s="226"/>
    </row>
    <row r="59" spans="1:20">
      <c r="A59" s="237">
        <v>45668</v>
      </c>
      <c r="B59" s="160" t="str">
        <f>TEXT(Table1[[#This Row],[التاريخ ]],"DDD")</f>
        <v>Sat</v>
      </c>
      <c r="C59" s="160" t="str">
        <f>IF(Table1[[#This Row],[التاريخ ]]="","",TEXT(Table1[[#This Row],[التاريخ ]],"mmm"))</f>
        <v>Jan</v>
      </c>
      <c r="D59" s="161" t="s">
        <v>607</v>
      </c>
      <c r="G59" s="226">
        <v>365</v>
      </c>
      <c r="H59" s="227" t="str">
        <f>VLOOKUP(G:G,'قاعدة بيانات  '!K:L,2,0)</f>
        <v>محمد رضا سعد حسن الشرقاوى</v>
      </c>
      <c r="I59" s="226" t="s">
        <v>198</v>
      </c>
      <c r="J59" s="226" t="s">
        <v>1113</v>
      </c>
      <c r="K59" s="226" t="s">
        <v>117</v>
      </c>
      <c r="L59" s="164">
        <v>29</v>
      </c>
      <c r="M59" s="165"/>
      <c r="N59" s="165"/>
      <c r="Q59" s="166">
        <v>50</v>
      </c>
      <c r="R59" s="163">
        <f>R58+Table1[[#This Row],[الوارد ]]-Table1[[#This Row],[المنصرف ]]</f>
        <v>233996.33301648597</v>
      </c>
      <c r="S59" s="226"/>
      <c r="T59" s="226"/>
    </row>
    <row r="60" spans="1:20">
      <c r="A60" s="237">
        <v>45668</v>
      </c>
      <c r="B60" s="160" t="str">
        <f>TEXT(Table1[[#This Row],[التاريخ ]],"DDD")</f>
        <v>Sat</v>
      </c>
      <c r="C60" s="160" t="str">
        <f>IF(Table1[[#This Row],[التاريخ ]]="","",TEXT(Table1[[#This Row],[التاريخ ]],"mmm"))</f>
        <v>Jan</v>
      </c>
      <c r="D60" s="161" t="s">
        <v>608</v>
      </c>
      <c r="G60" s="226">
        <v>365</v>
      </c>
      <c r="H60" s="227" t="str">
        <f>VLOOKUP(G:G,'قاعدة بيانات  '!K:L,2,0)</f>
        <v>محمد رضا سعد حسن الشرقاوى</v>
      </c>
      <c r="I60" s="226" t="s">
        <v>359</v>
      </c>
      <c r="J60" s="226" t="s">
        <v>112</v>
      </c>
      <c r="K60" s="226" t="s">
        <v>116</v>
      </c>
      <c r="L60" s="164">
        <v>29</v>
      </c>
      <c r="M60" s="165"/>
      <c r="N60" s="165"/>
      <c r="Q60" s="166">
        <v>20</v>
      </c>
      <c r="R60" s="163">
        <f>R59+Table1[[#This Row],[الوارد ]]-Table1[[#This Row],[المنصرف ]]</f>
        <v>233976.33301648597</v>
      </c>
      <c r="S60" s="226"/>
      <c r="T60" s="226"/>
    </row>
    <row r="61" spans="1:20">
      <c r="A61" s="237">
        <v>45668</v>
      </c>
      <c r="B61" s="160" t="str">
        <f>TEXT(Table1[[#This Row],[التاريخ ]],"DDD")</f>
        <v>Sat</v>
      </c>
      <c r="C61" s="160" t="str">
        <f>IF(Table1[[#This Row],[التاريخ ]]="","",TEXT(Table1[[#This Row],[التاريخ ]],"mmm"))</f>
        <v>Jan</v>
      </c>
      <c r="D61" s="161" t="s">
        <v>609</v>
      </c>
      <c r="G61" s="226">
        <v>548</v>
      </c>
      <c r="H61" s="227" t="str">
        <f>VLOOKUP(G:G,'قاعدة بيانات  '!K:L,2,0)</f>
        <v>احمد حسين رمضان محمد ربيع</v>
      </c>
      <c r="I61" s="226" t="s">
        <v>107</v>
      </c>
      <c r="J61" s="226" t="s">
        <v>1114</v>
      </c>
      <c r="K61" s="226" t="s">
        <v>116</v>
      </c>
      <c r="L61" s="164">
        <v>30</v>
      </c>
      <c r="M61" s="165"/>
      <c r="N61" s="165"/>
      <c r="Q61" s="166">
        <v>60</v>
      </c>
      <c r="R61" s="163">
        <f>R60+Table1[[#This Row],[الوارد ]]-Table1[[#This Row],[المنصرف ]]</f>
        <v>233916.33301648597</v>
      </c>
      <c r="S61" s="226"/>
      <c r="T61" s="226"/>
    </row>
    <row r="62" spans="1:20">
      <c r="A62" s="237">
        <v>45668</v>
      </c>
      <c r="B62" s="160" t="str">
        <f>TEXT(Table1[[#This Row],[التاريخ ]],"DDD")</f>
        <v>Sat</v>
      </c>
      <c r="C62" s="160" t="str">
        <f>IF(Table1[[#This Row],[التاريخ ]]="","",TEXT(Table1[[#This Row],[التاريخ ]],"mmm"))</f>
        <v>Jan</v>
      </c>
      <c r="D62" s="161" t="s">
        <v>610</v>
      </c>
      <c r="G62" s="226">
        <v>119</v>
      </c>
      <c r="H62" s="227" t="str">
        <f>VLOOKUP(G:G,'قاعدة بيانات  '!K:L,2,0)</f>
        <v>مصطفى جميل عبد الفتاح محمد شاهين</v>
      </c>
      <c r="I62" s="226" t="s">
        <v>107</v>
      </c>
      <c r="J62" s="226" t="s">
        <v>1114</v>
      </c>
      <c r="K62" s="226" t="s">
        <v>116</v>
      </c>
      <c r="L62" s="164">
        <v>31</v>
      </c>
      <c r="M62" s="165"/>
      <c r="N62" s="165"/>
      <c r="Q62" s="166">
        <v>80</v>
      </c>
      <c r="R62" s="163">
        <f>R61+Table1[[#This Row],[الوارد ]]-Table1[[#This Row],[المنصرف ]]</f>
        <v>233836.33301648597</v>
      </c>
      <c r="S62" s="226"/>
      <c r="T62" s="226"/>
    </row>
    <row r="63" spans="1:20">
      <c r="A63" s="237">
        <v>45668</v>
      </c>
      <c r="B63" s="160" t="str">
        <f>TEXT(Table1[[#This Row],[التاريخ ]],"DDD")</f>
        <v>Sat</v>
      </c>
      <c r="C63" s="160" t="str">
        <f>IF(Table1[[#This Row],[التاريخ ]]="","",TEXT(Table1[[#This Row],[التاريخ ]],"mmm"))</f>
        <v>Jan</v>
      </c>
      <c r="D63" s="161" t="s">
        <v>611</v>
      </c>
      <c r="G63" s="226">
        <v>151</v>
      </c>
      <c r="H63" s="227" t="str">
        <f>VLOOKUP(G:G,'قاعدة بيانات  '!K:L,2,0)</f>
        <v xml:space="preserve">احمد عبد الباسط عبد السلام محمد </v>
      </c>
      <c r="I63" s="226" t="s">
        <v>198</v>
      </c>
      <c r="J63" s="226" t="s">
        <v>1114</v>
      </c>
      <c r="K63" s="226" t="s">
        <v>314</v>
      </c>
      <c r="L63" s="164">
        <v>32</v>
      </c>
      <c r="M63" s="165"/>
      <c r="N63" s="165"/>
      <c r="Q63" s="166">
        <v>200</v>
      </c>
      <c r="R63" s="163">
        <f>R62+Table1[[#This Row],[الوارد ]]-Table1[[#This Row],[المنصرف ]]</f>
        <v>233636.33301648597</v>
      </c>
      <c r="S63" s="226"/>
      <c r="T63" s="226"/>
    </row>
    <row r="64" spans="1:20" s="244" customFormat="1">
      <c r="A64" s="243">
        <v>45668</v>
      </c>
      <c r="B64" s="244" t="str">
        <f>TEXT(Table1[[#This Row],[التاريخ ]],"DDD")</f>
        <v>Sat</v>
      </c>
      <c r="C64" s="244" t="str">
        <f>IF(Table1[[#This Row],[التاريخ ]]="","",TEXT(Table1[[#This Row],[التاريخ ]],"mmm"))</f>
        <v>Jan</v>
      </c>
      <c r="D64" s="245" t="s">
        <v>618</v>
      </c>
      <c r="E64" s="245"/>
      <c r="F64" s="246"/>
      <c r="G64" s="248">
        <v>151</v>
      </c>
      <c r="H64" s="247" t="str">
        <f>VLOOKUP(G:G,'قاعدة بيانات  '!K:L,2,0)</f>
        <v xml:space="preserve">احمد عبد الباسط عبد السلام محمد </v>
      </c>
      <c r="I64" s="248" t="s">
        <v>198</v>
      </c>
      <c r="J64" s="248" t="s">
        <v>301</v>
      </c>
      <c r="K64" s="248" t="s">
        <v>133</v>
      </c>
      <c r="L64" s="249">
        <v>33</v>
      </c>
      <c r="M64" s="250"/>
      <c r="N64" s="250"/>
      <c r="P64" s="251"/>
      <c r="Q64" s="252">
        <v>75026</v>
      </c>
      <c r="R64" s="163">
        <f>R63+Table1[[#This Row],[الوارد ]]-Table1[[#This Row],[المنصرف ]]</f>
        <v>158610.33301648597</v>
      </c>
      <c r="S64" s="248"/>
      <c r="T64" s="248"/>
    </row>
    <row r="65" spans="1:20">
      <c r="A65" s="237">
        <v>45669</v>
      </c>
      <c r="B65" s="160" t="str">
        <f>TEXT(Table1[[#This Row],[التاريخ ]],"DDD")</f>
        <v>Sun</v>
      </c>
      <c r="C65" s="160" t="str">
        <f>IF(Table1[[#This Row],[التاريخ ]]="","",TEXT(Table1[[#This Row],[التاريخ ]],"mmm"))</f>
        <v>Jan</v>
      </c>
      <c r="D65" s="161" t="s">
        <v>619</v>
      </c>
      <c r="G65" s="226">
        <v>365</v>
      </c>
      <c r="H65" s="227" t="str">
        <f>VLOOKUP(G:G,'قاعدة بيانات  '!K:L,2,0)</f>
        <v>محمد رضا سعد حسن الشرقاوى</v>
      </c>
      <c r="I65" s="226" t="s">
        <v>198</v>
      </c>
      <c r="J65" s="226" t="s">
        <v>1114</v>
      </c>
      <c r="K65" s="226" t="s">
        <v>123</v>
      </c>
      <c r="L65" s="164">
        <v>34</v>
      </c>
      <c r="M65" s="165"/>
      <c r="N65" s="165"/>
      <c r="Q65" s="166">
        <v>36</v>
      </c>
      <c r="R65" s="163">
        <f>R64+Table1[[#This Row],[الوارد ]]-Table1[[#This Row],[المنصرف ]]</f>
        <v>158574.33301648597</v>
      </c>
      <c r="S65" s="226"/>
      <c r="T65" s="226"/>
    </row>
    <row r="66" spans="1:20">
      <c r="A66" s="237">
        <v>45669</v>
      </c>
      <c r="B66" s="160" t="str">
        <f>TEXT(Table1[[#This Row],[التاريخ ]],"DDD")</f>
        <v>Sun</v>
      </c>
      <c r="C66" s="160" t="str">
        <f>IF(Table1[[#This Row],[التاريخ ]]="","",TEXT(Table1[[#This Row],[التاريخ ]],"mmm"))</f>
        <v>Jan</v>
      </c>
      <c r="D66" s="161" t="s">
        <v>620</v>
      </c>
      <c r="G66" s="226">
        <v>151</v>
      </c>
      <c r="H66" s="227" t="str">
        <f>VLOOKUP(G:G,'قاعدة بيانات  '!K:L,2,0)</f>
        <v xml:space="preserve">احمد عبد الباسط عبد السلام محمد </v>
      </c>
      <c r="I66" s="226" t="s">
        <v>107</v>
      </c>
      <c r="J66" s="226" t="s">
        <v>301</v>
      </c>
      <c r="K66" s="226" t="s">
        <v>120</v>
      </c>
      <c r="L66" s="164">
        <v>35</v>
      </c>
      <c r="M66" s="165"/>
      <c r="N66" s="165"/>
      <c r="Q66" s="166">
        <v>1860</v>
      </c>
      <c r="R66" s="163">
        <f>R65+Table1[[#This Row],[الوارد ]]-Table1[[#This Row],[المنصرف ]]</f>
        <v>156714.33301648597</v>
      </c>
      <c r="S66" s="226"/>
      <c r="T66" s="226"/>
    </row>
    <row r="67" spans="1:20">
      <c r="A67" s="237">
        <v>45669</v>
      </c>
      <c r="B67" s="160" t="str">
        <f>TEXT(Table1[[#This Row],[التاريخ ]],"DDD")</f>
        <v>Sun</v>
      </c>
      <c r="C67" s="160" t="str">
        <f>IF(Table1[[#This Row],[التاريخ ]]="","",TEXT(Table1[[#This Row],[التاريخ ]],"mmm"))</f>
        <v>Jan</v>
      </c>
      <c r="D67" s="161" t="s">
        <v>621</v>
      </c>
      <c r="G67" s="226">
        <v>492</v>
      </c>
      <c r="H67" s="227" t="str">
        <f>VLOOKUP(G:G,'قاعدة بيانات  '!K:L,2,0)</f>
        <v>اسامه محمد احمد عبد الحميد</v>
      </c>
      <c r="I67" s="226" t="s">
        <v>98</v>
      </c>
      <c r="J67" s="226" t="s">
        <v>112</v>
      </c>
      <c r="K67" s="226" t="s">
        <v>116</v>
      </c>
      <c r="L67" s="164">
        <v>36</v>
      </c>
      <c r="M67" s="165"/>
      <c r="N67" s="165"/>
      <c r="Q67" s="166">
        <v>100</v>
      </c>
      <c r="R67" s="163">
        <f>R66+Table1[[#This Row],[الوارد ]]-Table1[[#This Row],[المنصرف ]]</f>
        <v>156614.33301648597</v>
      </c>
      <c r="S67" s="226"/>
      <c r="T67" s="226"/>
    </row>
    <row r="68" spans="1:20">
      <c r="A68" s="237">
        <v>45670</v>
      </c>
      <c r="B68" s="160" t="str">
        <f>TEXT(Table1[[#This Row],[التاريخ ]],"DDD")</f>
        <v>Mon</v>
      </c>
      <c r="C68" s="160" t="str">
        <f>IF(Table1[[#This Row],[التاريخ ]]="","",TEXT(Table1[[#This Row],[التاريخ ]],"mmm"))</f>
        <v>Jan</v>
      </c>
      <c r="D68" s="161" t="s">
        <v>622</v>
      </c>
      <c r="G68" s="226">
        <v>548</v>
      </c>
      <c r="H68" s="227" t="str">
        <f>VLOOKUP(G:G,'قاعدة بيانات  '!K:L,2,0)</f>
        <v>احمد حسين رمضان محمد ربيع</v>
      </c>
      <c r="I68" s="226" t="s">
        <v>107</v>
      </c>
      <c r="J68" s="226" t="s">
        <v>1114</v>
      </c>
      <c r="K68" s="226" t="s">
        <v>116</v>
      </c>
      <c r="L68" s="164">
        <v>37</v>
      </c>
      <c r="M68" s="165"/>
      <c r="N68" s="165"/>
      <c r="Q68" s="166">
        <v>410</v>
      </c>
      <c r="R68" s="163">
        <f>R67+Table1[[#This Row],[الوارد ]]-Table1[[#This Row],[المنصرف ]]</f>
        <v>156204.33301648597</v>
      </c>
      <c r="S68" s="226"/>
      <c r="T68" s="226"/>
    </row>
    <row r="69" spans="1:20">
      <c r="A69" s="237">
        <v>45670</v>
      </c>
      <c r="B69" s="160" t="str">
        <f>TEXT(Table1[[#This Row],[التاريخ ]],"DDD")</f>
        <v>Mon</v>
      </c>
      <c r="C69" s="160" t="str">
        <f>IF(Table1[[#This Row],[التاريخ ]]="","",TEXT(Table1[[#This Row],[التاريخ ]],"mmm"))</f>
        <v>Jan</v>
      </c>
      <c r="D69" s="161" t="s">
        <v>623</v>
      </c>
      <c r="E69" s="161" t="s">
        <v>67</v>
      </c>
      <c r="F69" s="162">
        <v>1069419130125</v>
      </c>
      <c r="G69" s="226">
        <v>515</v>
      </c>
      <c r="H69" s="227" t="str">
        <f>VLOOKUP(G:G,'قاعدة بيانات  '!K:L,2,0)</f>
        <v>محمد عبدالمنعم عبدالحليم إبراهيم</v>
      </c>
      <c r="I69" s="226" t="s">
        <v>167</v>
      </c>
      <c r="J69" s="226" t="s">
        <v>301</v>
      </c>
      <c r="K69" s="226" t="s">
        <v>302</v>
      </c>
      <c r="L69" s="164">
        <v>38</v>
      </c>
      <c r="M69" s="165"/>
      <c r="N69" s="165"/>
      <c r="Q69" s="166">
        <f>535-Q70</f>
        <v>469.42106000000001</v>
      </c>
      <c r="R69" s="163">
        <f>R68+Table1[[#This Row],[الوارد ]]-Table1[[#This Row],[المنصرف ]]</f>
        <v>155734.91195648597</v>
      </c>
      <c r="S69" s="226"/>
      <c r="T69" s="226"/>
    </row>
    <row r="70" spans="1:20">
      <c r="A70" s="237">
        <v>45670</v>
      </c>
      <c r="B70" s="160" t="str">
        <f>TEXT(Table1[[#This Row],[التاريخ ]],"DDD")</f>
        <v>Mon</v>
      </c>
      <c r="C70" s="160" t="str">
        <f>IF(Table1[[#This Row],[التاريخ ]]="","",TEXT(Table1[[#This Row],[التاريخ ]],"mmm"))</f>
        <v>Jan</v>
      </c>
      <c r="D70" s="161" t="s">
        <v>625</v>
      </c>
      <c r="E70" s="161" t="s">
        <v>67</v>
      </c>
      <c r="F70" s="162">
        <v>1069419130125</v>
      </c>
      <c r="G70" s="226">
        <v>515</v>
      </c>
      <c r="H70" s="227" t="str">
        <f>VLOOKUP(G:G,'قاعدة بيانات  '!K:L,2,0)</f>
        <v>محمد عبدالمنعم عبدالحليم إبراهيم</v>
      </c>
      <c r="I70" s="226" t="s">
        <v>167</v>
      </c>
      <c r="J70" s="226" t="s">
        <v>301</v>
      </c>
      <c r="K70" s="226" t="s">
        <v>115</v>
      </c>
      <c r="L70" s="164">
        <v>38</v>
      </c>
      <c r="M70" s="165"/>
      <c r="N70" s="165"/>
      <c r="Q70" s="166">
        <v>65.578940000000003</v>
      </c>
      <c r="R70" s="163">
        <f>R69+Table1[[#This Row],[الوارد ]]-Table1[[#This Row],[المنصرف ]]</f>
        <v>155669.33301648597</v>
      </c>
      <c r="S70" s="226"/>
      <c r="T70" s="226"/>
    </row>
    <row r="71" spans="1:20">
      <c r="A71" s="237">
        <v>45670</v>
      </c>
      <c r="B71" s="160" t="str">
        <f>TEXT(Table1[[#This Row],[التاريخ ]],"DDD")</f>
        <v>Mon</v>
      </c>
      <c r="C71" s="160" t="str">
        <f>IF(Table1[[#This Row],[التاريخ ]]="","",TEXT(Table1[[#This Row],[التاريخ ]],"mmm"))</f>
        <v>Jan</v>
      </c>
      <c r="D71" s="161" t="s">
        <v>624</v>
      </c>
      <c r="G71" s="226">
        <v>151</v>
      </c>
      <c r="H71" s="227" t="str">
        <f>VLOOKUP(G:G,'قاعدة بيانات  '!K:L,2,0)</f>
        <v xml:space="preserve">احمد عبد الباسط عبد السلام محمد </v>
      </c>
      <c r="I71" s="226" t="s">
        <v>392</v>
      </c>
      <c r="J71" s="226" t="s">
        <v>301</v>
      </c>
      <c r="K71" s="226" t="s">
        <v>128</v>
      </c>
      <c r="L71" s="164">
        <v>39</v>
      </c>
      <c r="M71" s="165"/>
      <c r="N71" s="165"/>
      <c r="Q71" s="166">
        <f>434.81+33.71</f>
        <v>468.52</v>
      </c>
      <c r="R71" s="163">
        <f>R70+Table1[[#This Row],[الوارد ]]-Table1[[#This Row],[المنصرف ]]</f>
        <v>155200.81301648598</v>
      </c>
      <c r="S71" s="226"/>
      <c r="T71" s="226"/>
    </row>
    <row r="72" spans="1:20">
      <c r="A72" s="237">
        <v>45671</v>
      </c>
      <c r="B72" s="160" t="str">
        <f>TEXT(Table1[[#This Row],[التاريخ ]],"DDD")</f>
        <v>Tue</v>
      </c>
      <c r="C72" s="160" t="str">
        <f>IF(Table1[[#This Row],[التاريخ ]]="","",TEXT(Table1[[#This Row],[التاريخ ]],"mmm"))</f>
        <v>Jan</v>
      </c>
      <c r="D72" s="161" t="s">
        <v>193</v>
      </c>
      <c r="G72" s="226">
        <v>151</v>
      </c>
      <c r="H72" s="227" t="str">
        <f>VLOOKUP(G:G,'قاعدة بيانات  '!K:L,2,0)</f>
        <v xml:space="preserve">احمد عبد الباسط عبد السلام محمد </v>
      </c>
      <c r="I72" s="226" t="s">
        <v>167</v>
      </c>
      <c r="J72" s="226" t="s">
        <v>301</v>
      </c>
      <c r="K72" s="226" t="s">
        <v>140</v>
      </c>
      <c r="L72" s="164">
        <v>40</v>
      </c>
      <c r="M72" s="165"/>
      <c r="N72" s="165"/>
      <c r="P72" s="163">
        <v>30000</v>
      </c>
      <c r="Q72" s="166"/>
      <c r="R72" s="163">
        <f>R71+Table1[[#This Row],[الوارد ]]-Table1[[#This Row],[المنصرف ]]</f>
        <v>185200.81301648598</v>
      </c>
      <c r="S72" s="226"/>
      <c r="T72" s="226"/>
    </row>
    <row r="73" spans="1:20">
      <c r="A73" s="237">
        <v>45671</v>
      </c>
      <c r="B73" s="160" t="str">
        <f>TEXT(Table1[[#This Row],[التاريخ ]],"DDD")</f>
        <v>Tue</v>
      </c>
      <c r="C73" s="160" t="str">
        <f>IF(Table1[[#This Row],[التاريخ ]]="","",TEXT(Table1[[#This Row],[التاريخ ]],"mmm"))</f>
        <v>Jan</v>
      </c>
      <c r="D73" s="161" t="s">
        <v>626</v>
      </c>
      <c r="G73" s="226">
        <v>151</v>
      </c>
      <c r="H73" s="227" t="str">
        <f>VLOOKUP(G:G,'قاعدة بيانات  '!K:L,2,0)</f>
        <v xml:space="preserve">احمد عبد الباسط عبد السلام محمد </v>
      </c>
      <c r="I73" s="226" t="s">
        <v>167</v>
      </c>
      <c r="J73" s="226" t="s">
        <v>301</v>
      </c>
      <c r="K73" s="226" t="s">
        <v>264</v>
      </c>
      <c r="L73" s="164">
        <v>41</v>
      </c>
      <c r="M73" s="165"/>
      <c r="N73" s="165"/>
      <c r="Q73" s="166">
        <v>1500</v>
      </c>
      <c r="R73" s="163">
        <f>R72+Table1[[#This Row],[الوارد ]]-Table1[[#This Row],[المنصرف ]]</f>
        <v>183700.81301648598</v>
      </c>
      <c r="S73" s="226"/>
      <c r="T73" s="226"/>
    </row>
    <row r="74" spans="1:20">
      <c r="A74" s="237">
        <v>45671</v>
      </c>
      <c r="B74" s="160" t="str">
        <f>TEXT(Table1[[#This Row],[التاريخ ]],"DDD")</f>
        <v>Tue</v>
      </c>
      <c r="C74" s="160" t="str">
        <f>IF(Table1[[#This Row],[التاريخ ]]="","",TEXT(Table1[[#This Row],[التاريخ ]],"mmm"))</f>
        <v>Jan</v>
      </c>
      <c r="D74" s="161" t="s">
        <v>627</v>
      </c>
      <c r="G74" s="226">
        <v>151</v>
      </c>
      <c r="H74" s="227" t="str">
        <f>VLOOKUP(G:G,'قاعدة بيانات  '!K:L,2,0)</f>
        <v xml:space="preserve">احمد عبد الباسط عبد السلام محمد </v>
      </c>
      <c r="I74" s="226" t="s">
        <v>167</v>
      </c>
      <c r="J74" s="226" t="s">
        <v>301</v>
      </c>
      <c r="K74" s="226" t="s">
        <v>120</v>
      </c>
      <c r="L74" s="164">
        <v>41</v>
      </c>
      <c r="M74" s="165"/>
      <c r="N74" s="165"/>
      <c r="Q74" s="166">
        <v>12</v>
      </c>
      <c r="R74" s="163">
        <f>R73+Table1[[#This Row],[الوارد ]]-Table1[[#This Row],[المنصرف ]]</f>
        <v>183688.81301648598</v>
      </c>
      <c r="S74" s="226"/>
      <c r="T74" s="226"/>
    </row>
    <row r="75" spans="1:20">
      <c r="A75" s="237">
        <v>45671</v>
      </c>
      <c r="B75" s="160" t="str">
        <f>TEXT(Table1[[#This Row],[التاريخ ]],"DDD")</f>
        <v>Tue</v>
      </c>
      <c r="C75" s="160" t="str">
        <f>IF(Table1[[#This Row],[التاريخ ]]="","",TEXT(Table1[[#This Row],[التاريخ ]],"mmm"))</f>
        <v>Jan</v>
      </c>
      <c r="D75" s="161" t="s">
        <v>628</v>
      </c>
      <c r="G75" s="226">
        <v>151</v>
      </c>
      <c r="H75" s="227" t="str">
        <f>VLOOKUP(G:G,'قاعدة بيانات  '!K:L,2,0)</f>
        <v xml:space="preserve">احمد عبد الباسط عبد السلام محمد </v>
      </c>
      <c r="I75" s="226" t="s">
        <v>167</v>
      </c>
      <c r="J75" s="226" t="s">
        <v>301</v>
      </c>
      <c r="K75" s="226" t="s">
        <v>384</v>
      </c>
      <c r="L75" s="164">
        <v>41</v>
      </c>
      <c r="M75" s="165"/>
      <c r="N75" s="165"/>
      <c r="Q75" s="166">
        <v>188</v>
      </c>
      <c r="R75" s="163">
        <f>R74+Table1[[#This Row],[الوارد ]]-Table1[[#This Row],[المنصرف ]]</f>
        <v>183500.81301648598</v>
      </c>
      <c r="S75" s="226"/>
      <c r="T75" s="226"/>
    </row>
    <row r="76" spans="1:20">
      <c r="A76" s="237">
        <v>45671</v>
      </c>
      <c r="B76" s="160" t="str">
        <f>TEXT(Table1[[#This Row],[التاريخ ]],"DDD")</f>
        <v>Tue</v>
      </c>
      <c r="C76" s="160" t="str">
        <f>IF(Table1[[#This Row],[التاريخ ]]="","",TEXT(Table1[[#This Row],[التاريخ ]],"mmm"))</f>
        <v>Jan</v>
      </c>
      <c r="D76" s="161" t="s">
        <v>629</v>
      </c>
      <c r="G76" s="226">
        <v>151</v>
      </c>
      <c r="H76" s="227" t="str">
        <f>VLOOKUP(G:G,'قاعدة بيانات  '!K:L,2,0)</f>
        <v xml:space="preserve">احمد عبد الباسط عبد السلام محمد </v>
      </c>
      <c r="I76" s="226" t="s">
        <v>167</v>
      </c>
      <c r="J76" s="226" t="s">
        <v>301</v>
      </c>
      <c r="K76" s="226" t="s">
        <v>120</v>
      </c>
      <c r="L76" s="164">
        <v>41</v>
      </c>
      <c r="M76" s="165"/>
      <c r="N76" s="165"/>
      <c r="Q76" s="166">
        <v>12</v>
      </c>
      <c r="R76" s="163">
        <f>R75+Table1[[#This Row],[الوارد ]]-Table1[[#This Row],[المنصرف ]]</f>
        <v>183488.81301648598</v>
      </c>
      <c r="S76" s="226"/>
      <c r="T76" s="226"/>
    </row>
    <row r="77" spans="1:20">
      <c r="A77" s="237">
        <v>45671</v>
      </c>
      <c r="B77" s="160" t="str">
        <f>TEXT(Table1[[#This Row],[التاريخ ]],"DDD")</f>
        <v>Tue</v>
      </c>
      <c r="C77" s="160" t="str">
        <f>IF(Table1[[#This Row],[التاريخ ]]="","",TEXT(Table1[[#This Row],[التاريخ ]],"mmm"))</f>
        <v>Jan</v>
      </c>
      <c r="D77" s="161" t="s">
        <v>630</v>
      </c>
      <c r="G77" s="226">
        <v>151</v>
      </c>
      <c r="H77" s="227" t="str">
        <f>VLOOKUP(G:G,'قاعدة بيانات  '!K:L,2,0)</f>
        <v xml:space="preserve">احمد عبد الباسط عبد السلام محمد </v>
      </c>
      <c r="I77" s="226" t="s">
        <v>167</v>
      </c>
      <c r="J77" s="226" t="s">
        <v>301</v>
      </c>
      <c r="K77" s="226" t="s">
        <v>196</v>
      </c>
      <c r="L77" s="164">
        <v>41</v>
      </c>
      <c r="M77" s="165"/>
      <c r="N77" s="165"/>
      <c r="Q77" s="166">
        <v>27370</v>
      </c>
      <c r="R77" s="163">
        <f>R76+Table1[[#This Row],[الوارد ]]-Table1[[#This Row],[المنصرف ]]</f>
        <v>156118.81301648598</v>
      </c>
      <c r="S77" s="226"/>
      <c r="T77" s="226"/>
    </row>
    <row r="78" spans="1:20">
      <c r="A78" s="237">
        <v>45671</v>
      </c>
      <c r="B78" s="160" t="str">
        <f>TEXT(Table1[[#This Row],[التاريخ ]],"DDD")</f>
        <v>Tue</v>
      </c>
      <c r="C78" s="160" t="str">
        <f>IF(Table1[[#This Row],[التاريخ ]]="","",TEXT(Table1[[#This Row],[التاريخ ]],"mmm"))</f>
        <v>Jan</v>
      </c>
      <c r="D78" s="161" t="s">
        <v>631</v>
      </c>
      <c r="G78" s="226">
        <v>151</v>
      </c>
      <c r="H78" s="227" t="str">
        <f>VLOOKUP(G:G,'قاعدة بيانات  '!K:L,2,0)</f>
        <v xml:space="preserve">احمد عبد الباسط عبد السلام محمد </v>
      </c>
      <c r="I78" s="226" t="s">
        <v>167</v>
      </c>
      <c r="J78" s="226" t="s">
        <v>301</v>
      </c>
      <c r="K78" s="226" t="s">
        <v>120</v>
      </c>
      <c r="L78" s="164">
        <v>41</v>
      </c>
      <c r="M78" s="165"/>
      <c r="N78" s="165"/>
      <c r="Q78" s="166">
        <v>246.33</v>
      </c>
      <c r="R78" s="163">
        <f>R77+Table1[[#This Row],[الوارد ]]-Table1[[#This Row],[المنصرف ]]</f>
        <v>155872.48301648599</v>
      </c>
      <c r="S78" s="226"/>
      <c r="T78" s="226"/>
    </row>
    <row r="79" spans="1:20">
      <c r="A79" s="237">
        <v>45671</v>
      </c>
      <c r="B79" s="160" t="str">
        <f>TEXT(Table1[[#This Row],[التاريخ ]],"DDD")</f>
        <v>Tue</v>
      </c>
      <c r="C79" s="160" t="str">
        <f>IF(Table1[[#This Row],[التاريخ ]]="","",TEXT(Table1[[#This Row],[التاريخ ]],"mmm"))</f>
        <v>Jan</v>
      </c>
      <c r="D79" s="161" t="s">
        <v>632</v>
      </c>
      <c r="G79" s="226">
        <v>151</v>
      </c>
      <c r="H79" s="227" t="str">
        <f>VLOOKUP(G:G,'قاعدة بيانات  '!K:L,2,0)</f>
        <v xml:space="preserve">احمد عبد الباسط عبد السلام محمد </v>
      </c>
      <c r="I79" s="226" t="s">
        <v>897</v>
      </c>
      <c r="J79" s="226" t="s">
        <v>112</v>
      </c>
      <c r="K79" s="226" t="s">
        <v>127</v>
      </c>
      <c r="L79" s="164">
        <v>42</v>
      </c>
      <c r="M79" s="165"/>
      <c r="N79" s="165"/>
      <c r="Q79" s="166">
        <v>30</v>
      </c>
      <c r="R79" s="163">
        <f>R78+Table1[[#This Row],[الوارد ]]-Table1[[#This Row],[المنصرف ]]</f>
        <v>155842.48301648599</v>
      </c>
      <c r="S79" s="226"/>
      <c r="T79" s="226"/>
    </row>
    <row r="80" spans="1:20">
      <c r="A80" s="237">
        <v>45671</v>
      </c>
      <c r="B80" s="160" t="str">
        <f>TEXT(Table1[[#This Row],[التاريخ ]],"DDD")</f>
        <v>Tue</v>
      </c>
      <c r="C80" s="160" t="str">
        <f>IF(Table1[[#This Row],[التاريخ ]]="","",TEXT(Table1[[#This Row],[التاريخ ]],"mmm"))</f>
        <v>Jan</v>
      </c>
      <c r="D80" s="161" t="s">
        <v>635</v>
      </c>
      <c r="G80" s="226">
        <v>365</v>
      </c>
      <c r="H80" s="227" t="str">
        <f>VLOOKUP(G:G,'قاعدة بيانات  '!K:L,2,0)</f>
        <v>محمد رضا سعد حسن الشرقاوى</v>
      </c>
      <c r="I80" s="226" t="s">
        <v>107</v>
      </c>
      <c r="J80" s="226" t="s">
        <v>301</v>
      </c>
      <c r="K80" s="226" t="s">
        <v>116</v>
      </c>
      <c r="L80" s="164">
        <v>43</v>
      </c>
      <c r="M80" s="165"/>
      <c r="N80" s="165"/>
      <c r="Q80" s="166">
        <v>80</v>
      </c>
      <c r="R80" s="163">
        <f>R79+Table1[[#This Row],[الوارد ]]-Table1[[#This Row],[المنصرف ]]</f>
        <v>155762.48301648599</v>
      </c>
      <c r="S80" s="226"/>
      <c r="T80" s="226"/>
    </row>
    <row r="81" spans="1:20">
      <c r="A81" s="237">
        <v>45671</v>
      </c>
      <c r="B81" s="160" t="str">
        <f>TEXT(Table1[[#This Row],[التاريخ ]],"DDD")</f>
        <v>Tue</v>
      </c>
      <c r="C81" s="160" t="str">
        <f>IF(Table1[[#This Row],[التاريخ ]]="","",TEXT(Table1[[#This Row],[التاريخ ]],"mmm"))</f>
        <v>Jan</v>
      </c>
      <c r="D81" s="161" t="s">
        <v>636</v>
      </c>
      <c r="G81" s="226">
        <v>151</v>
      </c>
      <c r="H81" s="227" t="str">
        <f>VLOOKUP(G:G,'قاعدة بيانات  '!K:L,2,0)</f>
        <v xml:space="preserve">احمد عبد الباسط عبد السلام محمد </v>
      </c>
      <c r="I81" s="226" t="s">
        <v>107</v>
      </c>
      <c r="J81" s="226" t="s">
        <v>301</v>
      </c>
      <c r="K81" s="226" t="s">
        <v>120</v>
      </c>
      <c r="L81" s="164">
        <v>44</v>
      </c>
      <c r="M81" s="165"/>
      <c r="N81" s="165"/>
      <c r="Q81" s="166">
        <v>1100</v>
      </c>
      <c r="R81" s="163">
        <f>R80+Table1[[#This Row],[الوارد ]]-Table1[[#This Row],[المنصرف ]]</f>
        <v>154662.48301648599</v>
      </c>
      <c r="S81" s="226"/>
      <c r="T81" s="226"/>
    </row>
    <row r="82" spans="1:20">
      <c r="A82" s="237">
        <v>45671</v>
      </c>
      <c r="B82" s="160" t="str">
        <f>TEXT(Table1[[#This Row],[التاريخ ]],"DDD")</f>
        <v>Tue</v>
      </c>
      <c r="C82" s="160" t="str">
        <f>IF(Table1[[#This Row],[التاريخ ]]="","",TEXT(Table1[[#This Row],[التاريخ ]],"mmm"))</f>
        <v>Jan</v>
      </c>
      <c r="D82" s="161" t="s">
        <v>419</v>
      </c>
      <c r="G82" s="226">
        <v>493</v>
      </c>
      <c r="H82" s="227" t="str">
        <f>VLOOKUP(G:G,'قاعدة بيانات  '!K:L,2,0)</f>
        <v>محمود محمد محمود محمد</v>
      </c>
      <c r="I82" s="226" t="s">
        <v>103</v>
      </c>
      <c r="J82" s="226" t="s">
        <v>112</v>
      </c>
      <c r="K82" s="226" t="s">
        <v>116</v>
      </c>
      <c r="L82" s="164">
        <v>45</v>
      </c>
      <c r="M82" s="165"/>
      <c r="N82" s="165"/>
      <c r="Q82" s="166">
        <f>18+25+29+29+47</f>
        <v>148</v>
      </c>
      <c r="R82" s="163">
        <f>R81+Table1[[#This Row],[الوارد ]]-Table1[[#This Row],[المنصرف ]]</f>
        <v>154514.48301648599</v>
      </c>
      <c r="S82" s="226"/>
      <c r="T82" s="226"/>
    </row>
    <row r="83" spans="1:20">
      <c r="A83" s="237">
        <v>45671</v>
      </c>
      <c r="B83" s="160" t="str">
        <f>TEXT(Table1[[#This Row],[التاريخ ]],"DDD")</f>
        <v>Tue</v>
      </c>
      <c r="C83" s="160" t="str">
        <f>IF(Table1[[#This Row],[التاريخ ]]="","",TEXT(Table1[[#This Row],[التاريخ ]],"mmm"))</f>
        <v>Jan</v>
      </c>
      <c r="D83" s="161" t="s">
        <v>419</v>
      </c>
      <c r="G83" s="226">
        <v>493</v>
      </c>
      <c r="H83" s="227" t="str">
        <f>VLOOKUP(G:G,'قاعدة بيانات  '!K:L,2,0)</f>
        <v>محمود محمد محمود محمد</v>
      </c>
      <c r="I83" s="226" t="s">
        <v>102</v>
      </c>
      <c r="J83" s="226" t="s">
        <v>112</v>
      </c>
      <c r="K83" s="226" t="s">
        <v>116</v>
      </c>
      <c r="L83" s="164">
        <v>45</v>
      </c>
      <c r="M83" s="165"/>
      <c r="N83" s="165"/>
      <c r="Q83" s="166">
        <v>18</v>
      </c>
      <c r="R83" s="163">
        <f>R82+Table1[[#This Row],[الوارد ]]-Table1[[#This Row],[المنصرف ]]</f>
        <v>154496.48301648599</v>
      </c>
      <c r="S83" s="226"/>
      <c r="T83" s="226"/>
    </row>
    <row r="84" spans="1:20">
      <c r="A84" s="237">
        <v>45671</v>
      </c>
      <c r="B84" s="160" t="str">
        <f>TEXT(Table1[[#This Row],[التاريخ ]],"DDD")</f>
        <v>Tue</v>
      </c>
      <c r="C84" s="160" t="str">
        <f>IF(Table1[[#This Row],[التاريخ ]]="","",TEXT(Table1[[#This Row],[التاريخ ]],"mmm"))</f>
        <v>Jan</v>
      </c>
      <c r="D84" s="161" t="s">
        <v>419</v>
      </c>
      <c r="G84" s="226">
        <v>493</v>
      </c>
      <c r="H84" s="227" t="str">
        <f>VLOOKUP(G:G,'قاعدة بيانات  '!K:L,2,0)</f>
        <v>محمود محمد محمود محمد</v>
      </c>
      <c r="I84" s="226" t="s">
        <v>103</v>
      </c>
      <c r="J84" s="226" t="s">
        <v>112</v>
      </c>
      <c r="K84" s="226" t="s">
        <v>120</v>
      </c>
      <c r="L84" s="164">
        <v>45</v>
      </c>
      <c r="M84" s="165"/>
      <c r="N84" s="165"/>
      <c r="Q84" s="166">
        <f>6+25+6</f>
        <v>37</v>
      </c>
      <c r="R84" s="163">
        <f>R83+Table1[[#This Row],[الوارد ]]-Table1[[#This Row],[المنصرف ]]</f>
        <v>154459.48301648599</v>
      </c>
      <c r="S84" s="226"/>
      <c r="T84" s="226"/>
    </row>
    <row r="85" spans="1:20">
      <c r="A85" s="237">
        <v>45671</v>
      </c>
      <c r="B85" s="160" t="str">
        <f>TEXT(Table1[[#This Row],[التاريخ ]],"DDD")</f>
        <v>Tue</v>
      </c>
      <c r="C85" s="160" t="str">
        <f>IF(Table1[[#This Row],[التاريخ ]]="","",TEXT(Table1[[#This Row],[التاريخ ]],"mmm"))</f>
        <v>Jan</v>
      </c>
      <c r="D85" s="161" t="s">
        <v>419</v>
      </c>
      <c r="G85" s="226">
        <v>493</v>
      </c>
      <c r="H85" s="227" t="str">
        <f>VLOOKUP(G:G,'قاعدة بيانات  '!K:L,2,0)</f>
        <v>محمود محمد محمود محمد</v>
      </c>
      <c r="I85" s="226" t="s">
        <v>328</v>
      </c>
      <c r="J85" s="226" t="s">
        <v>112</v>
      </c>
      <c r="K85" s="226" t="s">
        <v>116</v>
      </c>
      <c r="L85" s="164">
        <v>45</v>
      </c>
      <c r="M85" s="165"/>
      <c r="N85" s="165"/>
      <c r="Q85" s="166">
        <v>62</v>
      </c>
      <c r="R85" s="163">
        <f>R84+Table1[[#This Row],[الوارد ]]-Table1[[#This Row],[المنصرف ]]</f>
        <v>154397.48301648599</v>
      </c>
      <c r="S85" s="226"/>
      <c r="T85" s="226"/>
    </row>
    <row r="86" spans="1:20">
      <c r="A86" s="237">
        <v>45671</v>
      </c>
      <c r="B86" s="160" t="str">
        <f>TEXT(Table1[[#This Row],[التاريخ ]],"DDD")</f>
        <v>Tue</v>
      </c>
      <c r="C86" s="160" t="str">
        <f>IF(Table1[[#This Row],[التاريخ ]]="","",TEXT(Table1[[#This Row],[التاريخ ]],"mmm"))</f>
        <v>Jan</v>
      </c>
      <c r="D86" s="161" t="s">
        <v>606</v>
      </c>
      <c r="G86" s="226">
        <v>492</v>
      </c>
      <c r="H86" s="227" t="str">
        <f>VLOOKUP(G:G,'قاعدة بيانات  '!K:L,2,0)</f>
        <v>اسامه محمد احمد عبد الحميد</v>
      </c>
      <c r="I86" s="226" t="s">
        <v>167</v>
      </c>
      <c r="J86" s="226" t="s">
        <v>301</v>
      </c>
      <c r="K86" s="226" t="s">
        <v>120</v>
      </c>
      <c r="L86" s="164">
        <v>46</v>
      </c>
      <c r="M86" s="165"/>
      <c r="N86" s="165"/>
      <c r="Q86" s="166">
        <f>111+1270+158</f>
        <v>1539</v>
      </c>
      <c r="R86" s="163">
        <f>R85+Table1[[#This Row],[الوارد ]]-Table1[[#This Row],[المنصرف ]]</f>
        <v>152858.48301648599</v>
      </c>
      <c r="S86" s="226"/>
      <c r="T86" s="226"/>
    </row>
    <row r="87" spans="1:20">
      <c r="A87" s="237">
        <v>45671</v>
      </c>
      <c r="B87" s="160" t="str">
        <f>TEXT(Table1[[#This Row],[التاريخ ]],"DDD")</f>
        <v>Tue</v>
      </c>
      <c r="C87" s="160" t="str">
        <f>IF(Table1[[#This Row],[التاريخ ]]="","",TEXT(Table1[[#This Row],[التاريخ ]],"mmm"))</f>
        <v>Jan</v>
      </c>
      <c r="D87" s="161" t="s">
        <v>606</v>
      </c>
      <c r="G87" s="226">
        <v>492</v>
      </c>
      <c r="H87" s="227" t="str">
        <f>VLOOKUP(G:G,'قاعدة بيانات  '!K:L,2,0)</f>
        <v>اسامه محمد احمد عبد الحميد</v>
      </c>
      <c r="I87" s="226" t="s">
        <v>167</v>
      </c>
      <c r="J87" s="226" t="s">
        <v>301</v>
      </c>
      <c r="K87" s="226" t="s">
        <v>116</v>
      </c>
      <c r="L87" s="164">
        <v>46</v>
      </c>
      <c r="M87" s="165"/>
      <c r="N87" s="165"/>
      <c r="Q87" s="166">
        <f>18+33+42</f>
        <v>93</v>
      </c>
      <c r="R87" s="163">
        <f>R86+Table1[[#This Row],[الوارد ]]-Table1[[#This Row],[المنصرف ]]</f>
        <v>152765.48301648599</v>
      </c>
      <c r="S87" s="226"/>
      <c r="T87" s="226"/>
    </row>
    <row r="88" spans="1:20">
      <c r="A88" s="237">
        <v>45671</v>
      </c>
      <c r="B88" s="160" t="str">
        <f>TEXT(Table1[[#This Row],[التاريخ ]],"DDD")</f>
        <v>Tue</v>
      </c>
      <c r="C88" s="160" t="str">
        <f>IF(Table1[[#This Row],[التاريخ ]]="","",TEXT(Table1[[#This Row],[التاريخ ]],"mmm"))</f>
        <v>Jan</v>
      </c>
      <c r="D88" s="161" t="s">
        <v>606</v>
      </c>
      <c r="G88" s="226">
        <v>492</v>
      </c>
      <c r="H88" s="227" t="str">
        <f>VLOOKUP(G:G,'قاعدة بيانات  '!K:L,2,0)</f>
        <v>اسامه محمد احمد عبد الحميد</v>
      </c>
      <c r="I88" s="226" t="s">
        <v>103</v>
      </c>
      <c r="J88" s="226" t="s">
        <v>112</v>
      </c>
      <c r="K88" s="226" t="s">
        <v>116</v>
      </c>
      <c r="L88" s="164">
        <v>46</v>
      </c>
      <c r="M88" s="165"/>
      <c r="N88" s="165"/>
      <c r="Q88" s="166">
        <v>52</v>
      </c>
      <c r="R88" s="163">
        <f>R87+Table1[[#This Row],[الوارد ]]-Table1[[#This Row],[المنصرف ]]</f>
        <v>152713.48301648599</v>
      </c>
      <c r="S88" s="226"/>
      <c r="T88" s="226"/>
    </row>
    <row r="89" spans="1:20">
      <c r="A89" s="237">
        <v>45671</v>
      </c>
      <c r="B89" s="160" t="str">
        <f>TEXT(Table1[[#This Row],[التاريخ ]],"DDD")</f>
        <v>Tue</v>
      </c>
      <c r="C89" s="160" t="str">
        <f>IF(Table1[[#This Row],[التاريخ ]]="","",TEXT(Table1[[#This Row],[التاريخ ]],"mmm"))</f>
        <v>Jan</v>
      </c>
      <c r="D89" s="161" t="s">
        <v>606</v>
      </c>
      <c r="G89" s="226">
        <v>492</v>
      </c>
      <c r="H89" s="227" t="str">
        <f>VLOOKUP(G:G,'قاعدة بيانات  '!K:L,2,0)</f>
        <v>اسامه محمد احمد عبد الحميد</v>
      </c>
      <c r="I89" s="226" t="s">
        <v>107</v>
      </c>
      <c r="J89" s="226" t="s">
        <v>301</v>
      </c>
      <c r="K89" s="226" t="s">
        <v>116</v>
      </c>
      <c r="L89" s="164">
        <v>46</v>
      </c>
      <c r="M89" s="165"/>
      <c r="N89" s="165"/>
      <c r="Q89" s="166">
        <v>70</v>
      </c>
      <c r="R89" s="163">
        <f>R88+Table1[[#This Row],[الوارد ]]-Table1[[#This Row],[المنصرف ]]</f>
        <v>152643.48301648599</v>
      </c>
      <c r="S89" s="226"/>
      <c r="T89" s="226"/>
    </row>
    <row r="90" spans="1:20">
      <c r="A90" s="237">
        <v>45671</v>
      </c>
      <c r="B90" s="160" t="str">
        <f>TEXT(Table1[[#This Row],[التاريخ ]],"DDD")</f>
        <v>Tue</v>
      </c>
      <c r="C90" s="160" t="str">
        <f>IF(Table1[[#This Row],[التاريخ ]]="","",TEXT(Table1[[#This Row],[التاريخ ]],"mmm"))</f>
        <v>Jan</v>
      </c>
      <c r="D90" s="161" t="s">
        <v>606</v>
      </c>
      <c r="G90" s="226">
        <v>492</v>
      </c>
      <c r="H90" s="227" t="str">
        <f>VLOOKUP(G:G,'قاعدة بيانات  '!K:L,2,0)</f>
        <v>اسامه محمد احمد عبد الحميد</v>
      </c>
      <c r="I90" s="226" t="s">
        <v>107</v>
      </c>
      <c r="J90" s="226" t="s">
        <v>301</v>
      </c>
      <c r="K90" s="226" t="s">
        <v>128</v>
      </c>
      <c r="L90" s="164">
        <v>46</v>
      </c>
      <c r="M90" s="165"/>
      <c r="N90" s="165"/>
      <c r="Q90" s="166">
        <v>90</v>
      </c>
      <c r="R90" s="163">
        <f>R89+Table1[[#This Row],[الوارد ]]-Table1[[#This Row],[المنصرف ]]</f>
        <v>152553.48301648599</v>
      </c>
      <c r="S90" s="226"/>
      <c r="T90" s="226"/>
    </row>
    <row r="91" spans="1:20">
      <c r="A91" s="237">
        <v>45671</v>
      </c>
      <c r="B91" s="160" t="str">
        <f>TEXT(Table1[[#This Row],[التاريخ ]],"DDD")</f>
        <v>Tue</v>
      </c>
      <c r="C91" s="160" t="str">
        <f>IF(Table1[[#This Row],[التاريخ ]]="","",TEXT(Table1[[#This Row],[التاريخ ]],"mmm"))</f>
        <v>Jan</v>
      </c>
      <c r="D91" s="161" t="s">
        <v>637</v>
      </c>
      <c r="G91" s="226">
        <v>10</v>
      </c>
      <c r="H91" s="227" t="str">
        <f>VLOOKUP(G:G,'قاعدة بيانات  '!K:L,2,0)</f>
        <v>عبد المنعم مجدى عبدربه محمد هلهل</v>
      </c>
      <c r="I91" s="226" t="s">
        <v>106</v>
      </c>
      <c r="J91" s="226" t="s">
        <v>301</v>
      </c>
      <c r="K91" s="226" t="s">
        <v>116</v>
      </c>
      <c r="L91" s="164">
        <v>47</v>
      </c>
      <c r="M91" s="165"/>
      <c r="N91" s="165"/>
      <c r="Q91" s="166">
        <v>600</v>
      </c>
      <c r="R91" s="163">
        <f>R90+Table1[[#This Row],[الوارد ]]-Table1[[#This Row],[المنصرف ]]</f>
        <v>151953.48301648599</v>
      </c>
      <c r="S91" s="226"/>
      <c r="T91" s="226"/>
    </row>
    <row r="92" spans="1:20">
      <c r="A92" s="237">
        <v>45672</v>
      </c>
      <c r="B92" s="160" t="str">
        <f>TEXT(Table1[[#This Row],[التاريخ ]],"DDD")</f>
        <v>Wed</v>
      </c>
      <c r="C92" s="160" t="str">
        <f>IF(Table1[[#This Row],[التاريخ ]]="","",TEXT(Table1[[#This Row],[التاريخ ]],"mmm"))</f>
        <v>Jan</v>
      </c>
      <c r="D92" s="161" t="s">
        <v>640</v>
      </c>
      <c r="G92" s="226">
        <v>151</v>
      </c>
      <c r="H92" s="227" t="str">
        <f>VLOOKUP(G:G,'قاعدة بيانات  '!K:L,2,0)</f>
        <v xml:space="preserve">احمد عبد الباسط عبد السلام محمد </v>
      </c>
      <c r="I92" s="226" t="s">
        <v>198</v>
      </c>
      <c r="J92" s="226" t="s">
        <v>1113</v>
      </c>
      <c r="K92" s="226" t="s">
        <v>117</v>
      </c>
      <c r="L92" s="164">
        <v>48</v>
      </c>
      <c r="M92" s="165"/>
      <c r="N92" s="165"/>
      <c r="Q92" s="166">
        <v>600</v>
      </c>
      <c r="R92" s="163">
        <f>R91+Table1[[#This Row],[الوارد ]]-Table1[[#This Row],[المنصرف ]]</f>
        <v>151353.48301648599</v>
      </c>
      <c r="S92" s="226"/>
      <c r="T92" s="226"/>
    </row>
    <row r="93" spans="1:20">
      <c r="A93" s="237">
        <v>45672</v>
      </c>
      <c r="B93" s="160" t="str">
        <f>TEXT(Table1[[#This Row],[التاريخ ]],"DDD")</f>
        <v>Wed</v>
      </c>
      <c r="C93" s="160" t="str">
        <f>IF(Table1[[#This Row],[التاريخ ]]="","",TEXT(Table1[[#This Row],[التاريخ ]],"mmm"))</f>
        <v>Jan</v>
      </c>
      <c r="D93" s="161" t="s">
        <v>642</v>
      </c>
      <c r="G93" s="226">
        <v>151</v>
      </c>
      <c r="H93" s="227" t="str">
        <f>VLOOKUP(G:G,'قاعدة بيانات  '!K:L,2,0)</f>
        <v xml:space="preserve">احمد عبد الباسط عبد السلام محمد </v>
      </c>
      <c r="I93" s="226" t="s">
        <v>198</v>
      </c>
      <c r="J93" s="226" t="s">
        <v>1113</v>
      </c>
      <c r="K93" s="226" t="s">
        <v>124</v>
      </c>
      <c r="L93" s="164">
        <v>48</v>
      </c>
      <c r="M93" s="165"/>
      <c r="N93" s="165"/>
      <c r="Q93" s="166">
        <v>200</v>
      </c>
      <c r="R93" s="163">
        <f>R92+Table1[[#This Row],[الوارد ]]-Table1[[#This Row],[المنصرف ]]</f>
        <v>151153.48301648599</v>
      </c>
      <c r="S93" s="226"/>
      <c r="T93" s="226"/>
    </row>
    <row r="94" spans="1:20">
      <c r="A94" s="237">
        <v>45672</v>
      </c>
      <c r="B94" s="160" t="str">
        <f>TEXT(Table1[[#This Row],[التاريخ ]],"DDD")</f>
        <v>Wed</v>
      </c>
      <c r="C94" s="160" t="str">
        <f>IF(Table1[[#This Row],[التاريخ ]]="","",TEXT(Table1[[#This Row],[التاريخ ]],"mmm"))</f>
        <v>Jan</v>
      </c>
      <c r="D94" s="161" t="s">
        <v>641</v>
      </c>
      <c r="G94" s="226">
        <v>151</v>
      </c>
      <c r="H94" s="227" t="str">
        <f>VLOOKUP(G:G,'قاعدة بيانات  '!K:L,2,0)</f>
        <v xml:space="preserve">احمد عبد الباسط عبد السلام محمد </v>
      </c>
      <c r="I94" s="226" t="s">
        <v>198</v>
      </c>
      <c r="J94" s="226" t="s">
        <v>1113</v>
      </c>
      <c r="K94" s="226" t="s">
        <v>117</v>
      </c>
      <c r="L94" s="164">
        <v>48</v>
      </c>
      <c r="M94" s="165"/>
      <c r="N94" s="165"/>
      <c r="Q94" s="166">
        <v>300</v>
      </c>
      <c r="R94" s="163">
        <f>R93+Table1[[#This Row],[الوارد ]]-Table1[[#This Row],[المنصرف ]]</f>
        <v>150853.48301648599</v>
      </c>
      <c r="S94" s="226"/>
      <c r="T94" s="226"/>
    </row>
    <row r="95" spans="1:20">
      <c r="A95" s="237">
        <v>45672</v>
      </c>
      <c r="B95" s="160" t="str">
        <f>TEXT(Table1[[#This Row],[التاريخ ]],"DDD")</f>
        <v>Wed</v>
      </c>
      <c r="C95" s="160" t="str">
        <f>IF(Table1[[#This Row],[التاريخ ]]="","",TEXT(Table1[[#This Row],[التاريخ ]],"mmm"))</f>
        <v>Jan</v>
      </c>
      <c r="D95" s="161" t="s">
        <v>643</v>
      </c>
      <c r="G95" s="226">
        <v>548</v>
      </c>
      <c r="H95" s="227" t="str">
        <f>VLOOKUP(G:G,'قاعدة بيانات  '!K:L,2,0)</f>
        <v>احمد حسين رمضان محمد ربيع</v>
      </c>
      <c r="I95" s="226" t="s">
        <v>107</v>
      </c>
      <c r="J95" s="226" t="s">
        <v>1114</v>
      </c>
      <c r="K95" s="226" t="s">
        <v>116</v>
      </c>
      <c r="L95" s="164">
        <v>49</v>
      </c>
      <c r="M95" s="165"/>
      <c r="N95" s="165"/>
      <c r="Q95" s="166">
        <v>60</v>
      </c>
      <c r="R95" s="163">
        <f>R94+Table1[[#This Row],[الوارد ]]-Table1[[#This Row],[المنصرف ]]</f>
        <v>150793.48301648599</v>
      </c>
      <c r="S95" s="226"/>
      <c r="T95" s="226"/>
    </row>
    <row r="96" spans="1:20">
      <c r="A96" s="237">
        <v>45672</v>
      </c>
      <c r="B96" s="160" t="str">
        <f>TEXT(Table1[[#This Row],[التاريخ ]],"DDD")</f>
        <v>Wed</v>
      </c>
      <c r="C96" s="160" t="str">
        <f>IF(Table1[[#This Row],[التاريخ ]]="","",TEXT(Table1[[#This Row],[التاريخ ]],"mmm"))</f>
        <v>Jan</v>
      </c>
      <c r="D96" s="161" t="s">
        <v>644</v>
      </c>
      <c r="E96" s="161" t="s">
        <v>648</v>
      </c>
      <c r="F96" s="162">
        <v>2115</v>
      </c>
      <c r="G96" s="226">
        <v>365</v>
      </c>
      <c r="H96" s="227" t="str">
        <f>VLOOKUP(G:G,'قاعدة بيانات  '!K:L,2,0)</f>
        <v>محمد رضا سعد حسن الشرقاوى</v>
      </c>
      <c r="I96" s="226" t="s">
        <v>198</v>
      </c>
      <c r="J96" s="226" t="s">
        <v>301</v>
      </c>
      <c r="K96" s="226" t="s">
        <v>127</v>
      </c>
      <c r="L96" s="164">
        <v>50</v>
      </c>
      <c r="M96" s="165"/>
      <c r="N96" s="165"/>
      <c r="Q96" s="166">
        <f>3230.78-Q97-Q98</f>
        <v>3206</v>
      </c>
      <c r="R96" s="163">
        <f>R95+Table1[[#This Row],[الوارد ]]-Table1[[#This Row],[المنصرف ]]</f>
        <v>147587.48301648599</v>
      </c>
      <c r="S96" s="226"/>
      <c r="T96" s="226"/>
    </row>
    <row r="97" spans="1:20">
      <c r="A97" s="237">
        <v>45672</v>
      </c>
      <c r="B97" s="160" t="str">
        <f>TEXT(Table1[[#This Row],[التاريخ ]],"DDD")</f>
        <v>Wed</v>
      </c>
      <c r="C97" s="160" t="str">
        <f>IF(Table1[[#This Row],[التاريخ ]]="","",TEXT(Table1[[#This Row],[التاريخ ]],"mmm"))</f>
        <v>Jan</v>
      </c>
      <c r="D97" s="161" t="s">
        <v>646</v>
      </c>
      <c r="E97" s="161" t="s">
        <v>648</v>
      </c>
      <c r="F97" s="162">
        <v>2115</v>
      </c>
      <c r="G97" s="226">
        <v>365</v>
      </c>
      <c r="H97" s="227" t="str">
        <f>VLOOKUP(G:G,'قاعدة بيانات  '!K:L,2,0)</f>
        <v>محمد رضا سعد حسن الشرقاوى</v>
      </c>
      <c r="I97" s="226" t="s">
        <v>198</v>
      </c>
      <c r="J97" s="226" t="s">
        <v>301</v>
      </c>
      <c r="K97" s="226" t="s">
        <v>115</v>
      </c>
      <c r="L97" s="164">
        <v>50</v>
      </c>
      <c r="M97" s="165"/>
      <c r="N97" s="165"/>
      <c r="Q97" s="166">
        <v>56.84</v>
      </c>
      <c r="R97" s="163">
        <f>R96+Table1[[#This Row],[الوارد ]]-Table1[[#This Row],[المنصرف ]]</f>
        <v>147530.64301648599</v>
      </c>
      <c r="S97" s="226"/>
      <c r="T97" s="226"/>
    </row>
    <row r="98" spans="1:20">
      <c r="A98" s="237">
        <v>45672</v>
      </c>
      <c r="B98" s="160" t="str">
        <f>TEXT(Table1[[#This Row],[التاريخ ]],"DDD")</f>
        <v>Wed</v>
      </c>
      <c r="C98" s="160" t="str">
        <f>IF(Table1[[#This Row],[التاريخ ]]="","",TEXT(Table1[[#This Row],[التاريخ ]],"mmm"))</f>
        <v>Jan</v>
      </c>
      <c r="D98" s="161" t="s">
        <v>647</v>
      </c>
      <c r="E98" s="161" t="s">
        <v>648</v>
      </c>
      <c r="F98" s="162">
        <v>2115</v>
      </c>
      <c r="G98" s="226">
        <v>365</v>
      </c>
      <c r="H98" s="227" t="str">
        <f>VLOOKUP(G:G,'قاعدة بيانات  '!K:L,2,0)</f>
        <v>محمد رضا سعد حسن الشرقاوى</v>
      </c>
      <c r="I98" s="226" t="s">
        <v>198</v>
      </c>
      <c r="J98" s="226" t="s">
        <v>301</v>
      </c>
      <c r="K98" s="226" t="s">
        <v>384</v>
      </c>
      <c r="L98" s="164">
        <v>50</v>
      </c>
      <c r="M98" s="165"/>
      <c r="N98" s="165"/>
      <c r="Q98" s="166">
        <v>-32.06</v>
      </c>
      <c r="R98" s="163">
        <f>R97+Table1[[#This Row],[الوارد ]]-Table1[[#This Row],[المنصرف ]]</f>
        <v>147562.70301648599</v>
      </c>
      <c r="S98" s="226"/>
      <c r="T98" s="226"/>
    </row>
    <row r="99" spans="1:20">
      <c r="A99" s="237">
        <v>45672</v>
      </c>
      <c r="B99" s="160" t="str">
        <f>TEXT(Table1[[#This Row],[التاريخ ]],"DDD")</f>
        <v>Wed</v>
      </c>
      <c r="C99" s="160" t="str">
        <f>IF(Table1[[#This Row],[التاريخ ]]="","",TEXT(Table1[[#This Row],[التاريخ ]],"mmm"))</f>
        <v>Jan</v>
      </c>
      <c r="D99" s="161" t="s">
        <v>645</v>
      </c>
      <c r="G99" s="226">
        <v>365</v>
      </c>
      <c r="H99" s="227" t="str">
        <f>VLOOKUP(G:G,'قاعدة بيانات  '!K:L,2,0)</f>
        <v>محمد رضا سعد حسن الشرقاوى</v>
      </c>
      <c r="I99" s="226" t="s">
        <v>198</v>
      </c>
      <c r="J99" s="226" t="s">
        <v>301</v>
      </c>
      <c r="K99" s="226" t="s">
        <v>116</v>
      </c>
      <c r="L99" s="164">
        <v>50</v>
      </c>
      <c r="M99" s="165"/>
      <c r="N99" s="165"/>
      <c r="Q99" s="166">
        <v>114</v>
      </c>
      <c r="R99" s="163">
        <f>R98+Table1[[#This Row],[الوارد ]]-Table1[[#This Row],[المنصرف ]]</f>
        <v>147448.70301648599</v>
      </c>
      <c r="S99" s="226"/>
      <c r="T99" s="226"/>
    </row>
    <row r="100" spans="1:20">
      <c r="A100" s="237">
        <v>45672</v>
      </c>
      <c r="B100" s="160" t="str">
        <f>TEXT(Table1[[#This Row],[التاريخ ]],"DDD")</f>
        <v>Wed</v>
      </c>
      <c r="C100" s="160" t="str">
        <f>IF(Table1[[#This Row],[التاريخ ]]="","",TEXT(Table1[[#This Row],[التاريخ ]],"mmm"))</f>
        <v>Jan</v>
      </c>
      <c r="D100" s="161" t="s">
        <v>649</v>
      </c>
      <c r="E100" s="161" t="s">
        <v>67</v>
      </c>
      <c r="F100" s="162">
        <v>95419150125</v>
      </c>
      <c r="G100" s="226">
        <v>515</v>
      </c>
      <c r="H100" s="227" t="str">
        <f>VLOOKUP(G:G,'قاعدة بيانات  '!K:L,2,0)</f>
        <v>محمد عبدالمنعم عبدالحليم إبراهيم</v>
      </c>
      <c r="I100" s="226" t="s">
        <v>198</v>
      </c>
      <c r="J100" s="226" t="s">
        <v>301</v>
      </c>
      <c r="K100" s="226" t="s">
        <v>123</v>
      </c>
      <c r="L100" s="164">
        <v>51</v>
      </c>
      <c r="M100" s="165"/>
      <c r="N100" s="165"/>
      <c r="Q100" s="166">
        <v>4043.01755</v>
      </c>
      <c r="R100" s="163">
        <f>R99+Table1[[#This Row],[الوارد ]]-Table1[[#This Row],[المنصرف ]]</f>
        <v>143405.685466486</v>
      </c>
      <c r="S100" s="226"/>
      <c r="T100" s="226"/>
    </row>
    <row r="101" spans="1:20">
      <c r="A101" s="237">
        <v>45672</v>
      </c>
      <c r="B101" s="160" t="str">
        <f>TEXT(Table1[[#This Row],[التاريخ ]],"DDD")</f>
        <v>Wed</v>
      </c>
      <c r="C101" s="160" t="str">
        <f>IF(Table1[[#This Row],[التاريخ ]]="","",TEXT(Table1[[#This Row],[التاريخ ]],"mmm"))</f>
        <v>Jan</v>
      </c>
      <c r="D101" s="161" t="s">
        <v>877</v>
      </c>
      <c r="E101" s="161" t="s">
        <v>67</v>
      </c>
      <c r="F101" s="162">
        <v>95419150125</v>
      </c>
      <c r="G101" s="226">
        <v>515</v>
      </c>
      <c r="H101" s="227" t="str">
        <f>VLOOKUP(G:G,'قاعدة بيانات  '!K:L,2,0)</f>
        <v>محمد عبدالمنعم عبدالحليم إبراهيم</v>
      </c>
      <c r="I101" s="226" t="s">
        <v>198</v>
      </c>
      <c r="J101" s="226" t="s">
        <v>301</v>
      </c>
      <c r="K101" s="226" t="s">
        <v>115</v>
      </c>
      <c r="L101" s="164">
        <v>51</v>
      </c>
      <c r="M101" s="165"/>
      <c r="N101" s="165"/>
      <c r="Q101" s="166">
        <v>98.98245</v>
      </c>
      <c r="R101" s="163">
        <f>R100+Table1[[#This Row],[الوارد ]]-Table1[[#This Row],[المنصرف ]]</f>
        <v>143306.70301648599</v>
      </c>
      <c r="S101" s="226"/>
      <c r="T101" s="226"/>
    </row>
    <row r="102" spans="1:20">
      <c r="A102" s="237">
        <v>45672</v>
      </c>
      <c r="B102" s="160" t="str">
        <f>TEXT(Table1[[#This Row],[التاريخ ]],"DDD")</f>
        <v>Wed</v>
      </c>
      <c r="C102" s="160" t="str">
        <f>IF(Table1[[#This Row],[التاريخ ]]="","",TEXT(Table1[[#This Row],[التاريخ ]],"mmm"))</f>
        <v>Jan</v>
      </c>
      <c r="D102" s="161" t="s">
        <v>650</v>
      </c>
      <c r="G102" s="226">
        <v>515</v>
      </c>
      <c r="H102" s="227" t="str">
        <f>VLOOKUP(G:G,'قاعدة بيانات  '!K:L,2,0)</f>
        <v>محمد عبدالمنعم عبدالحليم إبراهيم</v>
      </c>
      <c r="I102" s="226" t="s">
        <v>198</v>
      </c>
      <c r="J102" s="226" t="s">
        <v>301</v>
      </c>
      <c r="K102" s="226" t="s">
        <v>116</v>
      </c>
      <c r="L102" s="164">
        <v>51</v>
      </c>
      <c r="M102" s="165"/>
      <c r="N102" s="165"/>
      <c r="Q102" s="166">
        <v>50</v>
      </c>
      <c r="R102" s="163">
        <f>R101+Table1[[#This Row],[الوارد ]]-Table1[[#This Row],[المنصرف ]]</f>
        <v>143256.70301648599</v>
      </c>
      <c r="S102" s="226"/>
      <c r="T102" s="226"/>
    </row>
    <row r="103" spans="1:20">
      <c r="A103" s="237">
        <v>45672</v>
      </c>
      <c r="B103" s="160" t="str">
        <f>TEXT(Table1[[#This Row],[التاريخ ]],"DDD")</f>
        <v>Wed</v>
      </c>
      <c r="C103" s="160" t="str">
        <f>IF(Table1[[#This Row],[التاريخ ]]="","",TEXT(Table1[[#This Row],[التاريخ ]],"mmm"))</f>
        <v>Jan</v>
      </c>
      <c r="D103" s="161" t="s">
        <v>437</v>
      </c>
      <c r="G103" s="226">
        <v>544</v>
      </c>
      <c r="H103" s="227" t="str">
        <f>VLOOKUP(G:G,'قاعدة بيانات  '!K:L,2,0)</f>
        <v>احمد منصور سليم منصور سليم</v>
      </c>
      <c r="I103" s="226" t="s">
        <v>439</v>
      </c>
      <c r="J103" s="226" t="s">
        <v>112</v>
      </c>
      <c r="K103" s="226" t="s">
        <v>116</v>
      </c>
      <c r="L103" s="164">
        <v>52</v>
      </c>
      <c r="M103" s="165"/>
      <c r="N103" s="165"/>
      <c r="Q103" s="166">
        <f>44+47+35</f>
        <v>126</v>
      </c>
      <c r="R103" s="163">
        <f>R102+Table1[[#This Row],[الوارد ]]-Table1[[#This Row],[المنصرف ]]</f>
        <v>143130.70301648599</v>
      </c>
      <c r="S103" s="226"/>
      <c r="T103" s="226"/>
    </row>
    <row r="104" spans="1:20">
      <c r="A104" s="237">
        <v>45672</v>
      </c>
      <c r="B104" s="160" t="str">
        <f>TEXT(Table1[[#This Row],[التاريخ ]],"DDD")</f>
        <v>Wed</v>
      </c>
      <c r="C104" s="160" t="str">
        <f>IF(Table1[[#This Row],[التاريخ ]]="","",TEXT(Table1[[#This Row],[التاريخ ]],"mmm"))</f>
        <v>Jan</v>
      </c>
      <c r="D104" s="161" t="s">
        <v>437</v>
      </c>
      <c r="G104" s="226">
        <v>544</v>
      </c>
      <c r="H104" s="227" t="str">
        <f>VLOOKUP(G:G,'قاعدة بيانات  '!K:L,2,0)</f>
        <v>احمد منصور سليم منصور سليم</v>
      </c>
      <c r="I104" s="226" t="s">
        <v>425</v>
      </c>
      <c r="J104" s="226" t="s">
        <v>112</v>
      </c>
      <c r="K104" s="226" t="s">
        <v>116</v>
      </c>
      <c r="L104" s="164">
        <v>52</v>
      </c>
      <c r="M104" s="165"/>
      <c r="N104" s="165"/>
      <c r="Q104" s="166">
        <f>44+35</f>
        <v>79</v>
      </c>
      <c r="R104" s="163">
        <f>R103+Table1[[#This Row],[الوارد ]]-Table1[[#This Row],[المنصرف ]]</f>
        <v>143051.70301648599</v>
      </c>
      <c r="S104" s="226"/>
      <c r="T104" s="226"/>
    </row>
    <row r="105" spans="1:20">
      <c r="A105" s="237">
        <v>45672</v>
      </c>
      <c r="B105" s="160" t="str">
        <f>TEXT(Table1[[#This Row],[التاريخ ]],"DDD")</f>
        <v>Wed</v>
      </c>
      <c r="C105" s="160" t="str">
        <f>IF(Table1[[#This Row],[التاريخ ]]="","",TEXT(Table1[[#This Row],[التاريخ ]],"mmm"))</f>
        <v>Jan</v>
      </c>
      <c r="D105" s="161" t="s">
        <v>437</v>
      </c>
      <c r="G105" s="226">
        <v>544</v>
      </c>
      <c r="H105" s="227" t="str">
        <f>VLOOKUP(G:G,'قاعدة بيانات  '!K:L,2,0)</f>
        <v>احمد منصور سليم منصور سليم</v>
      </c>
      <c r="I105" s="226" t="s">
        <v>167</v>
      </c>
      <c r="J105" s="226" t="s">
        <v>301</v>
      </c>
      <c r="K105" s="226" t="s">
        <v>116</v>
      </c>
      <c r="L105" s="164">
        <v>52</v>
      </c>
      <c r="M105" s="165"/>
      <c r="N105" s="165"/>
      <c r="Q105" s="166">
        <v>59</v>
      </c>
      <c r="R105" s="163">
        <f>R104+Table1[[#This Row],[الوارد ]]-Table1[[#This Row],[المنصرف ]]</f>
        <v>142992.70301648599</v>
      </c>
      <c r="S105" s="226"/>
      <c r="T105" s="226"/>
    </row>
    <row r="106" spans="1:20">
      <c r="A106" s="237">
        <v>45672</v>
      </c>
      <c r="B106" s="160" t="str">
        <f>TEXT(Table1[[#This Row],[التاريخ ]],"DDD")</f>
        <v>Wed</v>
      </c>
      <c r="C106" s="160" t="str">
        <f>IF(Table1[[#This Row],[التاريخ ]]="","",TEXT(Table1[[#This Row],[التاريخ ]],"mmm"))</f>
        <v>Jan</v>
      </c>
      <c r="D106" s="161" t="s">
        <v>651</v>
      </c>
      <c r="G106" s="226">
        <v>546</v>
      </c>
      <c r="H106" s="227" t="str">
        <f>VLOOKUP(G:G,'قاعدة بيانات  '!K:L,2,0)</f>
        <v>احمد عادل محمد احمد</v>
      </c>
      <c r="I106" s="226" t="s">
        <v>425</v>
      </c>
      <c r="J106" s="226" t="s">
        <v>112</v>
      </c>
      <c r="K106" s="226" t="s">
        <v>116</v>
      </c>
      <c r="L106" s="164">
        <v>53</v>
      </c>
      <c r="M106" s="165"/>
      <c r="N106" s="165"/>
      <c r="Q106" s="166">
        <f>59+28</f>
        <v>87</v>
      </c>
      <c r="R106" s="163">
        <f>R105+Table1[[#This Row],[الوارد ]]-Table1[[#This Row],[المنصرف ]]</f>
        <v>142905.70301648599</v>
      </c>
      <c r="S106" s="226"/>
      <c r="T106" s="226"/>
    </row>
    <row r="107" spans="1:20">
      <c r="A107" s="237">
        <v>45672</v>
      </c>
      <c r="B107" s="160" t="str">
        <f>TEXT(Table1[[#This Row],[التاريخ ]],"DDD")</f>
        <v>Wed</v>
      </c>
      <c r="C107" s="160" t="str">
        <f>IF(Table1[[#This Row],[التاريخ ]]="","",TEXT(Table1[[#This Row],[التاريخ ]],"mmm"))</f>
        <v>Jan</v>
      </c>
      <c r="D107" s="161" t="s">
        <v>651</v>
      </c>
      <c r="G107" s="226">
        <v>546</v>
      </c>
      <c r="H107" s="227" t="str">
        <f>VLOOKUP(G:G,'قاعدة بيانات  '!K:L,2,0)</f>
        <v>احمد عادل محمد احمد</v>
      </c>
      <c r="I107" s="226" t="s">
        <v>439</v>
      </c>
      <c r="J107" s="226" t="s">
        <v>112</v>
      </c>
      <c r="K107" s="226" t="s">
        <v>116</v>
      </c>
      <c r="L107" s="164">
        <v>53</v>
      </c>
      <c r="M107" s="165"/>
      <c r="N107" s="165"/>
      <c r="Q107" s="166">
        <f>48+80+266+34+62+55+62</f>
        <v>607</v>
      </c>
      <c r="R107" s="163">
        <f>R106+Table1[[#This Row],[الوارد ]]-Table1[[#This Row],[المنصرف ]]</f>
        <v>142298.70301648599</v>
      </c>
      <c r="S107" s="226"/>
      <c r="T107" s="226"/>
    </row>
    <row r="108" spans="1:20">
      <c r="A108" s="237">
        <v>45672</v>
      </c>
      <c r="B108" s="160" t="str">
        <f>TEXT(Table1[[#This Row],[التاريخ ]],"DDD")</f>
        <v>Wed</v>
      </c>
      <c r="C108" s="160" t="str">
        <f>IF(Table1[[#This Row],[التاريخ ]]="","",TEXT(Table1[[#This Row],[التاريخ ]],"mmm"))</f>
        <v>Jan</v>
      </c>
      <c r="D108" s="161" t="s">
        <v>652</v>
      </c>
      <c r="G108" s="226">
        <v>151</v>
      </c>
      <c r="H108" s="227" t="str">
        <f>VLOOKUP(G:G,'قاعدة بيانات  '!K:L,2,0)</f>
        <v xml:space="preserve">احمد عبد الباسط عبد السلام محمد </v>
      </c>
      <c r="I108" s="226" t="s">
        <v>198</v>
      </c>
      <c r="J108" s="226" t="s">
        <v>1113</v>
      </c>
      <c r="K108" s="226" t="s">
        <v>122</v>
      </c>
      <c r="L108" s="164">
        <v>54</v>
      </c>
      <c r="M108" s="165"/>
      <c r="N108" s="165"/>
      <c r="Q108" s="166">
        <v>445</v>
      </c>
      <c r="R108" s="163">
        <f>R107+Table1[[#This Row],[الوارد ]]-Table1[[#This Row],[المنصرف ]]</f>
        <v>141853.70301648599</v>
      </c>
      <c r="S108" s="226"/>
      <c r="T108" s="226"/>
    </row>
    <row r="109" spans="1:20">
      <c r="A109" s="237">
        <v>45672</v>
      </c>
      <c r="B109" s="160" t="str">
        <f>TEXT(Table1[[#This Row],[التاريخ ]],"DDD")</f>
        <v>Wed</v>
      </c>
      <c r="C109" s="160" t="str">
        <f>IF(Table1[[#This Row],[التاريخ ]]="","",TEXT(Table1[[#This Row],[التاريخ ]],"mmm"))</f>
        <v>Jan</v>
      </c>
      <c r="D109" s="161" t="s">
        <v>653</v>
      </c>
      <c r="G109" s="226">
        <v>151</v>
      </c>
      <c r="H109" s="227" t="str">
        <f>VLOOKUP(G:G,'قاعدة بيانات  '!K:L,2,0)</f>
        <v xml:space="preserve">احمد عبد الباسط عبد السلام محمد </v>
      </c>
      <c r="I109" s="226" t="s">
        <v>198</v>
      </c>
      <c r="J109" s="226" t="s">
        <v>1113</v>
      </c>
      <c r="K109" s="226" t="s">
        <v>120</v>
      </c>
      <c r="L109" s="164">
        <v>54</v>
      </c>
      <c r="M109" s="165"/>
      <c r="N109" s="165"/>
      <c r="Q109" s="166">
        <v>12</v>
      </c>
      <c r="R109" s="163">
        <f>R108+Table1[[#This Row],[الوارد ]]-Table1[[#This Row],[المنصرف ]]</f>
        <v>141841.70301648599</v>
      </c>
      <c r="S109" s="226"/>
      <c r="T109" s="226"/>
    </row>
    <row r="110" spans="1:20">
      <c r="A110" s="237">
        <v>45673</v>
      </c>
      <c r="B110" s="160" t="str">
        <f>TEXT(Table1[[#This Row],[التاريخ ]],"DDD")</f>
        <v>Thu</v>
      </c>
      <c r="C110" s="160" t="str">
        <f>IF(Table1[[#This Row],[التاريخ ]]="","",TEXT(Table1[[#This Row],[التاريخ ]],"mmm"))</f>
        <v>Jan</v>
      </c>
      <c r="D110" s="161" t="s">
        <v>655</v>
      </c>
      <c r="G110" s="226">
        <v>1</v>
      </c>
      <c r="H110" s="227" t="str">
        <f>VLOOKUP(G:G,'قاعدة بيانات  '!K:L,2,0)</f>
        <v>احمد شريف سليمان امين سليمان</v>
      </c>
      <c r="I110" s="226" t="s">
        <v>99</v>
      </c>
      <c r="J110" s="226" t="s">
        <v>1113</v>
      </c>
      <c r="K110" s="226" t="s">
        <v>133</v>
      </c>
      <c r="L110" s="164">
        <v>55</v>
      </c>
      <c r="M110" s="165"/>
      <c r="N110" s="165"/>
      <c r="Q110" s="166">
        <v>2758.08</v>
      </c>
      <c r="R110" s="163">
        <f>R109+Table1[[#This Row],[الوارد ]]-Table1[[#This Row],[المنصرف ]]</f>
        <v>139083.623016486</v>
      </c>
      <c r="S110" s="226"/>
      <c r="T110" s="226"/>
    </row>
    <row r="111" spans="1:20" ht="15" customHeight="1">
      <c r="A111" s="237">
        <v>45673</v>
      </c>
      <c r="B111" s="160" t="str">
        <f>TEXT(Table1[[#This Row],[التاريخ ]],"DDD")</f>
        <v>Thu</v>
      </c>
      <c r="C111" s="160" t="str">
        <f>IF(Table1[[#This Row],[التاريخ ]]="","",TEXT(Table1[[#This Row],[التاريخ ]],"mmm"))</f>
        <v>Jan</v>
      </c>
      <c r="D111" s="161" t="s">
        <v>610</v>
      </c>
      <c r="G111" s="226">
        <v>119</v>
      </c>
      <c r="H111" s="227" t="str">
        <f>VLOOKUP(G:G,'قاعدة بيانات  '!K:L,2,0)</f>
        <v>مصطفى جميل عبد الفتاح محمد شاهين</v>
      </c>
      <c r="I111" s="226" t="s">
        <v>107</v>
      </c>
      <c r="J111" s="226" t="s">
        <v>1114</v>
      </c>
      <c r="K111" s="226" t="s">
        <v>116</v>
      </c>
      <c r="L111" s="164">
        <v>56</v>
      </c>
      <c r="M111" s="165"/>
      <c r="N111" s="165"/>
      <c r="Q111" s="166">
        <v>180</v>
      </c>
      <c r="R111" s="163">
        <f>R110+Table1[[#This Row],[الوارد ]]-Table1[[#This Row],[المنصرف ]]</f>
        <v>138903.623016486</v>
      </c>
      <c r="S111" s="226"/>
      <c r="T111" s="226"/>
    </row>
    <row r="112" spans="1:20">
      <c r="A112" s="237">
        <v>45673</v>
      </c>
      <c r="B112" s="160" t="str">
        <f>TEXT(Table1[[#This Row],[التاريخ ]],"DDD")</f>
        <v>Thu</v>
      </c>
      <c r="C112" s="160" t="str">
        <f>IF(Table1[[#This Row],[التاريخ ]]="","",TEXT(Table1[[#This Row],[التاريخ ]],"mmm"))</f>
        <v>Jan</v>
      </c>
      <c r="D112" s="161" t="s">
        <v>657</v>
      </c>
      <c r="G112" s="226">
        <v>545</v>
      </c>
      <c r="H112" s="227" t="str">
        <f>VLOOKUP(G:G,'قاعدة بيانات  '!K:L,2,0)</f>
        <v>محمد الظافر محمد رفعت احمد إبراهيم</v>
      </c>
      <c r="I112" s="226" t="s">
        <v>439</v>
      </c>
      <c r="J112" s="226" t="s">
        <v>112</v>
      </c>
      <c r="K112" s="226" t="s">
        <v>116</v>
      </c>
      <c r="L112" s="164">
        <v>57</v>
      </c>
      <c r="M112" s="165"/>
      <c r="N112" s="165"/>
      <c r="Q112" s="166">
        <f>199+71</f>
        <v>270</v>
      </c>
      <c r="R112" s="163">
        <f>R111+Table1[[#This Row],[الوارد ]]-Table1[[#This Row],[المنصرف ]]</f>
        <v>138633.623016486</v>
      </c>
      <c r="S112" s="226"/>
      <c r="T112" s="226"/>
    </row>
    <row r="113" spans="1:20">
      <c r="A113" s="237">
        <v>45673</v>
      </c>
      <c r="B113" s="160" t="str">
        <f>TEXT(Table1[[#This Row],[التاريخ ]],"DDD")</f>
        <v>Thu</v>
      </c>
      <c r="C113" s="160" t="str">
        <f>IF(Table1[[#This Row],[التاريخ ]]="","",TEXT(Table1[[#This Row],[التاريخ ]],"mmm"))</f>
        <v>Jan</v>
      </c>
      <c r="D113" s="161" t="s">
        <v>657</v>
      </c>
      <c r="G113" s="226">
        <v>545</v>
      </c>
      <c r="H113" s="227" t="str">
        <f>VLOOKUP(G:G,'قاعدة بيانات  '!K:L,2,0)</f>
        <v>محمد الظافر محمد رفعت احمد إبراهيم</v>
      </c>
      <c r="I113" s="226" t="s">
        <v>425</v>
      </c>
      <c r="J113" s="226" t="s">
        <v>112</v>
      </c>
      <c r="K113" s="226" t="s">
        <v>116</v>
      </c>
      <c r="L113" s="164">
        <v>57</v>
      </c>
      <c r="M113" s="165"/>
      <c r="N113" s="165"/>
      <c r="Q113" s="166">
        <v>392</v>
      </c>
      <c r="R113" s="163">
        <f>R112+Table1[[#This Row],[الوارد ]]-Table1[[#This Row],[المنصرف ]]</f>
        <v>138241.623016486</v>
      </c>
      <c r="S113" s="226"/>
      <c r="T113" s="226"/>
    </row>
    <row r="114" spans="1:20">
      <c r="A114" s="237">
        <v>45673</v>
      </c>
      <c r="B114" s="160" t="str">
        <f>TEXT(Table1[[#This Row],[التاريخ ]],"DDD")</f>
        <v>Thu</v>
      </c>
      <c r="C114" s="160" t="str">
        <f>IF(Table1[[#This Row],[التاريخ ]]="","",TEXT(Table1[[#This Row],[التاريخ ]],"mmm"))</f>
        <v>Jan</v>
      </c>
      <c r="D114" s="161" t="s">
        <v>657</v>
      </c>
      <c r="G114" s="226">
        <v>545</v>
      </c>
      <c r="H114" s="227" t="str">
        <f>VLOOKUP(G:G,'قاعدة بيانات  '!K:L,2,0)</f>
        <v>محمد الظافر محمد رفعت احمد إبراهيم</v>
      </c>
      <c r="I114" s="226" t="s">
        <v>439</v>
      </c>
      <c r="J114" s="226" t="s">
        <v>112</v>
      </c>
      <c r="K114" s="226" t="s">
        <v>120</v>
      </c>
      <c r="L114" s="164">
        <v>58</v>
      </c>
      <c r="M114" s="165"/>
      <c r="N114" s="165"/>
      <c r="Q114" s="166">
        <v>31.56</v>
      </c>
      <c r="R114" s="163">
        <f>R113+Table1[[#This Row],[الوارد ]]-Table1[[#This Row],[المنصرف ]]</f>
        <v>138210.063016486</v>
      </c>
      <c r="S114" s="226"/>
      <c r="T114" s="226"/>
    </row>
    <row r="115" spans="1:20">
      <c r="A115" s="237">
        <v>45675</v>
      </c>
      <c r="B115" s="160" t="str">
        <f>TEXT(Table1[[#This Row],[التاريخ ]],"DDD")</f>
        <v>Sat</v>
      </c>
      <c r="C115" s="160" t="str">
        <f>IF(Table1[[#This Row],[التاريخ ]]="","",TEXT(Table1[[#This Row],[التاريخ ]],"mmm"))</f>
        <v>Jan</v>
      </c>
      <c r="D115" s="161" t="s">
        <v>658</v>
      </c>
      <c r="G115" s="226">
        <v>125</v>
      </c>
      <c r="H115" s="227" t="str">
        <f>VLOOKUP(G:G,'قاعدة بيانات  '!K:L,2,0)</f>
        <v>زينب محمود محمد محمود صالح</v>
      </c>
      <c r="I115" s="226" t="s">
        <v>108</v>
      </c>
      <c r="J115" s="226" t="s">
        <v>1114</v>
      </c>
      <c r="K115" s="226" t="s">
        <v>133</v>
      </c>
      <c r="L115" s="164">
        <v>59</v>
      </c>
      <c r="M115" s="165"/>
      <c r="N115" s="165"/>
      <c r="Q115" s="166">
        <v>250</v>
      </c>
      <c r="R115" s="163">
        <f>R114+Table1[[#This Row],[الوارد ]]-Table1[[#This Row],[المنصرف ]]</f>
        <v>137960.063016486</v>
      </c>
      <c r="S115" s="226"/>
      <c r="T115" s="226"/>
    </row>
    <row r="116" spans="1:20">
      <c r="A116" s="237">
        <v>45675</v>
      </c>
      <c r="B116" s="160" t="str">
        <f>TEXT(Table1[[#This Row],[التاريخ ]],"DDD")</f>
        <v>Sat</v>
      </c>
      <c r="C116" s="160" t="str">
        <f>IF(Table1[[#This Row],[التاريخ ]]="","",TEXT(Table1[[#This Row],[التاريخ ]],"mmm"))</f>
        <v>Jan</v>
      </c>
      <c r="D116" s="161" t="s">
        <v>609</v>
      </c>
      <c r="G116" s="226">
        <v>548</v>
      </c>
      <c r="H116" s="227" t="str">
        <f>VLOOKUP(G:G,'قاعدة بيانات  '!K:L,2,0)</f>
        <v>احمد حسين رمضان محمد ربيع</v>
      </c>
      <c r="I116" s="226" t="s">
        <v>107</v>
      </c>
      <c r="J116" s="226" t="s">
        <v>1114</v>
      </c>
      <c r="K116" s="226" t="s">
        <v>116</v>
      </c>
      <c r="L116" s="164">
        <v>60</v>
      </c>
      <c r="M116" s="165"/>
      <c r="N116" s="165"/>
      <c r="Q116" s="166">
        <v>40</v>
      </c>
      <c r="R116" s="163">
        <f>R115+Table1[[#This Row],[الوارد ]]-Table1[[#This Row],[المنصرف ]]</f>
        <v>137920.063016486</v>
      </c>
      <c r="S116" s="226"/>
      <c r="T116" s="226"/>
    </row>
    <row r="117" spans="1:20">
      <c r="A117" s="237">
        <v>45675</v>
      </c>
      <c r="B117" s="160" t="str">
        <f>TEXT(Table1[[#This Row],[التاريخ ]],"DDD")</f>
        <v>Sat</v>
      </c>
      <c r="C117" s="160" t="str">
        <f>IF(Table1[[#This Row],[التاريخ ]]="","",TEXT(Table1[[#This Row],[التاريخ ]],"mmm"))</f>
        <v>Jan</v>
      </c>
      <c r="D117" s="161" t="s">
        <v>654</v>
      </c>
      <c r="G117" s="226">
        <v>119</v>
      </c>
      <c r="H117" s="227" t="str">
        <f>VLOOKUP(G:G,'قاعدة بيانات  '!K:L,2,0)</f>
        <v>مصطفى جميل عبد الفتاح محمد شاهين</v>
      </c>
      <c r="I117" s="226" t="s">
        <v>167</v>
      </c>
      <c r="J117" s="226" t="s">
        <v>1114</v>
      </c>
      <c r="K117" s="226" t="s">
        <v>116</v>
      </c>
      <c r="L117" s="164">
        <v>61</v>
      </c>
      <c r="M117" s="165"/>
      <c r="N117" s="165"/>
      <c r="Q117" s="166">
        <v>50</v>
      </c>
      <c r="R117" s="163">
        <f>R116+Table1[[#This Row],[الوارد ]]-Table1[[#This Row],[المنصرف ]]</f>
        <v>137870.063016486</v>
      </c>
      <c r="S117" s="226"/>
      <c r="T117" s="226"/>
    </row>
    <row r="118" spans="1:20">
      <c r="A118" s="237">
        <v>45675</v>
      </c>
      <c r="B118" s="160" t="str">
        <f>TEXT(Table1[[#This Row],[التاريخ ]],"DDD")</f>
        <v>Sat</v>
      </c>
      <c r="C118" s="160" t="str">
        <f>IF(Table1[[#This Row],[التاريخ ]]="","",TEXT(Table1[[#This Row],[التاريخ ]],"mmm"))</f>
        <v>Jan</v>
      </c>
      <c r="D118" s="161" t="s">
        <v>667</v>
      </c>
      <c r="G118" s="226">
        <v>151</v>
      </c>
      <c r="H118" s="227" t="str">
        <f>VLOOKUP(G:G,'قاعدة بيانات  '!K:L,2,0)</f>
        <v xml:space="preserve">احمد عبد الباسط عبد السلام محمد </v>
      </c>
      <c r="I118" s="226" t="s">
        <v>167</v>
      </c>
      <c r="J118" s="226" t="s">
        <v>301</v>
      </c>
      <c r="K118" s="226" t="s">
        <v>140</v>
      </c>
      <c r="L118" s="164">
        <v>62</v>
      </c>
      <c r="M118" s="165"/>
      <c r="N118" s="165"/>
      <c r="P118" s="163">
        <v>30000</v>
      </c>
      <c r="Q118" s="166"/>
      <c r="R118" s="163">
        <f>R117+Table1[[#This Row],[الوارد ]]-Table1[[#This Row],[المنصرف ]]</f>
        <v>167870.063016486</v>
      </c>
      <c r="S118" s="226"/>
      <c r="T118" s="226"/>
    </row>
    <row r="119" spans="1:20">
      <c r="A119" s="237">
        <v>45676</v>
      </c>
      <c r="B119" s="160" t="str">
        <f>TEXT(Table1[[#This Row],[التاريخ ]],"DDD")</f>
        <v>Sun</v>
      </c>
      <c r="C119" s="160" t="str">
        <f>IF(Table1[[#This Row],[التاريخ ]]="","",TEXT(Table1[[#This Row],[التاريخ ]],"mmm"))</f>
        <v>Jan</v>
      </c>
      <c r="D119" s="161" t="s">
        <v>659</v>
      </c>
      <c r="G119" s="226">
        <v>365</v>
      </c>
      <c r="H119" s="227" t="str">
        <f>VLOOKUP(G:G,'قاعدة بيانات  '!K:L,2,0)</f>
        <v>محمد رضا سعد حسن الشرقاوى</v>
      </c>
      <c r="I119" s="226" t="s">
        <v>198</v>
      </c>
      <c r="J119" s="226" t="s">
        <v>301</v>
      </c>
      <c r="K119" s="226" t="s">
        <v>122</v>
      </c>
      <c r="L119" s="164">
        <v>63</v>
      </c>
      <c r="M119" s="165"/>
      <c r="N119" s="165"/>
      <c r="Q119" s="166">
        <v>365</v>
      </c>
      <c r="R119" s="163">
        <f>R118+Table1[[#This Row],[الوارد ]]-Table1[[#This Row],[المنصرف ]]</f>
        <v>167505.063016486</v>
      </c>
      <c r="S119" s="226"/>
      <c r="T119" s="226"/>
    </row>
    <row r="120" spans="1:20">
      <c r="A120" s="237">
        <v>45676</v>
      </c>
      <c r="B120" s="160" t="str">
        <f>TEXT(Table1[[#This Row],[التاريخ ]],"DDD")</f>
        <v>Sun</v>
      </c>
      <c r="C120" s="160" t="str">
        <f>IF(Table1[[#This Row],[التاريخ ]]="","",TEXT(Table1[[#This Row],[التاريخ ]],"mmm"))</f>
        <v>Jan</v>
      </c>
      <c r="D120" s="161" t="s">
        <v>605</v>
      </c>
      <c r="G120" s="226">
        <v>10</v>
      </c>
      <c r="H120" s="227" t="str">
        <f>VLOOKUP(G:G,'قاعدة بيانات  '!K:L,2,0)</f>
        <v>عبد المنعم مجدى عبدربه محمد هلهل</v>
      </c>
      <c r="I120" s="226" t="s">
        <v>167</v>
      </c>
      <c r="J120" s="226" t="s">
        <v>301</v>
      </c>
      <c r="K120" s="226" t="s">
        <v>128</v>
      </c>
      <c r="L120" s="164">
        <v>64</v>
      </c>
      <c r="M120" s="165"/>
      <c r="N120" s="165"/>
      <c r="Q120" s="166">
        <v>65</v>
      </c>
      <c r="R120" s="163">
        <f>R119+Table1[[#This Row],[الوارد ]]-Table1[[#This Row],[المنصرف ]]</f>
        <v>167440.063016486</v>
      </c>
      <c r="S120" s="226"/>
      <c r="T120" s="226"/>
    </row>
    <row r="121" spans="1:20">
      <c r="A121" s="237">
        <v>45676</v>
      </c>
      <c r="B121" s="160" t="str">
        <f>TEXT(Table1[[#This Row],[التاريخ ]],"DDD")</f>
        <v>Sun</v>
      </c>
      <c r="C121" s="160" t="str">
        <f>IF(Table1[[#This Row],[التاريخ ]]="","",TEXT(Table1[[#This Row],[التاريخ ]],"mmm"))</f>
        <v>Jan</v>
      </c>
      <c r="D121" s="161" t="s">
        <v>660</v>
      </c>
      <c r="G121" s="226">
        <v>10</v>
      </c>
      <c r="H121" s="227" t="str">
        <f>VLOOKUP(G:G,'قاعدة بيانات  '!K:L,2,0)</f>
        <v>عبد المنعم مجدى عبدربه محمد هلهل</v>
      </c>
      <c r="I121" s="226" t="s">
        <v>392</v>
      </c>
      <c r="J121" s="226" t="s">
        <v>301</v>
      </c>
      <c r="K121" s="226" t="s">
        <v>128</v>
      </c>
      <c r="L121" s="164">
        <v>65</v>
      </c>
      <c r="M121" s="165"/>
      <c r="N121" s="165"/>
      <c r="Q121" s="166">
        <v>790</v>
      </c>
      <c r="R121" s="163">
        <f>R120+Table1[[#This Row],[الوارد ]]-Table1[[#This Row],[المنصرف ]]</f>
        <v>166650.063016486</v>
      </c>
      <c r="S121" s="226"/>
      <c r="T121" s="226"/>
    </row>
    <row r="122" spans="1:20">
      <c r="A122" s="237">
        <v>45676</v>
      </c>
      <c r="B122" s="160" t="str">
        <f>TEXT(Table1[[#This Row],[التاريخ ]],"DDD")</f>
        <v>Sun</v>
      </c>
      <c r="C122" s="160" t="str">
        <f>IF(Table1[[#This Row],[التاريخ ]]="","",TEXT(Table1[[#This Row],[التاريخ ]],"mmm"))</f>
        <v>Jan</v>
      </c>
      <c r="D122" s="161" t="s">
        <v>661</v>
      </c>
      <c r="G122" s="226">
        <v>543</v>
      </c>
      <c r="H122" s="227" t="str">
        <f>VLOOKUP(G:G,'قاعدة بيانات  '!K:L,2,0)</f>
        <v xml:space="preserve">مياده صلاح خالد عبدالعليم </v>
      </c>
      <c r="I122" s="226" t="s">
        <v>198</v>
      </c>
      <c r="J122" s="226" t="s">
        <v>301</v>
      </c>
      <c r="K122" s="226" t="s">
        <v>302</v>
      </c>
      <c r="L122" s="164">
        <v>66</v>
      </c>
      <c r="M122" s="165"/>
      <c r="N122" s="165"/>
      <c r="Q122" s="166">
        <v>570</v>
      </c>
      <c r="R122" s="163">
        <f>R121+Table1[[#This Row],[الوارد ]]-Table1[[#This Row],[المنصرف ]]</f>
        <v>166080.063016486</v>
      </c>
      <c r="S122" s="226"/>
      <c r="T122" s="226"/>
    </row>
    <row r="123" spans="1:20">
      <c r="A123" s="237">
        <v>45676</v>
      </c>
      <c r="B123" s="160" t="str">
        <f>TEXT(Table1[[#This Row],[التاريخ ]],"DDD")</f>
        <v>Sun</v>
      </c>
      <c r="C123" s="160" t="str">
        <f>IF(Table1[[#This Row],[التاريخ ]]="","",TEXT(Table1[[#This Row],[التاريخ ]],"mmm"))</f>
        <v>Jan</v>
      </c>
      <c r="D123" s="161" t="s">
        <v>662</v>
      </c>
      <c r="G123" s="226">
        <v>543</v>
      </c>
      <c r="H123" s="227" t="str">
        <f>VLOOKUP(G:G,'قاعدة بيانات  '!K:L,2,0)</f>
        <v xml:space="preserve">مياده صلاح خالد عبدالعليم </v>
      </c>
      <c r="I123" s="226" t="s">
        <v>198</v>
      </c>
      <c r="J123" s="226" t="s">
        <v>301</v>
      </c>
      <c r="K123" s="226" t="s">
        <v>116</v>
      </c>
      <c r="L123" s="164">
        <v>66</v>
      </c>
      <c r="M123" s="165"/>
      <c r="N123" s="165"/>
      <c r="Q123" s="166">
        <v>73</v>
      </c>
      <c r="R123" s="163">
        <f>R122+Table1[[#This Row],[الوارد ]]-Table1[[#This Row],[المنصرف ]]</f>
        <v>166007.063016486</v>
      </c>
      <c r="S123" s="226"/>
      <c r="T123" s="226"/>
    </row>
    <row r="124" spans="1:20">
      <c r="A124" s="237">
        <v>45676</v>
      </c>
      <c r="B124" s="160" t="str">
        <f>TEXT(Table1[[#This Row],[التاريخ ]],"DDD")</f>
        <v>Sun</v>
      </c>
      <c r="C124" s="160" t="str">
        <f>IF(Table1[[#This Row],[التاريخ ]]="","",TEXT(Table1[[#This Row],[التاريخ ]],"mmm"))</f>
        <v>Jan</v>
      </c>
      <c r="D124" s="161" t="s">
        <v>663</v>
      </c>
      <c r="E124" s="161" t="s">
        <v>677</v>
      </c>
      <c r="F124" s="162" t="s">
        <v>679</v>
      </c>
      <c r="G124" s="226">
        <v>151</v>
      </c>
      <c r="H124" s="227" t="str">
        <f>VLOOKUP(G:G,'قاعدة بيانات  '!K:L,2,0)</f>
        <v xml:space="preserve">احمد عبد الباسط عبد السلام محمد </v>
      </c>
      <c r="I124" s="226" t="s">
        <v>198</v>
      </c>
      <c r="J124" s="226" t="s">
        <v>301</v>
      </c>
      <c r="K124" s="226" t="s">
        <v>129</v>
      </c>
      <c r="L124" s="164">
        <v>67</v>
      </c>
      <c r="M124" s="165"/>
      <c r="N124" s="165"/>
      <c r="Q124" s="166">
        <v>2132</v>
      </c>
      <c r="R124" s="163">
        <f>R123+Table1[[#This Row],[الوارد ]]-Table1[[#This Row],[المنصرف ]]</f>
        <v>163875.063016486</v>
      </c>
      <c r="S124" s="226"/>
      <c r="T124" s="226"/>
    </row>
    <row r="125" spans="1:20">
      <c r="A125" s="237">
        <v>45676</v>
      </c>
      <c r="B125" s="160" t="str">
        <f>TEXT(Table1[[#This Row],[التاريخ ]],"DDD")</f>
        <v>Sun</v>
      </c>
      <c r="C125" s="160" t="str">
        <f>IF(Table1[[#This Row],[التاريخ ]]="","",TEXT(Table1[[#This Row],[التاريخ ]],"mmm"))</f>
        <v>Jan</v>
      </c>
      <c r="D125" s="161" t="s">
        <v>664</v>
      </c>
      <c r="E125" s="161" t="s">
        <v>677</v>
      </c>
      <c r="F125" s="162" t="s">
        <v>678</v>
      </c>
      <c r="G125" s="226">
        <v>151</v>
      </c>
      <c r="H125" s="227" t="str">
        <f>VLOOKUP(G:G,'قاعدة بيانات  '!K:L,2,0)</f>
        <v xml:space="preserve">احمد عبد الباسط عبد السلام محمد </v>
      </c>
      <c r="I125" s="226" t="s">
        <v>198</v>
      </c>
      <c r="J125" s="226" t="s">
        <v>1114</v>
      </c>
      <c r="K125" s="226" t="s">
        <v>129</v>
      </c>
      <c r="L125" s="164">
        <v>67</v>
      </c>
      <c r="M125" s="165"/>
      <c r="N125" s="165"/>
      <c r="Q125" s="166">
        <v>768</v>
      </c>
      <c r="R125" s="163">
        <f>R124+Table1[[#This Row],[الوارد ]]-Table1[[#This Row],[المنصرف ]]</f>
        <v>163107.063016486</v>
      </c>
      <c r="S125" s="226"/>
      <c r="T125" s="226"/>
    </row>
    <row r="126" spans="1:20">
      <c r="A126" s="237">
        <v>45676</v>
      </c>
      <c r="B126" s="160" t="str">
        <f>TEXT(Table1[[#This Row],[التاريخ ]],"DDD")</f>
        <v>Sun</v>
      </c>
      <c r="C126" s="160" t="str">
        <f>IF(Table1[[#This Row],[التاريخ ]]="","",TEXT(Table1[[#This Row],[التاريخ ]],"mmm"))</f>
        <v>Jan</v>
      </c>
      <c r="D126" s="161" t="s">
        <v>665</v>
      </c>
      <c r="G126" s="226">
        <v>461</v>
      </c>
      <c r="H126" s="227" t="str">
        <f>VLOOKUP(G:G,'قاعدة بيانات  '!K:L,2,0)</f>
        <v>كريم جمال السيد عبد الهادي</v>
      </c>
      <c r="I126" s="226" t="s">
        <v>107</v>
      </c>
      <c r="J126" s="226" t="s">
        <v>1114</v>
      </c>
      <c r="K126" s="226" t="s">
        <v>116</v>
      </c>
      <c r="L126" s="164">
        <v>68</v>
      </c>
      <c r="M126" s="165"/>
      <c r="N126" s="165"/>
      <c r="Q126" s="166">
        <v>100</v>
      </c>
      <c r="R126" s="163">
        <f>R125+Table1[[#This Row],[الوارد ]]-Table1[[#This Row],[المنصرف ]]</f>
        <v>163007.063016486</v>
      </c>
      <c r="S126" s="226"/>
      <c r="T126" s="226"/>
    </row>
    <row r="127" spans="1:20">
      <c r="A127" s="237">
        <v>45676</v>
      </c>
      <c r="B127" s="160" t="str">
        <f>TEXT(Table1[[#This Row],[التاريخ ]],"DDD")</f>
        <v>Sun</v>
      </c>
      <c r="C127" s="160" t="str">
        <f>IF(Table1[[#This Row],[التاريخ ]]="","",TEXT(Table1[[#This Row],[التاريخ ]],"mmm"))</f>
        <v>Jan</v>
      </c>
      <c r="D127" s="161" t="s">
        <v>419</v>
      </c>
      <c r="G127" s="226">
        <v>493</v>
      </c>
      <c r="H127" s="227" t="str">
        <f>VLOOKUP(G:G,'قاعدة بيانات  '!K:L,2,0)</f>
        <v>محمود محمد محمود محمد</v>
      </c>
      <c r="I127" s="226" t="s">
        <v>328</v>
      </c>
      <c r="J127" s="226" t="s">
        <v>112</v>
      </c>
      <c r="K127" s="226" t="s">
        <v>116</v>
      </c>
      <c r="L127" s="164">
        <v>69</v>
      </c>
      <c r="M127" s="165"/>
      <c r="N127" s="165"/>
      <c r="Q127" s="166">
        <v>98</v>
      </c>
      <c r="R127" s="163">
        <f>R126+Table1[[#This Row],[الوارد ]]-Table1[[#This Row],[المنصرف ]]</f>
        <v>162909.063016486</v>
      </c>
      <c r="S127" s="226"/>
      <c r="T127" s="226"/>
    </row>
    <row r="128" spans="1:20">
      <c r="A128" s="237">
        <v>45676</v>
      </c>
      <c r="B128" s="160" t="str">
        <f>TEXT(Table1[[#This Row],[التاريخ ]],"DDD")</f>
        <v>Sun</v>
      </c>
      <c r="C128" s="160" t="str">
        <f>IF(Table1[[#This Row],[التاريخ ]]="","",TEXT(Table1[[#This Row],[التاريخ ]],"mmm"))</f>
        <v>Jan</v>
      </c>
      <c r="D128" s="161" t="s">
        <v>419</v>
      </c>
      <c r="G128" s="226">
        <v>493</v>
      </c>
      <c r="H128" s="227" t="str">
        <f>VLOOKUP(G:G,'قاعدة بيانات  '!K:L,2,0)</f>
        <v>محمود محمد محمود محمد</v>
      </c>
      <c r="I128" s="226" t="s">
        <v>103</v>
      </c>
      <c r="J128" s="226" t="s">
        <v>112</v>
      </c>
      <c r="K128" s="226" t="s">
        <v>116</v>
      </c>
      <c r="L128" s="164">
        <v>69</v>
      </c>
      <c r="M128" s="165"/>
      <c r="N128" s="165"/>
      <c r="Q128" s="166">
        <f>11.5+62</f>
        <v>73.5</v>
      </c>
      <c r="R128" s="163">
        <f>R127+Table1[[#This Row],[الوارد ]]-Table1[[#This Row],[المنصرف ]]</f>
        <v>162835.563016486</v>
      </c>
      <c r="S128" s="226"/>
      <c r="T128" s="226"/>
    </row>
    <row r="129" spans="1:20">
      <c r="A129" s="237">
        <v>45676</v>
      </c>
      <c r="B129" s="160" t="str">
        <f>TEXT(Table1[[#This Row],[التاريخ ]],"DDD")</f>
        <v>Sun</v>
      </c>
      <c r="C129" s="160" t="str">
        <f>IF(Table1[[#This Row],[التاريخ ]]="","",TEXT(Table1[[#This Row],[التاريخ ]],"mmm"))</f>
        <v>Jan</v>
      </c>
      <c r="D129" s="161" t="s">
        <v>419</v>
      </c>
      <c r="G129" s="226">
        <v>493</v>
      </c>
      <c r="H129" s="227" t="str">
        <f>VLOOKUP(G:G,'قاعدة بيانات  '!K:L,2,0)</f>
        <v>محمود محمد محمود محمد</v>
      </c>
      <c r="I129" s="226" t="s">
        <v>102</v>
      </c>
      <c r="J129" s="226" t="s">
        <v>112</v>
      </c>
      <c r="K129" s="226" t="s">
        <v>116</v>
      </c>
      <c r="L129" s="164">
        <v>69</v>
      </c>
      <c r="M129" s="165"/>
      <c r="N129" s="165"/>
      <c r="Q129" s="166">
        <v>11.5</v>
      </c>
      <c r="R129" s="163">
        <f>R128+Table1[[#This Row],[الوارد ]]-Table1[[#This Row],[المنصرف ]]</f>
        <v>162824.063016486</v>
      </c>
      <c r="S129" s="226"/>
      <c r="T129" s="226"/>
    </row>
    <row r="130" spans="1:20">
      <c r="A130" s="237">
        <v>45676</v>
      </c>
      <c r="B130" s="160" t="str">
        <f>TEXT(Table1[[#This Row],[التاريخ ]],"DDD")</f>
        <v>Sun</v>
      </c>
      <c r="C130" s="160" t="str">
        <f>IF(Table1[[#This Row],[التاريخ ]]="","",TEXT(Table1[[#This Row],[التاريخ ]],"mmm"))</f>
        <v>Jan</v>
      </c>
      <c r="D130" s="161" t="s">
        <v>406</v>
      </c>
      <c r="G130" s="226">
        <v>493</v>
      </c>
      <c r="H130" s="227" t="str">
        <f>VLOOKUP(G:G,'قاعدة بيانات  '!K:L,2,0)</f>
        <v>محمود محمد محمود محمد</v>
      </c>
      <c r="I130" s="226" t="s">
        <v>103</v>
      </c>
      <c r="J130" s="226" t="s">
        <v>112</v>
      </c>
      <c r="K130" s="226" t="s">
        <v>120</v>
      </c>
      <c r="L130" s="164">
        <v>70</v>
      </c>
      <c r="M130" s="165"/>
      <c r="N130" s="165"/>
      <c r="Q130" s="166">
        <v>9</v>
      </c>
      <c r="R130" s="163">
        <f>R129+Table1[[#This Row],[الوارد ]]-Table1[[#This Row],[المنصرف ]]</f>
        <v>162815.063016486</v>
      </c>
      <c r="S130" s="226"/>
      <c r="T130" s="226"/>
    </row>
    <row r="131" spans="1:20">
      <c r="A131" s="237">
        <v>45676</v>
      </c>
      <c r="B131" s="160" t="str">
        <f>TEXT(Table1[[#This Row],[التاريخ ]],"DDD")</f>
        <v>Sun</v>
      </c>
      <c r="C131" s="160" t="str">
        <f>IF(Table1[[#This Row],[التاريخ ]]="","",TEXT(Table1[[#This Row],[التاريخ ]],"mmm"))</f>
        <v>Jan</v>
      </c>
      <c r="D131" s="161" t="s">
        <v>406</v>
      </c>
      <c r="G131" s="226">
        <v>62</v>
      </c>
      <c r="H131" s="227" t="str">
        <f>VLOOKUP(G:G,'قاعدة بيانات  '!K:L,2,0)</f>
        <v>محمد مجدى السيد عبد الدايم</v>
      </c>
      <c r="I131" s="226" t="s">
        <v>103</v>
      </c>
      <c r="J131" s="226" t="s">
        <v>112</v>
      </c>
      <c r="K131" s="226" t="s">
        <v>116</v>
      </c>
      <c r="L131" s="164">
        <v>70</v>
      </c>
      <c r="M131" s="165"/>
      <c r="N131" s="165"/>
      <c r="Q131" s="166">
        <v>17.5</v>
      </c>
      <c r="R131" s="163">
        <f>R130+Table1[[#This Row],[الوارد ]]-Table1[[#This Row],[المنصرف ]]</f>
        <v>162797.563016486</v>
      </c>
      <c r="S131" s="226"/>
      <c r="T131" s="226"/>
    </row>
    <row r="132" spans="1:20">
      <c r="A132" s="237">
        <v>45676</v>
      </c>
      <c r="B132" s="160" t="str">
        <f>TEXT(Table1[[#This Row],[التاريخ ]],"DDD")</f>
        <v>Sun</v>
      </c>
      <c r="C132" s="160" t="str">
        <f>IF(Table1[[#This Row],[التاريخ ]]="","",TEXT(Table1[[#This Row],[التاريخ ]],"mmm"))</f>
        <v>Jan</v>
      </c>
      <c r="D132" s="161" t="s">
        <v>406</v>
      </c>
      <c r="G132" s="226">
        <v>62</v>
      </c>
      <c r="H132" s="227" t="str">
        <f>VLOOKUP(G:G,'قاعدة بيانات  '!K:L,2,0)</f>
        <v>محمد مجدى السيد عبد الدايم</v>
      </c>
      <c r="I132" s="226" t="s">
        <v>103</v>
      </c>
      <c r="J132" s="226" t="s">
        <v>112</v>
      </c>
      <c r="K132" s="226" t="s">
        <v>120</v>
      </c>
      <c r="L132" s="164">
        <v>70</v>
      </c>
      <c r="M132" s="165"/>
      <c r="N132" s="165"/>
      <c r="Q132" s="166">
        <v>5</v>
      </c>
      <c r="R132" s="163">
        <f>R131+Table1[[#This Row],[الوارد ]]-Table1[[#This Row],[المنصرف ]]</f>
        <v>162792.563016486</v>
      </c>
      <c r="S132" s="226"/>
      <c r="T132" s="226"/>
    </row>
    <row r="133" spans="1:20">
      <c r="A133" s="237">
        <v>45676</v>
      </c>
      <c r="B133" s="160" t="str">
        <f>TEXT(Table1[[#This Row],[التاريخ ]],"DDD")</f>
        <v>Sun</v>
      </c>
      <c r="C133" s="160" t="str">
        <f>IF(Table1[[#This Row],[التاريخ ]]="","",TEXT(Table1[[#This Row],[التاريخ ]],"mmm"))</f>
        <v>Jan</v>
      </c>
      <c r="D133" s="161" t="s">
        <v>406</v>
      </c>
      <c r="G133" s="226">
        <v>62</v>
      </c>
      <c r="H133" s="227" t="str">
        <f>VLOOKUP(G:G,'قاعدة بيانات  '!K:L,2,0)</f>
        <v>محمد مجدى السيد عبد الدايم</v>
      </c>
      <c r="I133" s="226" t="s">
        <v>328</v>
      </c>
      <c r="J133" s="226" t="s">
        <v>112</v>
      </c>
      <c r="K133" s="226" t="s">
        <v>116</v>
      </c>
      <c r="L133" s="164">
        <v>70</v>
      </c>
      <c r="M133" s="165"/>
      <c r="N133" s="165"/>
      <c r="Q133" s="166">
        <f>17.5+70+13.5</f>
        <v>101</v>
      </c>
      <c r="R133" s="163">
        <f>R132+Table1[[#This Row],[الوارد ]]-Table1[[#This Row],[المنصرف ]]</f>
        <v>162691.563016486</v>
      </c>
      <c r="S133" s="226"/>
      <c r="T133" s="226"/>
    </row>
    <row r="134" spans="1:20">
      <c r="A134" s="237">
        <v>45676</v>
      </c>
      <c r="B134" s="160" t="str">
        <f>TEXT(Table1[[#This Row],[التاريخ ]],"DDD")</f>
        <v>Sun</v>
      </c>
      <c r="C134" s="160" t="str">
        <f>IF(Table1[[#This Row],[التاريخ ]]="","",TEXT(Table1[[#This Row],[التاريخ ]],"mmm"))</f>
        <v>Jan</v>
      </c>
      <c r="D134" s="161" t="s">
        <v>406</v>
      </c>
      <c r="G134" s="226">
        <v>62</v>
      </c>
      <c r="H134" s="227" t="str">
        <f>VLOOKUP(G:G,'قاعدة بيانات  '!K:L,2,0)</f>
        <v>محمد مجدى السيد عبد الدايم</v>
      </c>
      <c r="I134" s="226" t="s">
        <v>425</v>
      </c>
      <c r="J134" s="226" t="s">
        <v>112</v>
      </c>
      <c r="K134" s="226" t="s">
        <v>116</v>
      </c>
      <c r="L134" s="164">
        <v>70</v>
      </c>
      <c r="M134" s="165"/>
      <c r="N134" s="165"/>
      <c r="Q134" s="166">
        <v>13.5</v>
      </c>
      <c r="R134" s="163">
        <f>R133+Table1[[#This Row],[الوارد ]]-Table1[[#This Row],[المنصرف ]]</f>
        <v>162678.063016486</v>
      </c>
      <c r="S134" s="226"/>
      <c r="T134" s="226"/>
    </row>
    <row r="135" spans="1:20">
      <c r="A135" s="237">
        <v>45676</v>
      </c>
      <c r="B135" s="160" t="str">
        <f>TEXT(Table1[[#This Row],[التاريخ ]],"DDD")</f>
        <v>Sun</v>
      </c>
      <c r="C135" s="160" t="str">
        <f>IF(Table1[[#This Row],[التاريخ ]]="","",TEXT(Table1[[#This Row],[التاريخ ]],"mmm"))</f>
        <v>Jan</v>
      </c>
      <c r="D135" s="161" t="s">
        <v>407</v>
      </c>
      <c r="G135" s="226">
        <v>20</v>
      </c>
      <c r="H135" s="227" t="str">
        <f>VLOOKUP(G:G,'قاعدة بيانات  '!K:L,2,0)</f>
        <v>عبد العزيز صلاح عبد العزيز على حسن</v>
      </c>
      <c r="I135" s="226" t="s">
        <v>103</v>
      </c>
      <c r="J135" s="226" t="s">
        <v>112</v>
      </c>
      <c r="K135" s="226" t="s">
        <v>116</v>
      </c>
      <c r="L135" s="164">
        <v>71</v>
      </c>
      <c r="M135" s="165"/>
      <c r="N135" s="165"/>
      <c r="Q135" s="166">
        <f>72+65+32+42+24</f>
        <v>235</v>
      </c>
      <c r="R135" s="163">
        <f>R134+Table1[[#This Row],[الوارد ]]-Table1[[#This Row],[المنصرف ]]</f>
        <v>162443.063016486</v>
      </c>
      <c r="S135" s="226"/>
      <c r="T135" s="226"/>
    </row>
    <row r="136" spans="1:20">
      <c r="A136" s="237">
        <v>45676</v>
      </c>
      <c r="B136" s="160" t="str">
        <f>TEXT(Table1[[#This Row],[التاريخ ]],"DDD")</f>
        <v>Sun</v>
      </c>
      <c r="C136" s="160" t="str">
        <f>IF(Table1[[#This Row],[التاريخ ]]="","",TEXT(Table1[[#This Row],[التاريخ ]],"mmm"))</f>
        <v>Jan</v>
      </c>
      <c r="D136" s="161" t="s">
        <v>407</v>
      </c>
      <c r="G136" s="226">
        <v>20</v>
      </c>
      <c r="H136" s="227" t="str">
        <f>VLOOKUP(G:G,'قاعدة بيانات  '!K:L,2,0)</f>
        <v>عبد العزيز صلاح عبد العزيز على حسن</v>
      </c>
      <c r="I136" s="226" t="s">
        <v>103</v>
      </c>
      <c r="J136" s="226" t="s">
        <v>112</v>
      </c>
      <c r="K136" s="226" t="s">
        <v>120</v>
      </c>
      <c r="L136" s="164">
        <v>71</v>
      </c>
      <c r="M136" s="165"/>
      <c r="N136" s="165"/>
      <c r="Q136" s="166">
        <f>5+5+10+18</f>
        <v>38</v>
      </c>
      <c r="R136" s="163">
        <f>R135+Table1[[#This Row],[الوارد ]]-Table1[[#This Row],[المنصرف ]]</f>
        <v>162405.063016486</v>
      </c>
      <c r="S136" s="226"/>
      <c r="T136" s="226"/>
    </row>
    <row r="137" spans="1:20">
      <c r="A137" s="237">
        <v>45676</v>
      </c>
      <c r="B137" s="160" t="str">
        <f>TEXT(Table1[[#This Row],[التاريخ ]],"DDD")</f>
        <v>Sun</v>
      </c>
      <c r="C137" s="160" t="str">
        <f>IF(Table1[[#This Row],[التاريخ ]]="","",TEXT(Table1[[#This Row],[التاريخ ]],"mmm"))</f>
        <v>Jan</v>
      </c>
      <c r="D137" s="161" t="s">
        <v>407</v>
      </c>
      <c r="G137" s="226">
        <v>20</v>
      </c>
      <c r="H137" s="227" t="str">
        <f>VLOOKUP(G:G,'قاعدة بيانات  '!K:L,2,0)</f>
        <v>عبد العزيز صلاح عبد العزيز على حسن</v>
      </c>
      <c r="I137" s="226" t="s">
        <v>103</v>
      </c>
      <c r="J137" s="226" t="s">
        <v>112</v>
      </c>
      <c r="K137" s="226" t="s">
        <v>124</v>
      </c>
      <c r="L137" s="164">
        <v>71</v>
      </c>
      <c r="M137" s="165"/>
      <c r="N137" s="165"/>
      <c r="Q137" s="166">
        <f>10+15</f>
        <v>25</v>
      </c>
      <c r="R137" s="163">
        <f>R136+Table1[[#This Row],[الوارد ]]-Table1[[#This Row],[المنصرف ]]</f>
        <v>162380.063016486</v>
      </c>
      <c r="S137" s="226"/>
      <c r="T137" s="226"/>
    </row>
    <row r="138" spans="1:20">
      <c r="A138" s="237">
        <v>45677</v>
      </c>
      <c r="B138" s="160" t="str">
        <f>TEXT(Table1[[#This Row],[التاريخ ]],"DDD")</f>
        <v>Mon</v>
      </c>
      <c r="C138" s="160" t="str">
        <f>IF(Table1[[#This Row],[التاريخ ]]="","",TEXT(Table1[[#This Row],[التاريخ ]],"mmm"))</f>
        <v>Jan</v>
      </c>
      <c r="D138" s="161" t="s">
        <v>643</v>
      </c>
      <c r="G138" s="226">
        <v>548</v>
      </c>
      <c r="H138" s="227" t="str">
        <f>VLOOKUP(G:G,'قاعدة بيانات  '!K:L,2,0)</f>
        <v>احمد حسين رمضان محمد ربيع</v>
      </c>
      <c r="I138" s="226" t="s">
        <v>107</v>
      </c>
      <c r="J138" s="226" t="s">
        <v>1114</v>
      </c>
      <c r="K138" s="226" t="s">
        <v>116</v>
      </c>
      <c r="L138" s="164">
        <v>72</v>
      </c>
      <c r="M138" s="165"/>
      <c r="N138" s="165"/>
      <c r="Q138" s="166">
        <v>80</v>
      </c>
      <c r="R138" s="163">
        <f>R137+Table1[[#This Row],[الوارد ]]-Table1[[#This Row],[المنصرف ]]</f>
        <v>162300.063016486</v>
      </c>
      <c r="S138" s="226"/>
      <c r="T138" s="226"/>
    </row>
    <row r="139" spans="1:20">
      <c r="A139" s="237">
        <v>45677</v>
      </c>
      <c r="B139" s="160" t="str">
        <f>TEXT(Table1[[#This Row],[التاريخ ]],"DDD")</f>
        <v>Mon</v>
      </c>
      <c r="C139" s="160" t="str">
        <f>IF(Table1[[#This Row],[التاريخ ]]="","",TEXT(Table1[[#This Row],[التاريخ ]],"mmm"))</f>
        <v>Jan</v>
      </c>
      <c r="D139" s="161" t="s">
        <v>624</v>
      </c>
      <c r="G139" s="226">
        <v>151</v>
      </c>
      <c r="H139" s="227" t="str">
        <f>VLOOKUP(G:G,'قاعدة بيانات  '!K:L,2,0)</f>
        <v xml:space="preserve">احمد عبد الباسط عبد السلام محمد </v>
      </c>
      <c r="I139" s="226" t="s">
        <v>392</v>
      </c>
      <c r="J139" s="226" t="s">
        <v>301</v>
      </c>
      <c r="K139" s="226" t="s">
        <v>128</v>
      </c>
      <c r="L139" s="164">
        <v>73</v>
      </c>
      <c r="M139" s="165"/>
      <c r="N139" s="165"/>
      <c r="Q139" s="166">
        <v>2939.24</v>
      </c>
      <c r="R139" s="163">
        <f>R138+Table1[[#This Row],[الوارد ]]-Table1[[#This Row],[المنصرف ]]</f>
        <v>159360.82301648601</v>
      </c>
      <c r="S139" s="226"/>
      <c r="T139" s="226"/>
    </row>
    <row r="140" spans="1:20">
      <c r="A140" s="237">
        <v>45677</v>
      </c>
      <c r="B140" s="160" t="str">
        <f>TEXT(Table1[[#This Row],[التاريخ ]],"DDD")</f>
        <v>Mon</v>
      </c>
      <c r="C140" s="160" t="str">
        <f>IF(Table1[[#This Row],[التاريخ ]]="","",TEXT(Table1[[#This Row],[التاريخ ]],"mmm"))</f>
        <v>Jan</v>
      </c>
      <c r="D140" s="161" t="s">
        <v>673</v>
      </c>
      <c r="G140" s="226">
        <v>151</v>
      </c>
      <c r="H140" s="227" t="str">
        <f>VLOOKUP(G:G,'قاعدة بيانات  '!K:L,2,0)</f>
        <v xml:space="preserve">احمد عبد الباسط عبد السلام محمد </v>
      </c>
      <c r="I140" s="226" t="s">
        <v>167</v>
      </c>
      <c r="J140" s="226" t="s">
        <v>301</v>
      </c>
      <c r="K140" s="226" t="s">
        <v>136</v>
      </c>
      <c r="L140" s="164">
        <v>74</v>
      </c>
      <c r="M140" s="165"/>
      <c r="N140" s="165"/>
      <c r="Q140" s="166">
        <v>1003</v>
      </c>
      <c r="R140" s="163">
        <f>R139+Table1[[#This Row],[الوارد ]]-Table1[[#This Row],[المنصرف ]]</f>
        <v>158357.82301648601</v>
      </c>
      <c r="S140" s="226"/>
      <c r="T140" s="226"/>
    </row>
    <row r="141" spans="1:20">
      <c r="A141" s="237">
        <v>45677</v>
      </c>
      <c r="B141" s="160" t="str">
        <f>TEXT(Table1[[#This Row],[التاريخ ]],"DDD")</f>
        <v>Mon</v>
      </c>
      <c r="C141" s="160" t="str">
        <f>IF(Table1[[#This Row],[التاريخ ]]="","",TEXT(Table1[[#This Row],[التاريخ ]],"mmm"))</f>
        <v>Jan</v>
      </c>
      <c r="D141" s="161" t="s">
        <v>674</v>
      </c>
      <c r="G141" s="226">
        <v>151</v>
      </c>
      <c r="H141" s="227" t="str">
        <f>VLOOKUP(G:G,'قاعدة بيانات  '!K:L,2,0)</f>
        <v xml:space="preserve">احمد عبد الباسط عبد السلام محمد </v>
      </c>
      <c r="I141" s="226" t="s">
        <v>198</v>
      </c>
      <c r="J141" s="226" t="s">
        <v>1113</v>
      </c>
      <c r="K141" s="226" t="s">
        <v>129</v>
      </c>
      <c r="L141" s="164">
        <v>74</v>
      </c>
      <c r="M141" s="165"/>
      <c r="N141" s="165"/>
      <c r="Q141" s="166">
        <v>3230</v>
      </c>
      <c r="R141" s="163">
        <f>R140+Table1[[#This Row],[الوارد ]]-Table1[[#This Row],[المنصرف ]]</f>
        <v>155127.82301648601</v>
      </c>
      <c r="S141" s="226"/>
      <c r="T141" s="226"/>
    </row>
    <row r="142" spans="1:20">
      <c r="A142" s="237">
        <v>45677</v>
      </c>
      <c r="B142" s="160" t="str">
        <f>TEXT(Table1[[#This Row],[التاريخ ]],"DDD")</f>
        <v>Mon</v>
      </c>
      <c r="C142" s="160" t="str">
        <f>IF(Table1[[#This Row],[التاريخ ]]="","",TEXT(Table1[[#This Row],[التاريخ ]],"mmm"))</f>
        <v>Jan</v>
      </c>
      <c r="D142" s="161" t="s">
        <v>675</v>
      </c>
      <c r="G142" s="226">
        <v>197</v>
      </c>
      <c r="H142" s="227" t="str">
        <f>VLOOKUP(G:G,'قاعدة بيانات  '!K:L,2,0)</f>
        <v xml:space="preserve">احمد مجدى بكر على </v>
      </c>
      <c r="I142" s="226" t="s">
        <v>100</v>
      </c>
      <c r="J142" s="226" t="s">
        <v>1114</v>
      </c>
      <c r="K142" s="226" t="s">
        <v>116</v>
      </c>
      <c r="L142" s="164">
        <v>75</v>
      </c>
      <c r="M142" s="165"/>
      <c r="N142" s="165"/>
      <c r="Q142" s="166">
        <v>300</v>
      </c>
      <c r="R142" s="163">
        <f>R141+Table1[[#This Row],[الوارد ]]-Table1[[#This Row],[المنصرف ]]</f>
        <v>154827.82301648601</v>
      </c>
      <c r="S142" s="226"/>
      <c r="T142" s="226"/>
    </row>
    <row r="143" spans="1:20">
      <c r="A143" s="237">
        <v>45678</v>
      </c>
      <c r="B143" s="160" t="str">
        <f>TEXT(Table1[[#This Row],[التاريخ ]],"DDD")</f>
        <v>Tue</v>
      </c>
      <c r="C143" s="160" t="str">
        <f>IF(Table1[[#This Row],[التاريخ ]]="","",TEXT(Table1[[#This Row],[التاريخ ]],"mmm"))</f>
        <v>Jan</v>
      </c>
      <c r="D143" s="161" t="s">
        <v>676</v>
      </c>
      <c r="G143" s="226">
        <v>515</v>
      </c>
      <c r="H143" s="227" t="str">
        <f>VLOOKUP(G:G,'قاعدة بيانات  '!K:L,2,0)</f>
        <v>محمد عبدالمنعم عبدالحليم إبراهيم</v>
      </c>
      <c r="I143" s="226" t="s">
        <v>167</v>
      </c>
      <c r="J143" s="226" t="s">
        <v>301</v>
      </c>
      <c r="K143" s="226" t="s">
        <v>125</v>
      </c>
      <c r="L143" s="164">
        <v>76</v>
      </c>
      <c r="M143" s="165"/>
      <c r="N143" s="165"/>
      <c r="Q143" s="166">
        <v>197</v>
      </c>
      <c r="R143" s="163">
        <f>R142+Table1[[#This Row],[الوارد ]]-Table1[[#This Row],[المنصرف ]]</f>
        <v>154630.82301648601</v>
      </c>
      <c r="S143" s="226"/>
      <c r="T143" s="226"/>
    </row>
    <row r="144" spans="1:20">
      <c r="A144" s="237">
        <v>45678</v>
      </c>
      <c r="B144" s="160" t="str">
        <f>TEXT(Table1[[#This Row],[التاريخ ]],"DDD")</f>
        <v>Tue</v>
      </c>
      <c r="C144" s="160" t="str">
        <f>IF(Table1[[#This Row],[التاريخ ]]="","",TEXT(Table1[[#This Row],[التاريخ ]],"mmm"))</f>
        <v>Jan</v>
      </c>
      <c r="D144" s="161" t="s">
        <v>193</v>
      </c>
      <c r="G144" s="226">
        <v>151</v>
      </c>
      <c r="H144" s="227" t="str">
        <f>VLOOKUP(G:G,'قاعدة بيانات  '!K:L,2,0)</f>
        <v xml:space="preserve">احمد عبد الباسط عبد السلام محمد </v>
      </c>
      <c r="I144" s="226" t="s">
        <v>167</v>
      </c>
      <c r="J144" s="226" t="s">
        <v>301</v>
      </c>
      <c r="K144" s="226" t="s">
        <v>140</v>
      </c>
      <c r="L144" s="164">
        <v>77</v>
      </c>
      <c r="M144" s="165"/>
      <c r="N144" s="165"/>
      <c r="P144" s="163">
        <v>30000</v>
      </c>
      <c r="Q144" s="166"/>
      <c r="R144" s="163">
        <f>R143+Table1[[#This Row],[الوارد ]]-Table1[[#This Row],[المنصرف ]]</f>
        <v>184630.82301648601</v>
      </c>
      <c r="S144" s="226"/>
      <c r="T144" s="226"/>
    </row>
    <row r="145" spans="1:20">
      <c r="A145" s="237">
        <v>45678</v>
      </c>
      <c r="B145" s="160" t="str">
        <f>TEXT(Table1[[#This Row],[التاريخ ]],"DDD")</f>
        <v>Tue</v>
      </c>
      <c r="C145" s="160" t="str">
        <f>IF(Table1[[#This Row],[التاريخ ]]="","",TEXT(Table1[[#This Row],[التاريخ ]],"mmm"))</f>
        <v>Jan</v>
      </c>
      <c r="D145" s="161" t="s">
        <v>406</v>
      </c>
      <c r="G145" s="226">
        <v>62</v>
      </c>
      <c r="H145" s="227" t="str">
        <f>VLOOKUP(G:G,'قاعدة بيانات  '!K:L,2,0)</f>
        <v>محمد مجدى السيد عبد الدايم</v>
      </c>
      <c r="I145" s="226" t="s">
        <v>103</v>
      </c>
      <c r="J145" s="226" t="s">
        <v>112</v>
      </c>
      <c r="K145" s="226" t="s">
        <v>116</v>
      </c>
      <c r="L145" s="164">
        <v>78</v>
      </c>
      <c r="M145" s="165"/>
      <c r="N145" s="165"/>
      <c r="Q145" s="166">
        <f>36+14+27</f>
        <v>77</v>
      </c>
      <c r="R145" s="163">
        <f>R144+Table1[[#This Row],[الوارد ]]-Table1[[#This Row],[المنصرف ]]</f>
        <v>184553.82301648601</v>
      </c>
      <c r="S145" s="226"/>
      <c r="T145" s="226"/>
    </row>
    <row r="146" spans="1:20">
      <c r="A146" s="237">
        <v>45678</v>
      </c>
      <c r="B146" s="160" t="str">
        <f>TEXT(Table1[[#This Row],[التاريخ ]],"DDD")</f>
        <v>Tue</v>
      </c>
      <c r="C146" s="160" t="str">
        <f>IF(Table1[[#This Row],[التاريخ ]]="","",TEXT(Table1[[#This Row],[التاريخ ]],"mmm"))</f>
        <v>Jan</v>
      </c>
      <c r="D146" s="161" t="s">
        <v>406</v>
      </c>
      <c r="G146" s="226">
        <v>62</v>
      </c>
      <c r="H146" s="227" t="str">
        <f>VLOOKUP(G:G,'قاعدة بيانات  '!K:L,2,0)</f>
        <v>محمد مجدى السيد عبد الدايم</v>
      </c>
      <c r="I146" s="226" t="s">
        <v>359</v>
      </c>
      <c r="J146" s="226" t="s">
        <v>112</v>
      </c>
      <c r="K146" s="226" t="s">
        <v>120</v>
      </c>
      <c r="L146" s="164">
        <v>78</v>
      </c>
      <c r="M146" s="165"/>
      <c r="N146" s="165"/>
      <c r="Q146" s="166">
        <v>37</v>
      </c>
      <c r="R146" s="163">
        <f>R145+Table1[[#This Row],[الوارد ]]-Table1[[#This Row],[المنصرف ]]</f>
        <v>184516.82301648601</v>
      </c>
      <c r="S146" s="226"/>
      <c r="T146" s="226"/>
    </row>
    <row r="147" spans="1:20">
      <c r="A147" s="237">
        <v>45678</v>
      </c>
      <c r="B147" s="160" t="str">
        <f>TEXT(Table1[[#This Row],[التاريخ ]],"DDD")</f>
        <v>Tue</v>
      </c>
      <c r="C147" s="160" t="str">
        <f>IF(Table1[[#This Row],[التاريخ ]]="","",TEXT(Table1[[#This Row],[التاريخ ]],"mmm"))</f>
        <v>Jan</v>
      </c>
      <c r="D147" s="161" t="s">
        <v>406</v>
      </c>
      <c r="G147" s="226">
        <v>62</v>
      </c>
      <c r="H147" s="227" t="str">
        <f>VLOOKUP(G:G,'قاعدة بيانات  '!K:L,2,0)</f>
        <v>محمد مجدى السيد عبد الدايم</v>
      </c>
      <c r="I147" s="226" t="s">
        <v>359</v>
      </c>
      <c r="J147" s="226" t="s">
        <v>112</v>
      </c>
      <c r="K147" s="226" t="s">
        <v>127</v>
      </c>
      <c r="L147" s="164">
        <v>78</v>
      </c>
      <c r="M147" s="165"/>
      <c r="N147" s="165"/>
      <c r="Q147" s="166">
        <v>5</v>
      </c>
      <c r="R147" s="163">
        <f>R146+Table1[[#This Row],[الوارد ]]-Table1[[#This Row],[المنصرف ]]</f>
        <v>184511.82301648601</v>
      </c>
      <c r="S147" s="226"/>
      <c r="T147" s="226"/>
    </row>
    <row r="148" spans="1:20">
      <c r="A148" s="237">
        <v>45678</v>
      </c>
      <c r="B148" s="160" t="str">
        <f>TEXT(Table1[[#This Row],[التاريخ ]],"DDD")</f>
        <v>Tue</v>
      </c>
      <c r="C148" s="160" t="str">
        <f>IF(Table1[[#This Row],[التاريخ ]]="","",TEXT(Table1[[#This Row],[التاريخ ]],"mmm"))</f>
        <v>Jan</v>
      </c>
      <c r="D148" s="161" t="s">
        <v>406</v>
      </c>
      <c r="G148" s="226">
        <v>62</v>
      </c>
      <c r="H148" s="227" t="str">
        <f>VLOOKUP(G:G,'قاعدة بيانات  '!K:L,2,0)</f>
        <v>محمد مجدى السيد عبد الدايم</v>
      </c>
      <c r="I148" s="226" t="s">
        <v>359</v>
      </c>
      <c r="J148" s="226" t="s">
        <v>112</v>
      </c>
      <c r="K148" s="226" t="s">
        <v>124</v>
      </c>
      <c r="L148" s="164">
        <v>78</v>
      </c>
      <c r="M148" s="165"/>
      <c r="N148" s="165"/>
      <c r="Q148" s="166">
        <v>23</v>
      </c>
      <c r="R148" s="163">
        <f>R147+Table1[[#This Row],[الوارد ]]-Table1[[#This Row],[المنصرف ]]</f>
        <v>184488.82301648601</v>
      </c>
      <c r="S148" s="226"/>
      <c r="T148" s="226"/>
    </row>
    <row r="149" spans="1:20">
      <c r="A149" s="237">
        <v>45678</v>
      </c>
      <c r="B149" s="160" t="str">
        <f>TEXT(Table1[[#This Row],[التاريخ ]],"DDD")</f>
        <v>Tue</v>
      </c>
      <c r="C149" s="160" t="str">
        <f>IF(Table1[[#This Row],[التاريخ ]]="","",TEXT(Table1[[#This Row],[التاريخ ]],"mmm"))</f>
        <v>Jan</v>
      </c>
      <c r="D149" s="161" t="s">
        <v>406</v>
      </c>
      <c r="G149" s="226">
        <v>62</v>
      </c>
      <c r="H149" s="227" t="str">
        <f>VLOOKUP(G:G,'قاعدة بيانات  '!K:L,2,0)</f>
        <v>محمد مجدى السيد عبد الدايم</v>
      </c>
      <c r="I149" s="226" t="s">
        <v>359</v>
      </c>
      <c r="J149" s="226" t="s">
        <v>112</v>
      </c>
      <c r="K149" s="226" t="s">
        <v>116</v>
      </c>
      <c r="L149" s="164">
        <v>78</v>
      </c>
      <c r="M149" s="165"/>
      <c r="N149" s="165"/>
      <c r="Q149" s="166">
        <v>14</v>
      </c>
      <c r="R149" s="163">
        <f>R148+Table1[[#This Row],[الوارد ]]-Table1[[#This Row],[المنصرف ]]</f>
        <v>184474.82301648601</v>
      </c>
      <c r="S149" s="226"/>
      <c r="T149" s="226"/>
    </row>
    <row r="150" spans="1:20">
      <c r="A150" s="237">
        <v>45678</v>
      </c>
      <c r="B150" s="160" t="str">
        <f>TEXT(Table1[[#This Row],[التاريخ ]],"DDD")</f>
        <v>Tue</v>
      </c>
      <c r="C150" s="160" t="str">
        <f>IF(Table1[[#This Row],[التاريخ ]]="","",TEXT(Table1[[#This Row],[التاريخ ]],"mmm"))</f>
        <v>Jan</v>
      </c>
      <c r="D150" s="161" t="s">
        <v>406</v>
      </c>
      <c r="G150" s="226">
        <v>62</v>
      </c>
      <c r="H150" s="227" t="str">
        <f>VLOOKUP(G:G,'قاعدة بيانات  '!K:L,2,0)</f>
        <v>محمد مجدى السيد عبد الدايم</v>
      </c>
      <c r="I150" s="226" t="s">
        <v>103</v>
      </c>
      <c r="J150" s="226" t="s">
        <v>112</v>
      </c>
      <c r="K150" s="226" t="s">
        <v>120</v>
      </c>
      <c r="L150" s="164">
        <v>78</v>
      </c>
      <c r="M150" s="165"/>
      <c r="N150" s="165"/>
      <c r="Q150" s="166">
        <v>3093.25</v>
      </c>
      <c r="R150" s="163">
        <f>R149+Table1[[#This Row],[الوارد ]]-Table1[[#This Row],[المنصرف ]]</f>
        <v>181381.57301648601</v>
      </c>
      <c r="S150" s="226"/>
      <c r="T150" s="226"/>
    </row>
    <row r="151" spans="1:20" ht="21" customHeight="1">
      <c r="A151" s="237">
        <v>45678</v>
      </c>
      <c r="B151" s="160" t="str">
        <f>TEXT(Table1[[#This Row],[التاريخ ]],"DDD")</f>
        <v>Tue</v>
      </c>
      <c r="C151" s="160" t="str">
        <f>IF(Table1[[#This Row],[التاريخ ]]="","",TEXT(Table1[[#This Row],[التاريخ ]],"mmm"))</f>
        <v>Jan</v>
      </c>
      <c r="D151" s="161" t="s">
        <v>406</v>
      </c>
      <c r="G151" s="226">
        <v>62</v>
      </c>
      <c r="H151" s="227" t="str">
        <f>VLOOKUP(G:G,'قاعدة بيانات  '!K:L,2,0)</f>
        <v>محمد مجدى السيد عبد الدايم</v>
      </c>
      <c r="I151" s="226" t="s">
        <v>103</v>
      </c>
      <c r="J151" s="226" t="s">
        <v>112</v>
      </c>
      <c r="K151" s="226" t="s">
        <v>124</v>
      </c>
      <c r="L151" s="164">
        <v>78</v>
      </c>
      <c r="M151" s="165"/>
      <c r="N151" s="165"/>
      <c r="Q151" s="166">
        <v>25</v>
      </c>
      <c r="R151" s="163">
        <f>R150+Table1[[#This Row],[الوارد ]]-Table1[[#This Row],[المنصرف ]]</f>
        <v>181356.57301648601</v>
      </c>
      <c r="S151" s="226"/>
      <c r="T151" s="226"/>
    </row>
    <row r="152" spans="1:20">
      <c r="A152" s="237">
        <v>45678</v>
      </c>
      <c r="B152" s="160" t="str">
        <f>TEXT(Table1[[#This Row],[التاريخ ]],"DDD")</f>
        <v>Tue</v>
      </c>
      <c r="C152" s="160" t="str">
        <f>IF(Table1[[#This Row],[التاريخ ]]="","",TEXT(Table1[[#This Row],[التاريخ ]],"mmm"))</f>
        <v>Jan</v>
      </c>
      <c r="D152" s="161" t="s">
        <v>406</v>
      </c>
      <c r="G152" s="226">
        <v>62</v>
      </c>
      <c r="H152" s="227" t="str">
        <f>VLOOKUP(G:G,'قاعدة بيانات  '!K:L,2,0)</f>
        <v>محمد مجدى السيد عبد الدايم</v>
      </c>
      <c r="I152" s="226" t="s">
        <v>352</v>
      </c>
      <c r="J152" s="226" t="s">
        <v>112</v>
      </c>
      <c r="K152" s="226" t="s">
        <v>116</v>
      </c>
      <c r="L152" s="164">
        <v>78</v>
      </c>
      <c r="M152" s="165"/>
      <c r="N152" s="165"/>
      <c r="Q152" s="166">
        <v>54</v>
      </c>
      <c r="R152" s="163">
        <f>R151+Table1[[#This Row],[الوارد ]]-Table1[[#This Row],[المنصرف ]]</f>
        <v>181302.57301648601</v>
      </c>
      <c r="S152" s="226"/>
      <c r="T152" s="226"/>
    </row>
    <row r="153" spans="1:20">
      <c r="A153" s="237">
        <v>45678</v>
      </c>
      <c r="B153" s="160" t="str">
        <f>TEXT(Table1[[#This Row],[التاريخ ]],"DDD")</f>
        <v>Tue</v>
      </c>
      <c r="C153" s="160" t="str">
        <f>IF(Table1[[#This Row],[التاريخ ]]="","",TEXT(Table1[[#This Row],[التاريخ ]],"mmm"))</f>
        <v>Jan</v>
      </c>
      <c r="D153" s="161" t="s">
        <v>406</v>
      </c>
      <c r="G153" s="226">
        <v>62</v>
      </c>
      <c r="H153" s="227" t="str">
        <f>VLOOKUP(G:G,'قاعدة بيانات  '!K:L,2,0)</f>
        <v>محمد مجدى السيد عبد الدايم</v>
      </c>
      <c r="I153" s="226" t="s">
        <v>102</v>
      </c>
      <c r="J153" s="226" t="s">
        <v>112</v>
      </c>
      <c r="K153" s="226" t="s">
        <v>120</v>
      </c>
      <c r="L153" s="164">
        <v>78</v>
      </c>
      <c r="M153" s="165"/>
      <c r="N153" s="165"/>
      <c r="Q153" s="166">
        <v>100</v>
      </c>
      <c r="R153" s="163">
        <f>R152+Table1[[#This Row],[الوارد ]]-Table1[[#This Row],[المنصرف ]]</f>
        <v>181202.57301648601</v>
      </c>
      <c r="S153" s="226"/>
      <c r="T153" s="226"/>
    </row>
    <row r="154" spans="1:20">
      <c r="A154" s="237">
        <v>45678</v>
      </c>
      <c r="B154" s="160" t="str">
        <f>TEXT(Table1[[#This Row],[التاريخ ]],"DDD")</f>
        <v>Tue</v>
      </c>
      <c r="C154" s="160" t="str">
        <f>IF(Table1[[#This Row],[التاريخ ]]="","",TEXT(Table1[[#This Row],[التاريخ ]],"mmm"))</f>
        <v>Jan</v>
      </c>
      <c r="D154" s="161" t="s">
        <v>406</v>
      </c>
      <c r="G154" s="226">
        <v>62</v>
      </c>
      <c r="H154" s="227" t="str">
        <f>VLOOKUP(G:G,'قاعدة بيانات  '!K:L,2,0)</f>
        <v>محمد مجدى السيد عبد الدايم</v>
      </c>
      <c r="I154" s="226" t="s">
        <v>102</v>
      </c>
      <c r="J154" s="226" t="s">
        <v>112</v>
      </c>
      <c r="K154" s="226" t="s">
        <v>116</v>
      </c>
      <c r="L154" s="164">
        <v>78</v>
      </c>
      <c r="M154" s="165"/>
      <c r="N154" s="165"/>
      <c r="Q154" s="166">
        <v>28</v>
      </c>
      <c r="R154" s="163">
        <f>R153+Table1[[#This Row],[الوارد ]]-Table1[[#This Row],[المنصرف ]]</f>
        <v>181174.57301648601</v>
      </c>
      <c r="S154" s="226"/>
      <c r="T154" s="226"/>
    </row>
    <row r="155" spans="1:20">
      <c r="A155" s="237">
        <v>45678</v>
      </c>
      <c r="B155" s="160" t="str">
        <f>TEXT(Table1[[#This Row],[التاريخ ]],"DDD")</f>
        <v>Tue</v>
      </c>
      <c r="C155" s="160" t="str">
        <f>IF(Table1[[#This Row],[التاريخ ]]="","",TEXT(Table1[[#This Row],[التاريخ ]],"mmm"))</f>
        <v>Jan</v>
      </c>
      <c r="D155" s="161" t="s">
        <v>406</v>
      </c>
      <c r="G155" s="226">
        <v>62</v>
      </c>
      <c r="H155" s="227" t="str">
        <f>VLOOKUP(G:G,'قاعدة بيانات  '!K:L,2,0)</f>
        <v>محمد مجدى السيد عبد الدايم</v>
      </c>
      <c r="I155" s="226" t="s">
        <v>102</v>
      </c>
      <c r="J155" s="226" t="s">
        <v>112</v>
      </c>
      <c r="K155" s="226" t="s">
        <v>127</v>
      </c>
      <c r="L155" s="164">
        <v>78</v>
      </c>
      <c r="M155" s="165"/>
      <c r="N155" s="165"/>
      <c r="Q155" s="166">
        <v>12</v>
      </c>
      <c r="R155" s="163">
        <f>R154+Table1[[#This Row],[الوارد ]]-Table1[[#This Row],[المنصرف ]]</f>
        <v>181162.57301648601</v>
      </c>
      <c r="S155" s="226"/>
      <c r="T155" s="226"/>
    </row>
    <row r="156" spans="1:20">
      <c r="A156" s="237">
        <v>45678</v>
      </c>
      <c r="B156" s="160" t="str">
        <f>TEXT(Table1[[#This Row],[التاريخ ]],"DDD")</f>
        <v>Tue</v>
      </c>
      <c r="C156" s="160" t="str">
        <f>IF(Table1[[#This Row],[التاريخ ]]="","",TEXT(Table1[[#This Row],[التاريخ ]],"mmm"))</f>
        <v>Jan</v>
      </c>
      <c r="D156" s="161" t="s">
        <v>406</v>
      </c>
      <c r="G156" s="226">
        <v>62</v>
      </c>
      <c r="H156" s="227" t="str">
        <f>VLOOKUP(G:G,'قاعدة بيانات  '!K:L,2,0)</f>
        <v>محمد مجدى السيد عبد الدايم</v>
      </c>
      <c r="I156" s="226" t="s">
        <v>102</v>
      </c>
      <c r="J156" s="226" t="s">
        <v>112</v>
      </c>
      <c r="K156" s="226" t="s">
        <v>124</v>
      </c>
      <c r="L156" s="164">
        <v>78</v>
      </c>
      <c r="M156" s="165"/>
      <c r="N156" s="165"/>
      <c r="Q156" s="166">
        <v>20</v>
      </c>
      <c r="R156" s="163">
        <f>R155+Table1[[#This Row],[الوارد ]]-Table1[[#This Row],[المنصرف ]]</f>
        <v>181142.57301648601</v>
      </c>
      <c r="S156" s="226"/>
      <c r="T156" s="226"/>
    </row>
    <row r="157" spans="1:20">
      <c r="A157" s="237">
        <v>45678</v>
      </c>
      <c r="B157" s="160" t="str">
        <f>TEXT(Table1[[#This Row],[التاريخ ]],"DDD")</f>
        <v>Tue</v>
      </c>
      <c r="C157" s="160" t="str">
        <f>IF(Table1[[#This Row],[التاريخ ]]="","",TEXT(Table1[[#This Row],[التاريخ ]],"mmm"))</f>
        <v>Jan</v>
      </c>
      <c r="D157" s="161" t="s">
        <v>680</v>
      </c>
      <c r="G157" s="226">
        <v>492</v>
      </c>
      <c r="H157" s="227" t="str">
        <f>VLOOKUP(G:G,'قاعدة بيانات  '!K:L,2,0)</f>
        <v>اسامه محمد احمد عبد الحميد</v>
      </c>
      <c r="I157" s="226" t="s">
        <v>352</v>
      </c>
      <c r="J157" s="226" t="s">
        <v>112</v>
      </c>
      <c r="K157" s="226" t="s">
        <v>116</v>
      </c>
      <c r="L157" s="164">
        <v>79</v>
      </c>
      <c r="M157" s="165"/>
      <c r="N157" s="165"/>
      <c r="Q157" s="166">
        <f>114+10</f>
        <v>124</v>
      </c>
      <c r="R157" s="163">
        <f>R156+Table1[[#This Row],[الوارد ]]-Table1[[#This Row],[المنصرف ]]</f>
        <v>181018.57301648601</v>
      </c>
      <c r="S157" s="226"/>
      <c r="T157" s="226"/>
    </row>
    <row r="158" spans="1:20">
      <c r="A158" s="237">
        <v>45678</v>
      </c>
      <c r="B158" s="160" t="str">
        <f>TEXT(Table1[[#This Row],[التاريخ ]],"DDD")</f>
        <v>Tue</v>
      </c>
      <c r="C158" s="160" t="str">
        <f>IF(Table1[[#This Row],[التاريخ ]]="","",TEXT(Table1[[#This Row],[التاريخ ]],"mmm"))</f>
        <v>Jan</v>
      </c>
      <c r="D158" s="161" t="s">
        <v>680</v>
      </c>
      <c r="G158" s="226">
        <v>492</v>
      </c>
      <c r="H158" s="227" t="str">
        <f>VLOOKUP(G:G,'قاعدة بيانات  '!K:L,2,0)</f>
        <v>اسامه محمد احمد عبد الحميد</v>
      </c>
      <c r="I158" s="226" t="s">
        <v>352</v>
      </c>
      <c r="J158" s="226" t="s">
        <v>112</v>
      </c>
      <c r="K158" s="226" t="s">
        <v>120</v>
      </c>
      <c r="L158" s="164">
        <v>79</v>
      </c>
      <c r="M158" s="165"/>
      <c r="N158" s="165"/>
      <c r="Q158" s="166">
        <v>130</v>
      </c>
      <c r="R158" s="163">
        <f>R157+Table1[[#This Row],[الوارد ]]-Table1[[#This Row],[المنصرف ]]</f>
        <v>180888.57301648601</v>
      </c>
      <c r="S158" s="226"/>
      <c r="T158" s="226"/>
    </row>
    <row r="159" spans="1:20">
      <c r="A159" s="237">
        <v>45678</v>
      </c>
      <c r="B159" s="160" t="str">
        <f>TEXT(Table1[[#This Row],[التاريخ ]],"DDD")</f>
        <v>Tue</v>
      </c>
      <c r="C159" s="160" t="str">
        <f>IF(Table1[[#This Row],[التاريخ ]]="","",TEXT(Table1[[#This Row],[التاريخ ]],"mmm"))</f>
        <v>Jan</v>
      </c>
      <c r="D159" s="161" t="s">
        <v>680</v>
      </c>
      <c r="G159" s="226">
        <v>492</v>
      </c>
      <c r="H159" s="227" t="str">
        <f>VLOOKUP(G:G,'قاعدة بيانات  '!K:L,2,0)</f>
        <v>اسامه محمد احمد عبد الحميد</v>
      </c>
      <c r="I159" s="226" t="s">
        <v>439</v>
      </c>
      <c r="J159" s="226" t="s">
        <v>112</v>
      </c>
      <c r="K159" s="226" t="s">
        <v>120</v>
      </c>
      <c r="L159" s="164">
        <v>79</v>
      </c>
      <c r="M159" s="165"/>
      <c r="N159" s="165"/>
      <c r="Q159" s="166">
        <v>130</v>
      </c>
      <c r="R159" s="163">
        <f>R158+Table1[[#This Row],[الوارد ]]-Table1[[#This Row],[المنصرف ]]</f>
        <v>180758.57301648601</v>
      </c>
      <c r="S159" s="226"/>
      <c r="T159" s="226"/>
    </row>
    <row r="160" spans="1:20">
      <c r="A160" s="237">
        <v>45678</v>
      </c>
      <c r="B160" s="160" t="str">
        <f>TEXT(Table1[[#This Row],[التاريخ ]],"DDD")</f>
        <v>Tue</v>
      </c>
      <c r="C160" s="160" t="str">
        <f>IF(Table1[[#This Row],[التاريخ ]]="","",TEXT(Table1[[#This Row],[التاريخ ]],"mmm"))</f>
        <v>Jan</v>
      </c>
      <c r="D160" s="161" t="s">
        <v>680</v>
      </c>
      <c r="G160" s="226">
        <v>492</v>
      </c>
      <c r="H160" s="227" t="str">
        <f>VLOOKUP(G:G,'قاعدة بيانات  '!K:L,2,0)</f>
        <v>اسامه محمد احمد عبد الحميد</v>
      </c>
      <c r="I160" s="226" t="s">
        <v>107</v>
      </c>
      <c r="J160" s="226" t="s">
        <v>301</v>
      </c>
      <c r="K160" s="226" t="s">
        <v>120</v>
      </c>
      <c r="L160" s="164">
        <v>79</v>
      </c>
      <c r="M160" s="165"/>
      <c r="N160" s="165"/>
      <c r="Q160" s="166">
        <v>130</v>
      </c>
      <c r="R160" s="163">
        <f>R159+Table1[[#This Row],[الوارد ]]-Table1[[#This Row],[المنصرف ]]</f>
        <v>180628.57301648601</v>
      </c>
      <c r="S160" s="226"/>
      <c r="T160" s="226"/>
    </row>
    <row r="161" spans="1:20">
      <c r="A161" s="237">
        <v>45678</v>
      </c>
      <c r="B161" s="160" t="str">
        <f>TEXT(Table1[[#This Row],[التاريخ ]],"DDD")</f>
        <v>Tue</v>
      </c>
      <c r="C161" s="160" t="str">
        <f>IF(Table1[[#This Row],[التاريخ ]]="","",TEXT(Table1[[#This Row],[التاريخ ]],"mmm"))</f>
        <v>Jan</v>
      </c>
      <c r="D161" s="161" t="s">
        <v>680</v>
      </c>
      <c r="G161" s="226">
        <v>492</v>
      </c>
      <c r="H161" s="227" t="str">
        <f>VLOOKUP(G:G,'قاعدة بيانات  '!K:L,2,0)</f>
        <v>اسامه محمد احمد عبد الحميد</v>
      </c>
      <c r="I161" s="226" t="s">
        <v>439</v>
      </c>
      <c r="J161" s="226" t="s">
        <v>112</v>
      </c>
      <c r="K161" s="226" t="s">
        <v>116</v>
      </c>
      <c r="L161" s="164">
        <v>79</v>
      </c>
      <c r="M161" s="165"/>
      <c r="N161" s="165"/>
      <c r="Q161" s="166">
        <v>9</v>
      </c>
      <c r="R161" s="163">
        <f>R160+Table1[[#This Row],[الوارد ]]-Table1[[#This Row],[المنصرف ]]</f>
        <v>180619.57301648601</v>
      </c>
      <c r="S161" s="226"/>
      <c r="T161" s="226"/>
    </row>
    <row r="162" spans="1:20">
      <c r="A162" s="237">
        <v>45678</v>
      </c>
      <c r="B162" s="160" t="str">
        <f>TEXT(Table1[[#This Row],[التاريخ ]],"DDD")</f>
        <v>Tue</v>
      </c>
      <c r="C162" s="160" t="str">
        <f>IF(Table1[[#This Row],[التاريخ ]]="","",TEXT(Table1[[#This Row],[التاريخ ]],"mmm"))</f>
        <v>Jan</v>
      </c>
      <c r="D162" s="161" t="s">
        <v>680</v>
      </c>
      <c r="G162" s="226">
        <v>492</v>
      </c>
      <c r="H162" s="227" t="str">
        <f>VLOOKUP(G:G,'قاعدة بيانات  '!K:L,2,0)</f>
        <v>اسامه محمد احمد عبد الحميد</v>
      </c>
      <c r="I162" s="226" t="s">
        <v>107</v>
      </c>
      <c r="J162" s="226" t="s">
        <v>301</v>
      </c>
      <c r="K162" s="226" t="s">
        <v>116</v>
      </c>
      <c r="L162" s="164">
        <v>79</v>
      </c>
      <c r="M162" s="165"/>
      <c r="N162" s="165"/>
      <c r="Q162" s="166">
        <v>9</v>
      </c>
      <c r="R162" s="163">
        <f>R161+Table1[[#This Row],[الوارد ]]-Table1[[#This Row],[المنصرف ]]</f>
        <v>180610.57301648601</v>
      </c>
      <c r="S162" s="226"/>
      <c r="T162" s="226"/>
    </row>
    <row r="163" spans="1:20">
      <c r="A163" s="237">
        <v>45678</v>
      </c>
      <c r="B163" s="160" t="str">
        <f>TEXT(Table1[[#This Row],[التاريخ ]],"DDD")</f>
        <v>Tue</v>
      </c>
      <c r="C163" s="160" t="str">
        <f>IF(Table1[[#This Row],[التاريخ ]]="","",TEXT(Table1[[#This Row],[التاريخ ]],"mmm"))</f>
        <v>Jan</v>
      </c>
      <c r="D163" s="161" t="s">
        <v>681</v>
      </c>
      <c r="G163" s="226">
        <v>492</v>
      </c>
      <c r="H163" s="227" t="str">
        <f>VLOOKUP(G:G,'قاعدة بيانات  '!K:L,2,0)</f>
        <v>اسامه محمد احمد عبد الحميد</v>
      </c>
      <c r="I163" s="226" t="s">
        <v>167</v>
      </c>
      <c r="J163" s="226" t="s">
        <v>301</v>
      </c>
      <c r="K163" s="226" t="s">
        <v>120</v>
      </c>
      <c r="L163" s="164">
        <v>79</v>
      </c>
      <c r="M163" s="165"/>
      <c r="N163" s="165"/>
      <c r="Q163" s="166">
        <v>228</v>
      </c>
      <c r="R163" s="163">
        <f>R162+Table1[[#This Row],[الوارد ]]-Table1[[#This Row],[المنصرف ]]</f>
        <v>180382.57301648601</v>
      </c>
      <c r="S163" s="226"/>
      <c r="T163" s="226"/>
    </row>
    <row r="164" spans="1:20">
      <c r="A164" s="237">
        <v>45678</v>
      </c>
      <c r="B164" s="160" t="str">
        <f>TEXT(Table1[[#This Row],[التاريخ ]],"DDD")</f>
        <v>Tue</v>
      </c>
      <c r="C164" s="160" t="str">
        <f>IF(Table1[[#This Row],[التاريخ ]]="","",TEXT(Table1[[#This Row],[التاريخ ]],"mmm"))</f>
        <v>Jan</v>
      </c>
      <c r="D164" s="161" t="s">
        <v>682</v>
      </c>
      <c r="G164" s="226">
        <v>492</v>
      </c>
      <c r="H164" s="227" t="str">
        <f>VLOOKUP(G:G,'قاعدة بيانات  '!K:L,2,0)</f>
        <v>اسامه محمد احمد عبد الحميد</v>
      </c>
      <c r="I164" s="226" t="s">
        <v>167</v>
      </c>
      <c r="J164" s="226" t="s">
        <v>301</v>
      </c>
      <c r="K164" s="226" t="s">
        <v>116</v>
      </c>
      <c r="L164" s="164">
        <v>79</v>
      </c>
      <c r="M164" s="165"/>
      <c r="N164" s="165"/>
      <c r="Q164" s="166">
        <v>24</v>
      </c>
      <c r="R164" s="163">
        <f>R163+Table1[[#This Row],[الوارد ]]-Table1[[#This Row],[المنصرف ]]</f>
        <v>180358.57301648601</v>
      </c>
      <c r="S164" s="226"/>
      <c r="T164" s="226"/>
    </row>
    <row r="165" spans="1:20">
      <c r="A165" s="237">
        <v>45678</v>
      </c>
      <c r="B165" s="160" t="str">
        <f>TEXT(Table1[[#This Row],[التاريخ ]],"DDD")</f>
        <v>Tue</v>
      </c>
      <c r="C165" s="160" t="str">
        <f>IF(Table1[[#This Row],[التاريخ ]]="","",TEXT(Table1[[#This Row],[التاريخ ]],"mmm"))</f>
        <v>Jan</v>
      </c>
      <c r="D165" s="161" t="s">
        <v>657</v>
      </c>
      <c r="G165" s="226">
        <v>545</v>
      </c>
      <c r="H165" s="227" t="str">
        <f>VLOOKUP(G:G,'قاعدة بيانات  '!K:L,2,0)</f>
        <v>محمد الظافر محمد رفعت احمد إبراهيم</v>
      </c>
      <c r="I165" s="226" t="s">
        <v>107</v>
      </c>
      <c r="J165" s="226" t="s">
        <v>110</v>
      </c>
      <c r="K165" s="226" t="s">
        <v>116</v>
      </c>
      <c r="L165" s="164">
        <v>80</v>
      </c>
      <c r="M165" s="165"/>
      <c r="N165" s="165"/>
      <c r="Q165" s="166">
        <f>115+34</f>
        <v>149</v>
      </c>
      <c r="R165" s="163">
        <f>R164+Table1[[#This Row],[الوارد ]]-Table1[[#This Row],[المنصرف ]]</f>
        <v>180209.57301648601</v>
      </c>
      <c r="S165" s="226"/>
      <c r="T165" s="226"/>
    </row>
    <row r="166" spans="1:20">
      <c r="A166" s="237">
        <v>45678</v>
      </c>
      <c r="B166" s="160" t="str">
        <f>TEXT(Table1[[#This Row],[التاريخ ]],"DDD")</f>
        <v>Tue</v>
      </c>
      <c r="C166" s="160" t="str">
        <f>IF(Table1[[#This Row],[التاريخ ]]="","",TEXT(Table1[[#This Row],[التاريخ ]],"mmm"))</f>
        <v>Jan</v>
      </c>
      <c r="D166" s="161" t="s">
        <v>657</v>
      </c>
      <c r="G166" s="226">
        <v>545</v>
      </c>
      <c r="H166" s="227" t="str">
        <f>VLOOKUP(G:G,'قاعدة بيانات  '!K:L,2,0)</f>
        <v>محمد الظافر محمد رفعت احمد إبراهيم</v>
      </c>
      <c r="I166" s="226" t="s">
        <v>439</v>
      </c>
      <c r="J166" s="226" t="s">
        <v>112</v>
      </c>
      <c r="K166" s="226" t="s">
        <v>116</v>
      </c>
      <c r="L166" s="164">
        <v>80</v>
      </c>
      <c r="M166" s="165"/>
      <c r="N166" s="165"/>
      <c r="Q166" s="166">
        <f>71+38.5+71+77</f>
        <v>257.5</v>
      </c>
      <c r="R166" s="163">
        <f>R165+Table1[[#This Row],[الوارد ]]-Table1[[#This Row],[المنصرف ]]</f>
        <v>179952.07301648601</v>
      </c>
      <c r="S166" s="226"/>
      <c r="T166" s="226"/>
    </row>
    <row r="167" spans="1:20">
      <c r="A167" s="237">
        <v>45678</v>
      </c>
      <c r="B167" s="160" t="str">
        <f>TEXT(Table1[[#This Row],[التاريخ ]],"DDD")</f>
        <v>Tue</v>
      </c>
      <c r="C167" s="160" t="str">
        <f>IF(Table1[[#This Row],[التاريخ ]]="","",TEXT(Table1[[#This Row],[التاريخ ]],"mmm"))</f>
        <v>Jan</v>
      </c>
      <c r="D167" s="161" t="s">
        <v>657</v>
      </c>
      <c r="G167" s="226">
        <v>545</v>
      </c>
      <c r="H167" s="227" t="str">
        <f>VLOOKUP(G:G,'قاعدة بيانات  '!K:L,2,0)</f>
        <v>محمد الظافر محمد رفعت احمد إبراهيم</v>
      </c>
      <c r="I167" s="226" t="s">
        <v>425</v>
      </c>
      <c r="J167" s="226" t="s">
        <v>112</v>
      </c>
      <c r="K167" s="226" t="s">
        <v>116</v>
      </c>
      <c r="L167" s="164">
        <v>80</v>
      </c>
      <c r="M167" s="165"/>
      <c r="N167" s="165"/>
      <c r="Q167" s="166">
        <v>38.5</v>
      </c>
      <c r="R167" s="163">
        <f>R166+Table1[[#This Row],[الوارد ]]-Table1[[#This Row],[المنصرف ]]</f>
        <v>179913.57301648601</v>
      </c>
      <c r="S167" s="226"/>
      <c r="T167" s="226"/>
    </row>
    <row r="168" spans="1:20">
      <c r="A168" s="237">
        <v>45678</v>
      </c>
      <c r="B168" s="160" t="str">
        <f>TEXT(Table1[[#This Row],[التاريخ ]],"DDD")</f>
        <v>Tue</v>
      </c>
      <c r="C168" s="160" t="str">
        <f>IF(Table1[[#This Row],[التاريخ ]]="","",TEXT(Table1[[#This Row],[التاريخ ]],"mmm"))</f>
        <v>Jan</v>
      </c>
      <c r="D168" s="161" t="s">
        <v>683</v>
      </c>
      <c r="E168" s="161" t="s">
        <v>880</v>
      </c>
      <c r="F168" s="162">
        <v>2501010103078570</v>
      </c>
      <c r="G168" s="226">
        <v>151</v>
      </c>
      <c r="H168" s="227" t="str">
        <f>VLOOKUP(G:G,'قاعدة بيانات  '!K:L,2,0)</f>
        <v xml:space="preserve">احمد عبد الباسط عبد السلام محمد </v>
      </c>
      <c r="I168" s="226" t="s">
        <v>167</v>
      </c>
      <c r="J168" s="226" t="s">
        <v>301</v>
      </c>
      <c r="K168" s="226" t="s">
        <v>125</v>
      </c>
      <c r="L168" s="164">
        <v>81</v>
      </c>
      <c r="M168" s="165"/>
      <c r="N168" s="165"/>
      <c r="Q168" s="166">
        <v>7382.21</v>
      </c>
      <c r="R168" s="163">
        <f>R167+Table1[[#This Row],[الوارد ]]-Table1[[#This Row],[المنصرف ]]</f>
        <v>172531.36301648602</v>
      </c>
      <c r="S168" s="226"/>
      <c r="T168" s="226"/>
    </row>
    <row r="169" spans="1:20">
      <c r="A169" s="237">
        <v>45678</v>
      </c>
      <c r="B169" s="160" t="str">
        <f>TEXT(Table1[[#This Row],[التاريخ ]],"DDD")</f>
        <v>Tue</v>
      </c>
      <c r="C169" s="160" t="str">
        <f>IF(Table1[[#This Row],[التاريخ ]]="","",TEXT(Table1[[#This Row],[التاريخ ]],"mmm"))</f>
        <v>Jan</v>
      </c>
      <c r="D169" s="161" t="s">
        <v>684</v>
      </c>
      <c r="E169" s="161" t="s">
        <v>880</v>
      </c>
      <c r="F169" s="162">
        <v>2501010103078570</v>
      </c>
      <c r="G169" s="226">
        <v>151</v>
      </c>
      <c r="H169" s="227" t="str">
        <f>VLOOKUP(G:G,'قاعدة بيانات  '!K:L,2,0)</f>
        <v xml:space="preserve">احمد عبد الباسط عبد السلام محمد </v>
      </c>
      <c r="I169" s="226" t="s">
        <v>167</v>
      </c>
      <c r="J169" s="226" t="s">
        <v>301</v>
      </c>
      <c r="K169" s="226" t="s">
        <v>120</v>
      </c>
      <c r="L169" s="164">
        <v>81</v>
      </c>
      <c r="M169" s="165"/>
      <c r="N169" s="165"/>
      <c r="Q169" s="166">
        <v>20</v>
      </c>
      <c r="R169" s="163">
        <f>R168+Table1[[#This Row],[الوارد ]]-Table1[[#This Row],[المنصرف ]]</f>
        <v>172511.36301648602</v>
      </c>
      <c r="S169" s="226"/>
      <c r="T169" s="226"/>
    </row>
    <row r="170" spans="1:20">
      <c r="A170" s="237">
        <v>45678</v>
      </c>
      <c r="B170" s="160" t="str">
        <f>TEXT(Table1[[#This Row],[التاريخ ]],"DDD")</f>
        <v>Tue</v>
      </c>
      <c r="C170" s="160" t="str">
        <f>IF(Table1[[#This Row],[التاريخ ]]="","",TEXT(Table1[[#This Row],[التاريخ ]],"mmm"))</f>
        <v>Jan</v>
      </c>
      <c r="D170" s="161" t="s">
        <v>685</v>
      </c>
      <c r="G170" s="226">
        <v>514</v>
      </c>
      <c r="H170" s="227" t="str">
        <f>VLOOKUP(G:G,'قاعدة بيانات  '!K:L,2,0)</f>
        <v>حسين احمد حسين محمود مرسى</v>
      </c>
      <c r="I170" s="226" t="s">
        <v>100</v>
      </c>
      <c r="J170" s="226" t="s">
        <v>1114</v>
      </c>
      <c r="K170" s="226" t="s">
        <v>116</v>
      </c>
      <c r="L170" s="164">
        <v>82</v>
      </c>
      <c r="M170" s="165"/>
      <c r="N170" s="165"/>
      <c r="Q170" s="166">
        <v>158</v>
      </c>
      <c r="R170" s="163">
        <f>R169+Table1[[#This Row],[الوارد ]]-Table1[[#This Row],[المنصرف ]]</f>
        <v>172353.36301648602</v>
      </c>
      <c r="S170" s="226"/>
      <c r="T170" s="226"/>
    </row>
    <row r="171" spans="1:20">
      <c r="A171" s="237">
        <v>45678</v>
      </c>
      <c r="B171" s="160" t="str">
        <f>TEXT(Table1[[#This Row],[التاريخ ]],"DDD")</f>
        <v>Tue</v>
      </c>
      <c r="C171" s="160" t="str">
        <f>IF(Table1[[#This Row],[التاريخ ]]="","",TEXT(Table1[[#This Row],[التاريخ ]],"mmm"))</f>
        <v>Jan</v>
      </c>
      <c r="D171" s="161" t="s">
        <v>686</v>
      </c>
      <c r="G171" s="226">
        <v>514</v>
      </c>
      <c r="H171" s="227" t="str">
        <f>VLOOKUP(G:G,'قاعدة بيانات  '!K:L,2,0)</f>
        <v>حسين احمد حسين محمود مرسى</v>
      </c>
      <c r="I171" s="226" t="s">
        <v>100</v>
      </c>
      <c r="J171" s="226" t="s">
        <v>1114</v>
      </c>
      <c r="K171" s="226" t="s">
        <v>128</v>
      </c>
      <c r="L171" s="164">
        <v>82</v>
      </c>
      <c r="M171" s="165"/>
      <c r="N171" s="165"/>
      <c r="Q171" s="166">
        <v>40</v>
      </c>
      <c r="R171" s="163">
        <f>R170+Table1[[#This Row],[الوارد ]]-Table1[[#This Row],[المنصرف ]]</f>
        <v>172313.36301648602</v>
      </c>
      <c r="S171" s="226"/>
      <c r="T171" s="226"/>
    </row>
    <row r="172" spans="1:20">
      <c r="A172" s="237">
        <v>45678</v>
      </c>
      <c r="B172" s="160" t="str">
        <f>TEXT(Table1[[#This Row],[التاريخ ]],"DDD")</f>
        <v>Tue</v>
      </c>
      <c r="C172" s="160" t="str">
        <f>IF(Table1[[#This Row],[التاريخ ]]="","",TEXT(Table1[[#This Row],[التاريخ ]],"mmm"))</f>
        <v>Jan</v>
      </c>
      <c r="D172" s="161" t="s">
        <v>687</v>
      </c>
      <c r="G172" s="226">
        <v>515</v>
      </c>
      <c r="H172" s="227" t="str">
        <f>VLOOKUP(G:G,'قاعدة بيانات  '!K:L,2,0)</f>
        <v>محمد عبدالمنعم عبدالحليم إبراهيم</v>
      </c>
      <c r="I172" s="226" t="s">
        <v>198</v>
      </c>
      <c r="J172" s="226" t="s">
        <v>301</v>
      </c>
      <c r="K172" s="226" t="s">
        <v>141</v>
      </c>
      <c r="L172" s="164">
        <v>83</v>
      </c>
      <c r="M172" s="165"/>
      <c r="N172" s="165"/>
      <c r="Q172" s="166">
        <v>50</v>
      </c>
      <c r="R172" s="163">
        <f>R171+Table1[[#This Row],[الوارد ]]-Table1[[#This Row],[المنصرف ]]</f>
        <v>172263.36301648602</v>
      </c>
      <c r="S172" s="226"/>
      <c r="T172" s="226"/>
    </row>
    <row r="173" spans="1:20">
      <c r="A173" s="237">
        <v>45678</v>
      </c>
      <c r="B173" s="160" t="str">
        <f>TEXT(Table1[[#This Row],[التاريخ ]],"DDD")</f>
        <v>Tue</v>
      </c>
      <c r="C173" s="160" t="str">
        <f>IF(Table1[[#This Row],[التاريخ ]]="","",TEXT(Table1[[#This Row],[التاريخ ]],"mmm"))</f>
        <v>Jan</v>
      </c>
      <c r="D173" s="161" t="s">
        <v>688</v>
      </c>
      <c r="G173" s="226">
        <v>515</v>
      </c>
      <c r="H173" s="227" t="str">
        <f>VLOOKUP(G:G,'قاعدة بيانات  '!K:L,2,0)</f>
        <v>محمد عبدالمنعم عبدالحليم إبراهيم</v>
      </c>
      <c r="I173" s="226" t="s">
        <v>198</v>
      </c>
      <c r="J173" s="226" t="s">
        <v>301</v>
      </c>
      <c r="K173" s="226" t="s">
        <v>117</v>
      </c>
      <c r="L173" s="164">
        <v>84</v>
      </c>
      <c r="M173" s="165"/>
      <c r="N173" s="165"/>
      <c r="Q173" s="166">
        <v>20</v>
      </c>
      <c r="R173" s="163">
        <f>R172+Table1[[#This Row],[الوارد ]]-Table1[[#This Row],[المنصرف ]]</f>
        <v>172243.36301648602</v>
      </c>
      <c r="S173" s="226"/>
      <c r="T173" s="226"/>
    </row>
    <row r="174" spans="1:20">
      <c r="A174" s="237">
        <v>45678</v>
      </c>
      <c r="B174" s="160" t="str">
        <f>TEXT(Table1[[#This Row],[التاريخ ]],"DDD")</f>
        <v>Tue</v>
      </c>
      <c r="C174" s="160" t="str">
        <f>IF(Table1[[#This Row],[التاريخ ]]="","",TEXT(Table1[[#This Row],[التاريخ ]],"mmm"))</f>
        <v>Jan</v>
      </c>
      <c r="D174" s="161" t="s">
        <v>689</v>
      </c>
      <c r="G174" s="226">
        <v>365</v>
      </c>
      <c r="H174" s="227" t="str">
        <f>VLOOKUP(G:G,'قاعدة بيانات  '!K:L,2,0)</f>
        <v>محمد رضا سعد حسن الشرقاوى</v>
      </c>
      <c r="I174" s="226" t="s">
        <v>167</v>
      </c>
      <c r="J174" s="226" t="s">
        <v>301</v>
      </c>
      <c r="K174" s="226" t="s">
        <v>116</v>
      </c>
      <c r="L174" s="164">
        <v>85</v>
      </c>
      <c r="M174" s="165"/>
      <c r="N174" s="165"/>
      <c r="Q174" s="166">
        <v>20</v>
      </c>
      <c r="R174" s="163">
        <f>R173+Table1[[#This Row],[الوارد ]]-Table1[[#This Row],[المنصرف ]]</f>
        <v>172223.36301648602</v>
      </c>
      <c r="S174" s="226"/>
      <c r="T174" s="226"/>
    </row>
    <row r="175" spans="1:20">
      <c r="A175" s="237">
        <v>45678</v>
      </c>
      <c r="B175" s="160" t="str">
        <f>TEXT(Table1[[#This Row],[التاريخ ]],"DDD")</f>
        <v>Tue</v>
      </c>
      <c r="C175" s="160" t="str">
        <f>IF(Table1[[#This Row],[التاريخ ]]="","",TEXT(Table1[[#This Row],[التاريخ ]],"mmm"))</f>
        <v>Jan</v>
      </c>
      <c r="D175" s="161" t="s">
        <v>690</v>
      </c>
      <c r="G175" s="226">
        <v>365</v>
      </c>
      <c r="H175" s="227" t="str">
        <f>VLOOKUP(G:G,'قاعدة بيانات  '!K:L,2,0)</f>
        <v>محمد رضا سعد حسن الشرقاوى</v>
      </c>
      <c r="I175" s="226" t="s">
        <v>167</v>
      </c>
      <c r="J175" s="226" t="s">
        <v>301</v>
      </c>
      <c r="K175" s="226" t="s">
        <v>120</v>
      </c>
      <c r="L175" s="164">
        <v>85</v>
      </c>
      <c r="M175" s="165"/>
      <c r="N175" s="165"/>
      <c r="Q175" s="166">
        <v>60</v>
      </c>
      <c r="R175" s="163">
        <f>R174+Table1[[#This Row],[الوارد ]]-Table1[[#This Row],[المنصرف ]]</f>
        <v>172163.36301648602</v>
      </c>
      <c r="S175" s="226"/>
      <c r="T175" s="226"/>
    </row>
    <row r="176" spans="1:20">
      <c r="A176" s="237">
        <v>45678</v>
      </c>
      <c r="B176" s="160" t="str">
        <f>TEXT(Table1[[#This Row],[التاريخ ]],"DDD")</f>
        <v>Tue</v>
      </c>
      <c r="C176" s="160" t="str">
        <f>IF(Table1[[#This Row],[التاريخ ]]="","",TEXT(Table1[[#This Row],[التاريخ ]],"mmm"))</f>
        <v>Jan</v>
      </c>
      <c r="D176" s="161" t="s">
        <v>691</v>
      </c>
      <c r="G176" s="226">
        <v>515</v>
      </c>
      <c r="H176" s="227" t="str">
        <f>VLOOKUP(G:G,'قاعدة بيانات  '!K:L,2,0)</f>
        <v>محمد عبدالمنعم عبدالحليم إبراهيم</v>
      </c>
      <c r="I176" s="226" t="s">
        <v>198</v>
      </c>
      <c r="J176" s="226" t="s">
        <v>301</v>
      </c>
      <c r="K176" s="226" t="s">
        <v>302</v>
      </c>
      <c r="L176" s="164">
        <v>86</v>
      </c>
      <c r="M176" s="165"/>
      <c r="N176" s="165"/>
      <c r="Q176" s="166">
        <v>298</v>
      </c>
      <c r="R176" s="163">
        <f>R175+Table1[[#This Row],[الوارد ]]-Table1[[#This Row],[المنصرف ]]</f>
        <v>171865.36301648602</v>
      </c>
      <c r="S176" s="226"/>
      <c r="T176" s="226"/>
    </row>
    <row r="177" spans="1:20">
      <c r="A177" s="237">
        <v>45678</v>
      </c>
      <c r="B177" s="160" t="str">
        <f>TEXT(Table1[[#This Row],[التاريخ ]],"DDD")</f>
        <v>Tue</v>
      </c>
      <c r="C177" s="160" t="str">
        <f>IF(Table1[[#This Row],[التاريخ ]]="","",TEXT(Table1[[#This Row],[التاريخ ]],"mmm"))</f>
        <v>Jan</v>
      </c>
      <c r="D177" s="161" t="s">
        <v>692</v>
      </c>
      <c r="G177" s="226">
        <v>515</v>
      </c>
      <c r="H177" s="227" t="str">
        <f>VLOOKUP(G:G,'قاعدة بيانات  '!K:L,2,0)</f>
        <v>محمد عبدالمنعم عبدالحليم إبراهيم</v>
      </c>
      <c r="I177" s="226" t="s">
        <v>198</v>
      </c>
      <c r="J177" s="226" t="s">
        <v>1113</v>
      </c>
      <c r="K177" s="226" t="s">
        <v>117</v>
      </c>
      <c r="L177" s="164">
        <v>86</v>
      </c>
      <c r="M177" s="165"/>
      <c r="N177" s="165"/>
      <c r="Q177" s="166">
        <v>225</v>
      </c>
      <c r="R177" s="163">
        <f>R176+Table1[[#This Row],[الوارد ]]-Table1[[#This Row],[المنصرف ]]</f>
        <v>171640.36301648602</v>
      </c>
      <c r="S177" s="226"/>
      <c r="T177" s="226"/>
    </row>
    <row r="178" spans="1:20">
      <c r="A178" s="237">
        <v>45678</v>
      </c>
      <c r="B178" s="160" t="str">
        <f>TEXT(Table1[[#This Row],[التاريخ ]],"DDD")</f>
        <v>Tue</v>
      </c>
      <c r="C178" s="160" t="str">
        <f>IF(Table1[[#This Row],[التاريخ ]]="","",TEXT(Table1[[#This Row],[التاريخ ]],"mmm"))</f>
        <v>Jan</v>
      </c>
      <c r="D178" s="161" t="s">
        <v>693</v>
      </c>
      <c r="G178" s="226">
        <v>515</v>
      </c>
      <c r="H178" s="227" t="str">
        <f>VLOOKUP(G:G,'قاعدة بيانات  '!K:L,2,0)</f>
        <v>محمد عبدالمنعم عبدالحليم إبراهيم</v>
      </c>
      <c r="I178" s="226" t="s">
        <v>198</v>
      </c>
      <c r="J178" s="226" t="s">
        <v>1113</v>
      </c>
      <c r="K178" s="226" t="s">
        <v>116</v>
      </c>
      <c r="L178" s="164">
        <v>86</v>
      </c>
      <c r="M178" s="165"/>
      <c r="N178" s="165"/>
      <c r="Q178" s="166">
        <v>20</v>
      </c>
      <c r="R178" s="163">
        <f>R177+Table1[[#This Row],[الوارد ]]-Table1[[#This Row],[المنصرف ]]</f>
        <v>171620.36301648602</v>
      </c>
      <c r="S178" s="226"/>
      <c r="T178" s="226"/>
    </row>
    <row r="179" spans="1:20">
      <c r="A179" s="237">
        <v>45678</v>
      </c>
      <c r="B179" s="160" t="str">
        <f>TEXT(Table1[[#This Row],[التاريخ ]],"DDD")</f>
        <v>Tue</v>
      </c>
      <c r="C179" s="160" t="str">
        <f>IF(Table1[[#This Row],[التاريخ ]]="","",TEXT(Table1[[#This Row],[التاريخ ]],"mmm"))</f>
        <v>Jan</v>
      </c>
      <c r="D179" s="161" t="s">
        <v>651</v>
      </c>
      <c r="G179" s="226">
        <v>546</v>
      </c>
      <c r="H179" s="227" t="str">
        <f>VLOOKUP(G:G,'قاعدة بيانات  '!K:L,2,0)</f>
        <v>احمد عادل محمد احمد</v>
      </c>
      <c r="I179" s="226" t="s">
        <v>439</v>
      </c>
      <c r="J179" s="226" t="s">
        <v>112</v>
      </c>
      <c r="K179" s="226" t="s">
        <v>116</v>
      </c>
      <c r="L179" s="164">
        <v>87</v>
      </c>
      <c r="M179" s="165"/>
      <c r="N179" s="165"/>
      <c r="Q179" s="166">
        <f>70+52+93</f>
        <v>215</v>
      </c>
      <c r="R179" s="163">
        <f>R178+Table1[[#This Row],[الوارد ]]-Table1[[#This Row],[المنصرف ]]</f>
        <v>171405.36301648602</v>
      </c>
      <c r="S179" s="226"/>
      <c r="T179" s="226"/>
    </row>
    <row r="180" spans="1:20">
      <c r="A180" s="237">
        <v>45678</v>
      </c>
      <c r="B180" s="160" t="str">
        <f>TEXT(Table1[[#This Row],[التاريخ ]],"DDD")</f>
        <v>Tue</v>
      </c>
      <c r="C180" s="160" t="str">
        <f>IF(Table1[[#This Row],[التاريخ ]]="","",TEXT(Table1[[#This Row],[التاريخ ]],"mmm"))</f>
        <v>Jan</v>
      </c>
      <c r="D180" s="161" t="s">
        <v>651</v>
      </c>
      <c r="G180" s="226">
        <v>546</v>
      </c>
      <c r="H180" s="227" t="str">
        <f>VLOOKUP(G:G,'قاعدة بيانات  '!K:L,2,0)</f>
        <v>احمد عادل محمد احمد</v>
      </c>
      <c r="I180" s="226" t="s">
        <v>425</v>
      </c>
      <c r="J180" s="226" t="s">
        <v>112</v>
      </c>
      <c r="K180" s="226" t="s">
        <v>116</v>
      </c>
      <c r="L180" s="164">
        <v>87</v>
      </c>
      <c r="M180" s="165"/>
      <c r="N180" s="165"/>
      <c r="Q180" s="166">
        <v>201</v>
      </c>
      <c r="R180" s="163">
        <f>R179+Table1[[#This Row],[الوارد ]]-Table1[[#This Row],[المنصرف ]]</f>
        <v>171204.36301648602</v>
      </c>
      <c r="S180" s="226"/>
      <c r="T180" s="226"/>
    </row>
    <row r="181" spans="1:20">
      <c r="A181" s="237">
        <v>45678</v>
      </c>
      <c r="B181" s="160" t="str">
        <f>TEXT(Table1[[#This Row],[التاريخ ]],"DDD")</f>
        <v>Tue</v>
      </c>
      <c r="C181" s="160" t="str">
        <f>IF(Table1[[#This Row],[التاريخ ]]="","",TEXT(Table1[[#This Row],[التاريخ ]],"mmm"))</f>
        <v>Jan</v>
      </c>
      <c r="D181" s="161" t="s">
        <v>624</v>
      </c>
      <c r="G181" s="226">
        <v>151</v>
      </c>
      <c r="H181" s="227" t="str">
        <f>VLOOKUP(G:G,'قاعدة بيانات  '!K:L,2,0)</f>
        <v xml:space="preserve">احمد عبد الباسط عبد السلام محمد </v>
      </c>
      <c r="I181" s="226" t="s">
        <v>392</v>
      </c>
      <c r="J181" s="226" t="s">
        <v>110</v>
      </c>
      <c r="K181" s="226" t="s">
        <v>128</v>
      </c>
      <c r="L181" s="164">
        <v>88</v>
      </c>
      <c r="M181" s="165"/>
      <c r="N181" s="165"/>
      <c r="Q181" s="166">
        <v>1785.96</v>
      </c>
      <c r="R181" s="163">
        <f>R180+Table1[[#This Row],[الوارد ]]-Table1[[#This Row],[المنصرف ]]</f>
        <v>169418.40301648603</v>
      </c>
      <c r="S181" s="226"/>
      <c r="T181" s="226"/>
    </row>
    <row r="182" spans="1:20">
      <c r="A182" s="237">
        <v>45678</v>
      </c>
      <c r="B182" s="160" t="str">
        <f>TEXT(Table1[[#This Row],[التاريخ ]],"DDD")</f>
        <v>Tue</v>
      </c>
      <c r="C182" s="160" t="str">
        <f>IF(Table1[[#This Row],[التاريخ ]]="","",TEXT(Table1[[#This Row],[التاريخ ]],"mmm"))</f>
        <v>Jan</v>
      </c>
      <c r="D182" s="161" t="s">
        <v>694</v>
      </c>
      <c r="G182" s="226">
        <v>151</v>
      </c>
      <c r="H182" s="227" t="str">
        <f>VLOOKUP(G:G,'قاعدة بيانات  '!K:L,2,0)</f>
        <v xml:space="preserve">احمد عبد الباسط عبد السلام محمد </v>
      </c>
      <c r="I182" s="226" t="s">
        <v>100</v>
      </c>
      <c r="J182" s="226" t="s">
        <v>110</v>
      </c>
      <c r="K182" s="226" t="s">
        <v>128</v>
      </c>
      <c r="L182" s="164">
        <v>88</v>
      </c>
      <c r="M182" s="165"/>
      <c r="N182" s="165"/>
      <c r="Q182" s="166">
        <f>65+78</f>
        <v>143</v>
      </c>
      <c r="R182" s="163">
        <f>R181+Table1[[#This Row],[الوارد ]]-Table1[[#This Row],[المنصرف ]]</f>
        <v>169275.40301648603</v>
      </c>
      <c r="S182" s="226"/>
      <c r="T182" s="226"/>
    </row>
    <row r="183" spans="1:20">
      <c r="A183" s="237">
        <v>45678</v>
      </c>
      <c r="B183" s="160" t="str">
        <f>TEXT(Table1[[#This Row],[التاريخ ]],"DDD")</f>
        <v>Tue</v>
      </c>
      <c r="C183" s="160" t="str">
        <f>IF(Table1[[#This Row],[التاريخ ]]="","",TEXT(Table1[[#This Row],[التاريخ ]],"mmm"))</f>
        <v>Jan</v>
      </c>
      <c r="D183" s="161" t="s">
        <v>605</v>
      </c>
      <c r="G183" s="226">
        <v>4</v>
      </c>
      <c r="H183" s="227" t="str">
        <f>VLOOKUP(G:G,'قاعدة بيانات  '!K:L,2,0)</f>
        <v>وليد عبد الكريم عبد العليم</v>
      </c>
      <c r="I183" s="226" t="s">
        <v>167</v>
      </c>
      <c r="J183" s="226" t="s">
        <v>301</v>
      </c>
      <c r="K183" s="226" t="s">
        <v>128</v>
      </c>
      <c r="L183" s="164">
        <v>89</v>
      </c>
      <c r="M183" s="165"/>
      <c r="N183" s="165"/>
      <c r="Q183" s="166">
        <v>600</v>
      </c>
      <c r="R183" s="163">
        <f>R182+Table1[[#This Row],[الوارد ]]-Table1[[#This Row],[المنصرف ]]</f>
        <v>168675.40301648603</v>
      </c>
      <c r="S183" s="226"/>
      <c r="T183" s="226"/>
    </row>
    <row r="184" spans="1:20">
      <c r="A184" s="237">
        <v>45679</v>
      </c>
      <c r="B184" s="160" t="str">
        <f>TEXT(Table1[[#This Row],[التاريخ ]],"DDD")</f>
        <v>Wed</v>
      </c>
      <c r="C184" s="160" t="str">
        <f>IF(Table1[[#This Row],[التاريخ ]]="","",TEXT(Table1[[#This Row],[التاريخ ]],"mmm"))</f>
        <v>Jan</v>
      </c>
      <c r="D184" s="161" t="s">
        <v>699</v>
      </c>
      <c r="G184" s="226">
        <v>238</v>
      </c>
      <c r="H184" s="227" t="str">
        <f>VLOOKUP(G:G,'قاعدة بيانات  '!K:L,2,0)</f>
        <v xml:space="preserve">اشرف محمد محروس محمود </v>
      </c>
      <c r="I184" s="226" t="s">
        <v>100</v>
      </c>
      <c r="J184" s="226" t="s">
        <v>1114</v>
      </c>
      <c r="K184" s="226" t="s">
        <v>116</v>
      </c>
      <c r="L184" s="164">
        <v>90</v>
      </c>
      <c r="M184" s="165"/>
      <c r="N184" s="165"/>
      <c r="Q184" s="166">
        <v>48</v>
      </c>
      <c r="R184" s="163">
        <f>R183+Table1[[#This Row],[الوارد ]]-Table1[[#This Row],[المنصرف ]]</f>
        <v>168627.40301648603</v>
      </c>
      <c r="S184" s="226"/>
      <c r="T184" s="226"/>
    </row>
    <row r="185" spans="1:20">
      <c r="A185" s="237">
        <v>45679</v>
      </c>
      <c r="B185" s="160" t="str">
        <f>TEXT(Table1[[#This Row],[التاريخ ]],"DDD")</f>
        <v>Wed</v>
      </c>
      <c r="C185" s="160" t="str">
        <f>IF(Table1[[#This Row],[التاريخ ]]="","",TEXT(Table1[[#This Row],[التاريخ ]],"mmm"))</f>
        <v>Jan</v>
      </c>
      <c r="D185" s="161" t="s">
        <v>700</v>
      </c>
      <c r="G185" s="226">
        <v>515</v>
      </c>
      <c r="H185" s="227" t="str">
        <f>VLOOKUP(G:G,'قاعدة بيانات  '!K:L,2,0)</f>
        <v>محمد عبدالمنعم عبدالحليم إبراهيم</v>
      </c>
      <c r="I185" s="226" t="s">
        <v>108</v>
      </c>
      <c r="J185" s="226" t="s">
        <v>301</v>
      </c>
      <c r="K185" s="226" t="s">
        <v>128</v>
      </c>
      <c r="L185" s="164">
        <v>91</v>
      </c>
      <c r="M185" s="165"/>
      <c r="N185" s="165"/>
      <c r="Q185" s="166">
        <v>449</v>
      </c>
      <c r="R185" s="163">
        <f>R184+Table1[[#This Row],[الوارد ]]-Table1[[#This Row],[المنصرف ]]</f>
        <v>168178.40301648603</v>
      </c>
      <c r="S185" s="226"/>
      <c r="T185" s="226"/>
    </row>
    <row r="186" spans="1:20">
      <c r="A186" s="237">
        <v>45679</v>
      </c>
      <c r="B186" s="160" t="str">
        <f>TEXT(Table1[[#This Row],[التاريخ ]],"DDD")</f>
        <v>Wed</v>
      </c>
      <c r="C186" s="160" t="str">
        <f>IF(Table1[[#This Row],[التاريخ ]]="","",TEXT(Table1[[#This Row],[التاريخ ]],"mmm"))</f>
        <v>Jan</v>
      </c>
      <c r="D186" s="161" t="s">
        <v>437</v>
      </c>
      <c r="G186" s="226">
        <v>544</v>
      </c>
      <c r="H186" s="227" t="str">
        <f>VLOOKUP(G:G,'قاعدة بيانات  '!K:L,2,0)</f>
        <v>احمد منصور سليم منصور سليم</v>
      </c>
      <c r="I186" s="226" t="s">
        <v>439</v>
      </c>
      <c r="J186" s="226" t="s">
        <v>112</v>
      </c>
      <c r="K186" s="226" t="s">
        <v>120</v>
      </c>
      <c r="L186" s="164">
        <v>92</v>
      </c>
      <c r="M186" s="165"/>
      <c r="N186" s="165"/>
      <c r="Q186" s="166">
        <f>95.4+76.32</f>
        <v>171.72</v>
      </c>
      <c r="R186" s="163">
        <f>R185+Table1[[#This Row],[الوارد ]]-Table1[[#This Row],[المنصرف ]]</f>
        <v>168006.68301648603</v>
      </c>
      <c r="S186" s="226"/>
      <c r="T186" s="226"/>
    </row>
    <row r="187" spans="1:20">
      <c r="A187" s="237">
        <v>45679</v>
      </c>
      <c r="B187" s="160" t="str">
        <f>TEXT(Table1[[#This Row],[التاريخ ]],"DDD")</f>
        <v>Wed</v>
      </c>
      <c r="C187" s="160" t="str">
        <f>IF(Table1[[#This Row],[التاريخ ]]="","",TEXT(Table1[[#This Row],[التاريخ ]],"mmm"))</f>
        <v>Jan</v>
      </c>
      <c r="D187" s="161" t="s">
        <v>437</v>
      </c>
      <c r="G187" s="226">
        <v>544</v>
      </c>
      <c r="H187" s="227" t="str">
        <f>VLOOKUP(G:G,'قاعدة بيانات  '!K:L,2,0)</f>
        <v>احمد منصور سليم منصور سليم</v>
      </c>
      <c r="I187" s="226" t="s">
        <v>439</v>
      </c>
      <c r="J187" s="226" t="s">
        <v>112</v>
      </c>
      <c r="K187" s="226" t="s">
        <v>127</v>
      </c>
      <c r="L187" s="164">
        <v>92</v>
      </c>
      <c r="M187" s="165"/>
      <c r="N187" s="165"/>
      <c r="Q187" s="166">
        <f>12+20+20</f>
        <v>52</v>
      </c>
      <c r="R187" s="163">
        <f>R186+Table1[[#This Row],[الوارد ]]-Table1[[#This Row],[المنصرف ]]</f>
        <v>167954.68301648603</v>
      </c>
      <c r="S187" s="226"/>
      <c r="T187" s="226"/>
    </row>
    <row r="188" spans="1:20">
      <c r="A188" s="237">
        <v>45679</v>
      </c>
      <c r="B188" s="160" t="str">
        <f>TEXT(Table1[[#This Row],[التاريخ ]],"DDD")</f>
        <v>Wed</v>
      </c>
      <c r="C188" s="160" t="str">
        <f>IF(Table1[[#This Row],[التاريخ ]]="","",TEXT(Table1[[#This Row],[التاريخ ]],"mmm"))</f>
        <v>Jan</v>
      </c>
      <c r="D188" s="161" t="s">
        <v>437</v>
      </c>
      <c r="G188" s="226">
        <v>544</v>
      </c>
      <c r="H188" s="227" t="str">
        <f>VLOOKUP(G:G,'قاعدة بيانات  '!K:L,2,0)</f>
        <v>احمد منصور سليم منصور سليم</v>
      </c>
      <c r="I188" s="226" t="s">
        <v>439</v>
      </c>
      <c r="J188" s="226" t="s">
        <v>112</v>
      </c>
      <c r="K188" s="226" t="s">
        <v>124</v>
      </c>
      <c r="L188" s="164">
        <v>92</v>
      </c>
      <c r="M188" s="165"/>
      <c r="N188" s="165"/>
      <c r="Q188" s="166">
        <f>75+60</f>
        <v>135</v>
      </c>
      <c r="R188" s="163">
        <f>R187+Table1[[#This Row],[الوارد ]]-Table1[[#This Row],[المنصرف ]]</f>
        <v>167819.68301648603</v>
      </c>
      <c r="S188" s="226"/>
      <c r="T188" s="226"/>
    </row>
    <row r="189" spans="1:20">
      <c r="A189" s="237">
        <v>45679</v>
      </c>
      <c r="B189" s="160" t="str">
        <f>TEXT(Table1[[#This Row],[التاريخ ]],"DDD")</f>
        <v>Wed</v>
      </c>
      <c r="C189" s="160" t="str">
        <f>IF(Table1[[#This Row],[التاريخ ]]="","",TEXT(Table1[[#This Row],[التاريخ ]],"mmm"))</f>
        <v>Jan</v>
      </c>
      <c r="D189" s="161" t="s">
        <v>437</v>
      </c>
      <c r="G189" s="226">
        <v>544</v>
      </c>
      <c r="H189" s="227" t="str">
        <f>VLOOKUP(G:G,'قاعدة بيانات  '!K:L,2,0)</f>
        <v>احمد منصور سليم منصور سليم</v>
      </c>
      <c r="I189" s="226" t="s">
        <v>439</v>
      </c>
      <c r="J189" s="226" t="s">
        <v>112</v>
      </c>
      <c r="K189" s="226" t="s">
        <v>116</v>
      </c>
      <c r="L189" s="164">
        <v>92</v>
      </c>
      <c r="M189" s="165"/>
      <c r="N189" s="165"/>
      <c r="Q189" s="166">
        <f>8+15+10+5+5+10+8+15+5+7</f>
        <v>88</v>
      </c>
      <c r="R189" s="163">
        <f>R188+Table1[[#This Row],[الوارد ]]-Table1[[#This Row],[المنصرف ]]</f>
        <v>167731.68301648603</v>
      </c>
      <c r="S189" s="226"/>
      <c r="T189" s="226"/>
    </row>
    <row r="190" spans="1:20">
      <c r="A190" s="237">
        <v>45679</v>
      </c>
      <c r="B190" s="160" t="str">
        <f>TEXT(Table1[[#This Row],[التاريخ ]],"DDD")</f>
        <v>Wed</v>
      </c>
      <c r="C190" s="160" t="str">
        <f>IF(Table1[[#This Row],[التاريخ ]]="","",TEXT(Table1[[#This Row],[التاريخ ]],"mmm"))</f>
        <v>Jan</v>
      </c>
      <c r="D190" s="161" t="s">
        <v>701</v>
      </c>
      <c r="G190" s="226">
        <v>5</v>
      </c>
      <c r="H190" s="227" t="str">
        <f>VLOOKUP(G:G,'قاعدة بيانات  '!K:L,2,0)</f>
        <v>باسم صلاح عبد الله قوشتى</v>
      </c>
      <c r="I190" s="226" t="s">
        <v>167</v>
      </c>
      <c r="J190" s="226" t="s">
        <v>301</v>
      </c>
      <c r="K190" s="226" t="s">
        <v>124</v>
      </c>
      <c r="L190" s="164">
        <v>93</v>
      </c>
      <c r="M190" s="165"/>
      <c r="N190" s="165"/>
      <c r="Q190" s="166">
        <v>200</v>
      </c>
      <c r="R190" s="163">
        <f>R189+Table1[[#This Row],[الوارد ]]-Table1[[#This Row],[المنصرف ]]</f>
        <v>167531.68301648603</v>
      </c>
      <c r="S190" s="226"/>
      <c r="T190" s="226"/>
    </row>
    <row r="191" spans="1:20">
      <c r="A191" s="237">
        <v>45679</v>
      </c>
      <c r="B191" s="160" t="str">
        <f>TEXT(Table1[[#This Row],[التاريخ ]],"DDD")</f>
        <v>Wed</v>
      </c>
      <c r="C191" s="160" t="str">
        <f>IF(Table1[[#This Row],[التاريخ ]]="","",TEXT(Table1[[#This Row],[التاريخ ]],"mmm"))</f>
        <v>Jan</v>
      </c>
      <c r="D191" s="161" t="s">
        <v>407</v>
      </c>
      <c r="G191" s="226">
        <v>20</v>
      </c>
      <c r="H191" s="227" t="str">
        <f>VLOOKUP(G:G,'قاعدة بيانات  '!K:L,2,0)</f>
        <v>عبد العزيز صلاح عبد العزيز على حسن</v>
      </c>
      <c r="I191" s="226" t="s">
        <v>103</v>
      </c>
      <c r="J191" s="226" t="s">
        <v>112</v>
      </c>
      <c r="K191" s="226" t="s">
        <v>116</v>
      </c>
      <c r="L191" s="164">
        <v>94</v>
      </c>
      <c r="M191" s="165"/>
      <c r="N191" s="165"/>
      <c r="Q191" s="166">
        <f>32+30</f>
        <v>62</v>
      </c>
      <c r="R191" s="163">
        <f>R190+Table1[[#This Row],[الوارد ]]-Table1[[#This Row],[المنصرف ]]</f>
        <v>167469.68301648603</v>
      </c>
      <c r="S191" s="226"/>
      <c r="T191" s="226"/>
    </row>
    <row r="192" spans="1:20">
      <c r="A192" s="237">
        <v>45679</v>
      </c>
      <c r="B192" s="160" t="str">
        <f>TEXT(Table1[[#This Row],[التاريخ ]],"DDD")</f>
        <v>Wed</v>
      </c>
      <c r="C192" s="160" t="str">
        <f>IF(Table1[[#This Row],[التاريخ ]]="","",TEXT(Table1[[#This Row],[التاريخ ]],"mmm"))</f>
        <v>Jan</v>
      </c>
      <c r="D192" s="161" t="s">
        <v>407</v>
      </c>
      <c r="G192" s="226">
        <v>20</v>
      </c>
      <c r="H192" s="227" t="str">
        <f>VLOOKUP(G:G,'قاعدة بيانات  '!K:L,2,0)</f>
        <v>عبد العزيز صلاح عبد العزيز على حسن</v>
      </c>
      <c r="I192" s="226" t="s">
        <v>103</v>
      </c>
      <c r="J192" s="226" t="s">
        <v>112</v>
      </c>
      <c r="K192" s="226" t="s">
        <v>120</v>
      </c>
      <c r="L192" s="164">
        <v>94</v>
      </c>
      <c r="M192" s="165"/>
      <c r="N192" s="165"/>
      <c r="Q192" s="166">
        <f>3+20</f>
        <v>23</v>
      </c>
      <c r="R192" s="163">
        <f>R191+Table1[[#This Row],[الوارد ]]-Table1[[#This Row],[المنصرف ]]</f>
        <v>167446.68301648603</v>
      </c>
      <c r="S192" s="226"/>
      <c r="T192" s="226"/>
    </row>
    <row r="193" spans="1:20">
      <c r="A193" s="237">
        <v>45679</v>
      </c>
      <c r="B193" s="160" t="str">
        <f>TEXT(Table1[[#This Row],[التاريخ ]],"DDD")</f>
        <v>Wed</v>
      </c>
      <c r="C193" s="160" t="str">
        <f>IF(Table1[[#This Row],[التاريخ ]]="","",TEXT(Table1[[#This Row],[التاريخ ]],"mmm"))</f>
        <v>Jan</v>
      </c>
      <c r="D193" s="161" t="s">
        <v>407</v>
      </c>
      <c r="G193" s="226">
        <v>20</v>
      </c>
      <c r="H193" s="227" t="str">
        <f>VLOOKUP(G:G,'قاعدة بيانات  '!K:L,2,0)</f>
        <v>عبد العزيز صلاح عبد العزيز على حسن</v>
      </c>
      <c r="I193" s="226" t="s">
        <v>103</v>
      </c>
      <c r="J193" s="226" t="s">
        <v>112</v>
      </c>
      <c r="K193" s="226" t="s">
        <v>120</v>
      </c>
      <c r="L193" s="164">
        <v>94</v>
      </c>
      <c r="M193" s="165"/>
      <c r="N193" s="165"/>
      <c r="Q193" s="166">
        <v>125</v>
      </c>
      <c r="R193" s="163">
        <f>R192+Table1[[#This Row],[الوارد ]]-Table1[[#This Row],[المنصرف ]]</f>
        <v>167321.68301648603</v>
      </c>
      <c r="S193" s="226"/>
      <c r="T193" s="226"/>
    </row>
    <row r="194" spans="1:20">
      <c r="A194" s="237">
        <v>45679</v>
      </c>
      <c r="B194" s="160" t="str">
        <f>TEXT(Table1[[#This Row],[التاريخ ]],"DDD")</f>
        <v>Wed</v>
      </c>
      <c r="C194" s="160" t="str">
        <f>IF(Table1[[#This Row],[التاريخ ]]="","",TEXT(Table1[[#This Row],[التاريخ ]],"mmm"))</f>
        <v>Jan</v>
      </c>
      <c r="D194" s="161" t="s">
        <v>407</v>
      </c>
      <c r="G194" s="226">
        <v>20</v>
      </c>
      <c r="H194" s="227" t="str">
        <f>VLOOKUP(G:G,'قاعدة بيانات  '!K:L,2,0)</f>
        <v>عبد العزيز صلاح عبد العزيز على حسن</v>
      </c>
      <c r="I194" s="226" t="s">
        <v>359</v>
      </c>
      <c r="J194" s="226" t="s">
        <v>112</v>
      </c>
      <c r="K194" s="226" t="s">
        <v>116</v>
      </c>
      <c r="L194" s="164">
        <v>94</v>
      </c>
      <c r="M194" s="165"/>
      <c r="N194" s="165"/>
      <c r="Q194" s="166">
        <v>25</v>
      </c>
      <c r="R194" s="163">
        <f>R193+Table1[[#This Row],[الوارد ]]-Table1[[#This Row],[المنصرف ]]</f>
        <v>167296.68301648603</v>
      </c>
      <c r="S194" s="226"/>
      <c r="T194" s="226"/>
    </row>
    <row r="195" spans="1:20">
      <c r="A195" s="237">
        <v>45680</v>
      </c>
      <c r="B195" s="160" t="str">
        <f>TEXT(Table1[[#This Row],[التاريخ ]],"DDD")</f>
        <v>Thu</v>
      </c>
      <c r="C195" s="160" t="str">
        <f>IF(Table1[[#This Row],[التاريخ ]]="","",TEXT(Table1[[#This Row],[التاريخ ]],"mmm"))</f>
        <v>Jan</v>
      </c>
      <c r="D195" s="161" t="s">
        <v>609</v>
      </c>
      <c r="G195" s="226">
        <v>548</v>
      </c>
      <c r="H195" s="227" t="str">
        <f>VLOOKUP(G:G,'قاعدة بيانات  '!K:L,2,0)</f>
        <v>احمد حسين رمضان محمد ربيع</v>
      </c>
      <c r="I195" s="226" t="s">
        <v>107</v>
      </c>
      <c r="J195" s="226" t="s">
        <v>1114</v>
      </c>
      <c r="K195" s="226" t="s">
        <v>116</v>
      </c>
      <c r="L195" s="164">
        <v>95</v>
      </c>
      <c r="M195" s="165"/>
      <c r="N195" s="165"/>
      <c r="Q195" s="166">
        <v>60</v>
      </c>
      <c r="R195" s="163">
        <f>R194+Table1[[#This Row],[الوارد ]]-Table1[[#This Row],[المنصرف ]]</f>
        <v>167236.68301648603</v>
      </c>
      <c r="S195" s="226"/>
      <c r="T195" s="226"/>
    </row>
    <row r="196" spans="1:20">
      <c r="A196" s="237">
        <v>45680</v>
      </c>
      <c r="B196" s="160" t="str">
        <f>TEXT(Table1[[#This Row],[التاريخ ]],"DDD")</f>
        <v>Thu</v>
      </c>
      <c r="C196" s="160" t="str">
        <f>IF(Table1[[#This Row],[التاريخ ]]="","",TEXT(Table1[[#This Row],[التاريخ ]],"mmm"))</f>
        <v>Jan</v>
      </c>
      <c r="D196" s="161" t="s">
        <v>702</v>
      </c>
      <c r="G196" s="226">
        <v>514</v>
      </c>
      <c r="H196" s="227" t="str">
        <f>VLOOKUP(G:G,'قاعدة بيانات  '!K:L,2,0)</f>
        <v>حسين احمد حسين محمود مرسى</v>
      </c>
      <c r="I196" s="226" t="s">
        <v>100</v>
      </c>
      <c r="J196" s="226" t="s">
        <v>1114</v>
      </c>
      <c r="K196" s="226" t="s">
        <v>116</v>
      </c>
      <c r="L196" s="164">
        <v>96</v>
      </c>
      <c r="M196" s="165"/>
      <c r="N196" s="165"/>
      <c r="Q196" s="166">
        <v>100</v>
      </c>
      <c r="R196" s="163">
        <f>R195+Table1[[#This Row],[الوارد ]]-Table1[[#This Row],[المنصرف ]]</f>
        <v>167136.68301648603</v>
      </c>
      <c r="S196" s="226"/>
      <c r="T196" s="226"/>
    </row>
    <row r="197" spans="1:20">
      <c r="A197" s="237">
        <v>45680</v>
      </c>
      <c r="B197" s="160" t="str">
        <f>TEXT(Table1[[#This Row],[التاريخ ]],"DDD")</f>
        <v>Thu</v>
      </c>
      <c r="C197" s="160" t="str">
        <f>IF(Table1[[#This Row],[التاريخ ]]="","",TEXT(Table1[[#This Row],[التاريخ ]],"mmm"))</f>
        <v>Jan</v>
      </c>
      <c r="D197" s="161" t="s">
        <v>703</v>
      </c>
      <c r="G197" s="226">
        <v>515</v>
      </c>
      <c r="H197" s="227" t="str">
        <f>VLOOKUP(G:G,'قاعدة بيانات  '!K:L,2,0)</f>
        <v>محمد عبدالمنعم عبدالحليم إبراهيم</v>
      </c>
      <c r="I197" s="226" t="s">
        <v>198</v>
      </c>
      <c r="J197" s="226" t="s">
        <v>1114</v>
      </c>
      <c r="K197" s="226" t="s">
        <v>122</v>
      </c>
      <c r="L197" s="164">
        <v>97</v>
      </c>
      <c r="M197" s="165"/>
      <c r="N197" s="165"/>
      <c r="Q197" s="166">
        <v>700</v>
      </c>
      <c r="R197" s="163">
        <f>R196+Table1[[#This Row],[الوارد ]]-Table1[[#This Row],[المنصرف ]]</f>
        <v>166436.68301648603</v>
      </c>
      <c r="S197" s="226"/>
      <c r="T197" s="226"/>
    </row>
    <row r="198" spans="1:20">
      <c r="A198" s="237">
        <v>45680</v>
      </c>
      <c r="B198" s="160" t="str">
        <f>TEXT(Table1[[#This Row],[التاريخ ]],"DDD")</f>
        <v>Thu</v>
      </c>
      <c r="C198" s="160" t="str">
        <f>IF(Table1[[#This Row],[التاريخ ]]="","",TEXT(Table1[[#This Row],[التاريخ ]],"mmm"))</f>
        <v>Jan</v>
      </c>
      <c r="D198" s="161" t="s">
        <v>706</v>
      </c>
      <c r="G198" s="226">
        <v>5</v>
      </c>
      <c r="H198" s="227" t="str">
        <f>VLOOKUP(G:G,'قاعدة بيانات  '!K:L,2,0)</f>
        <v>باسم صلاح عبد الله قوشتى</v>
      </c>
      <c r="I198" s="226" t="s">
        <v>167</v>
      </c>
      <c r="J198" s="226" t="s">
        <v>301</v>
      </c>
      <c r="K198" s="226" t="s">
        <v>127</v>
      </c>
      <c r="L198" s="164">
        <v>98</v>
      </c>
      <c r="M198" s="165"/>
      <c r="N198" s="165"/>
      <c r="Q198" s="166">
        <v>100</v>
      </c>
      <c r="R198" s="163">
        <f>R197+Table1[[#This Row],[الوارد ]]-Table1[[#This Row],[المنصرف ]]</f>
        <v>166336.68301648603</v>
      </c>
      <c r="S198" s="226"/>
      <c r="T198" s="226"/>
    </row>
    <row r="199" spans="1:20">
      <c r="A199" s="237">
        <v>45680</v>
      </c>
      <c r="B199" s="160" t="str">
        <f>TEXT(Table1[[#This Row],[التاريخ ]],"DDD")</f>
        <v>Thu</v>
      </c>
      <c r="C199" s="160" t="str">
        <f>IF(Table1[[#This Row],[التاريخ ]]="","",TEXT(Table1[[#This Row],[التاريخ ]],"mmm"))</f>
        <v>Jan</v>
      </c>
      <c r="D199" s="161" t="s">
        <v>705</v>
      </c>
      <c r="G199" s="226">
        <v>5</v>
      </c>
      <c r="H199" s="227" t="str">
        <f>VLOOKUP(G:G,'قاعدة بيانات  '!K:L,2,0)</f>
        <v>باسم صلاح عبد الله قوشتى</v>
      </c>
      <c r="I199" s="226" t="s">
        <v>167</v>
      </c>
      <c r="J199" s="226" t="s">
        <v>301</v>
      </c>
      <c r="K199" s="226" t="s">
        <v>120</v>
      </c>
      <c r="L199" s="164">
        <v>98</v>
      </c>
      <c r="M199" s="165"/>
      <c r="N199" s="165"/>
      <c r="Q199" s="166">
        <v>100</v>
      </c>
      <c r="R199" s="163">
        <f>R198+Table1[[#This Row],[الوارد ]]-Table1[[#This Row],[المنصرف ]]</f>
        <v>166236.68301648603</v>
      </c>
      <c r="S199" s="226"/>
      <c r="T199" s="226"/>
    </row>
    <row r="200" spans="1:20">
      <c r="A200" s="237">
        <v>45680</v>
      </c>
      <c r="B200" s="160" t="str">
        <f>TEXT(Table1[[#This Row],[التاريخ ]],"DDD")</f>
        <v>Thu</v>
      </c>
      <c r="C200" s="160" t="str">
        <f>IF(Table1[[#This Row],[التاريخ ]]="","",TEXT(Table1[[#This Row],[التاريخ ]],"mmm"))</f>
        <v>Jan</v>
      </c>
      <c r="D200" s="161" t="s">
        <v>605</v>
      </c>
      <c r="G200" s="226">
        <v>5</v>
      </c>
      <c r="H200" s="227" t="str">
        <f>VLOOKUP(G:G,'قاعدة بيانات  '!K:L,2,0)</f>
        <v>باسم صلاح عبد الله قوشتى</v>
      </c>
      <c r="I200" s="226" t="s">
        <v>167</v>
      </c>
      <c r="J200" s="226" t="s">
        <v>301</v>
      </c>
      <c r="K200" s="226" t="s">
        <v>128</v>
      </c>
      <c r="L200" s="164">
        <v>99</v>
      </c>
      <c r="M200" s="165"/>
      <c r="N200" s="165"/>
      <c r="Q200" s="166">
        <v>890</v>
      </c>
      <c r="R200" s="163">
        <f>R199+Table1[[#This Row],[الوارد ]]-Table1[[#This Row],[المنصرف ]]</f>
        <v>165346.68301648603</v>
      </c>
      <c r="S200" s="226"/>
      <c r="T200" s="226"/>
    </row>
    <row r="201" spans="1:20">
      <c r="A201" s="237">
        <v>45680</v>
      </c>
      <c r="B201" s="160" t="str">
        <f>TEXT(Table1[[#This Row],[التاريخ ]],"DDD")</f>
        <v>Thu</v>
      </c>
      <c r="C201" s="160" t="str">
        <f>IF(Table1[[#This Row],[التاريخ ]]="","",TEXT(Table1[[#This Row],[التاريخ ]],"mmm"))</f>
        <v>Jan</v>
      </c>
      <c r="D201" s="161" t="s">
        <v>610</v>
      </c>
      <c r="G201" s="226">
        <v>119</v>
      </c>
      <c r="H201" s="227" t="str">
        <f>VLOOKUP(G:G,'قاعدة بيانات  '!K:L,2,0)</f>
        <v>مصطفى جميل عبد الفتاح محمد شاهين</v>
      </c>
      <c r="I201" s="226" t="s">
        <v>107</v>
      </c>
      <c r="J201" s="226" t="s">
        <v>1114</v>
      </c>
      <c r="K201" s="226" t="s">
        <v>116</v>
      </c>
      <c r="L201" s="164">
        <v>100</v>
      </c>
      <c r="M201" s="165"/>
      <c r="N201" s="165"/>
      <c r="Q201" s="166">
        <v>80</v>
      </c>
      <c r="R201" s="163">
        <f>R200+Table1[[#This Row],[الوارد ]]-Table1[[#This Row],[المنصرف ]]</f>
        <v>165266.68301648603</v>
      </c>
      <c r="S201" s="226"/>
      <c r="T201" s="226"/>
    </row>
    <row r="202" spans="1:20">
      <c r="A202" s="237">
        <v>45680</v>
      </c>
      <c r="B202" s="160" t="str">
        <f>TEXT(Table1[[#This Row],[التاريخ ]],"DDD")</f>
        <v>Thu</v>
      </c>
      <c r="C202" s="160" t="str">
        <f>IF(Table1[[#This Row],[التاريخ ]]="","",TEXT(Table1[[#This Row],[التاريخ ]],"mmm"))</f>
        <v>Jan</v>
      </c>
      <c r="D202" s="161" t="s">
        <v>651</v>
      </c>
      <c r="G202" s="226">
        <v>546</v>
      </c>
      <c r="H202" s="227" t="str">
        <f>VLOOKUP(G:G,'قاعدة بيانات  '!K:L,2,0)</f>
        <v>احمد عادل محمد احمد</v>
      </c>
      <c r="I202" s="226" t="s">
        <v>103</v>
      </c>
      <c r="J202" s="226" t="s">
        <v>112</v>
      </c>
      <c r="K202" s="226" t="s">
        <v>116</v>
      </c>
      <c r="L202" s="164">
        <v>101</v>
      </c>
      <c r="M202" s="165"/>
      <c r="N202" s="165"/>
      <c r="Q202" s="166">
        <v>44</v>
      </c>
      <c r="R202" s="163">
        <f>R201+Table1[[#This Row],[الوارد ]]-Table1[[#This Row],[المنصرف ]]</f>
        <v>165222.68301648603</v>
      </c>
      <c r="S202" s="226"/>
      <c r="T202" s="226"/>
    </row>
    <row r="203" spans="1:20">
      <c r="A203" s="237">
        <v>45680</v>
      </c>
      <c r="B203" s="160" t="str">
        <f>TEXT(Table1[[#This Row],[التاريخ ]],"DDD")</f>
        <v>Thu</v>
      </c>
      <c r="C203" s="160" t="str">
        <f>IF(Table1[[#This Row],[التاريخ ]]="","",TEXT(Table1[[#This Row],[التاريخ ]],"mmm"))</f>
        <v>Jan</v>
      </c>
      <c r="D203" s="161" t="s">
        <v>651</v>
      </c>
      <c r="G203" s="226">
        <v>546</v>
      </c>
      <c r="H203" s="227" t="str">
        <f>VLOOKUP(G:G,'قاعدة بيانات  '!K:L,2,0)</f>
        <v>احمد عادل محمد احمد</v>
      </c>
      <c r="I203" s="226" t="s">
        <v>439</v>
      </c>
      <c r="J203" s="226" t="s">
        <v>112</v>
      </c>
      <c r="K203" s="226" t="s">
        <v>116</v>
      </c>
      <c r="L203" s="164">
        <v>101</v>
      </c>
      <c r="M203" s="165"/>
      <c r="N203" s="165"/>
      <c r="Q203" s="166">
        <v>70</v>
      </c>
      <c r="R203" s="163">
        <f>R202+Table1[[#This Row],[الوارد ]]-Table1[[#This Row],[المنصرف ]]</f>
        <v>165152.68301648603</v>
      </c>
      <c r="S203" s="226"/>
      <c r="T203" s="226"/>
    </row>
    <row r="204" spans="1:20">
      <c r="A204" s="237">
        <v>45680</v>
      </c>
      <c r="B204" s="160" t="str">
        <f>TEXT(Table1[[#This Row],[التاريخ ]],"DDD")</f>
        <v>Thu</v>
      </c>
      <c r="C204" s="160" t="str">
        <f>IF(Table1[[#This Row],[التاريخ ]]="","",TEXT(Table1[[#This Row],[التاريخ ]],"mmm"))</f>
        <v>Jan</v>
      </c>
      <c r="D204" s="161" t="s">
        <v>651</v>
      </c>
      <c r="G204" s="226">
        <v>546</v>
      </c>
      <c r="H204" s="227" t="str">
        <f>VLOOKUP(G:G,'قاعدة بيانات  '!K:L,2,0)</f>
        <v>احمد عادل محمد احمد</v>
      </c>
      <c r="I204" s="226" t="s">
        <v>167</v>
      </c>
      <c r="J204" s="226" t="s">
        <v>301</v>
      </c>
      <c r="K204" s="226" t="s">
        <v>116</v>
      </c>
      <c r="L204" s="164">
        <v>101</v>
      </c>
      <c r="M204" s="165"/>
      <c r="N204" s="165"/>
      <c r="Q204" s="166">
        <v>43</v>
      </c>
      <c r="R204" s="163">
        <f>R203+Table1[[#This Row],[الوارد ]]-Table1[[#This Row],[المنصرف ]]</f>
        <v>165109.68301648603</v>
      </c>
      <c r="S204" s="226"/>
      <c r="T204" s="226"/>
    </row>
    <row r="205" spans="1:20">
      <c r="A205" s="237">
        <v>45680</v>
      </c>
      <c r="B205" s="160" t="str">
        <f>TEXT(Table1[[#This Row],[التاريخ ]],"DDD")</f>
        <v>Thu</v>
      </c>
      <c r="C205" s="160" t="str">
        <f>IF(Table1[[#This Row],[التاريخ ]]="","",TEXT(Table1[[#This Row],[التاريخ ]],"mmm"))</f>
        <v>Jan</v>
      </c>
      <c r="D205" s="161" t="s">
        <v>437</v>
      </c>
      <c r="G205" s="226">
        <v>544</v>
      </c>
      <c r="H205" s="227" t="str">
        <f>VLOOKUP(G:G,'قاعدة بيانات  '!K:L,2,0)</f>
        <v>احمد منصور سليم منصور سليم</v>
      </c>
      <c r="I205" s="226" t="s">
        <v>167</v>
      </c>
      <c r="J205" s="226" t="s">
        <v>301</v>
      </c>
      <c r="K205" s="226" t="s">
        <v>116</v>
      </c>
      <c r="L205" s="164">
        <v>102</v>
      </c>
      <c r="M205" s="165"/>
      <c r="N205" s="165"/>
      <c r="Q205" s="166">
        <v>86</v>
      </c>
      <c r="R205" s="163">
        <f>R204+Table1[[#This Row],[الوارد ]]-Table1[[#This Row],[المنصرف ]]</f>
        <v>165023.68301648603</v>
      </c>
      <c r="S205" s="226"/>
      <c r="T205" s="226"/>
    </row>
    <row r="206" spans="1:20">
      <c r="A206" s="237">
        <v>45680</v>
      </c>
      <c r="B206" s="160" t="str">
        <f>TEXT(Table1[[#This Row],[التاريخ ]],"DDD")</f>
        <v>Thu</v>
      </c>
      <c r="C206" s="160" t="str">
        <f>IF(Table1[[#This Row],[التاريخ ]]="","",TEXT(Table1[[#This Row],[التاريخ ]],"mmm"))</f>
        <v>Jan</v>
      </c>
      <c r="D206" s="161" t="s">
        <v>437</v>
      </c>
      <c r="G206" s="226">
        <v>544</v>
      </c>
      <c r="H206" s="227" t="str">
        <f>VLOOKUP(G:G,'قاعدة بيانات  '!K:L,2,0)</f>
        <v>احمد منصور سليم منصور سليم</v>
      </c>
      <c r="I206" s="226" t="s">
        <v>439</v>
      </c>
      <c r="J206" s="226" t="s">
        <v>112</v>
      </c>
      <c r="K206" s="226" t="s">
        <v>116</v>
      </c>
      <c r="L206" s="164">
        <v>102</v>
      </c>
      <c r="M206" s="165"/>
      <c r="N206" s="165"/>
      <c r="Q206" s="166">
        <f>165+75+75</f>
        <v>315</v>
      </c>
      <c r="R206" s="163">
        <f>R205+Table1[[#This Row],[الوارد ]]-Table1[[#This Row],[المنصرف ]]</f>
        <v>164708.68301648603</v>
      </c>
      <c r="S206" s="226"/>
      <c r="T206" s="226"/>
    </row>
    <row r="207" spans="1:20">
      <c r="A207" s="237">
        <v>45680</v>
      </c>
      <c r="B207" s="160" t="str">
        <f>TEXT(Table1[[#This Row],[التاريخ ]],"DDD")</f>
        <v>Thu</v>
      </c>
      <c r="C207" s="160" t="str">
        <f>IF(Table1[[#This Row],[التاريخ ]]="","",TEXT(Table1[[#This Row],[التاريخ ]],"mmm"))</f>
        <v>Jan</v>
      </c>
      <c r="D207" s="161" t="s">
        <v>437</v>
      </c>
      <c r="G207" s="226">
        <v>544</v>
      </c>
      <c r="H207" s="227" t="str">
        <f>VLOOKUP(G:G,'قاعدة بيانات  '!K:L,2,0)</f>
        <v>احمد منصور سليم منصور سليم</v>
      </c>
      <c r="I207" s="226" t="s">
        <v>439</v>
      </c>
      <c r="J207" s="226" t="s">
        <v>112</v>
      </c>
      <c r="K207" s="226" t="s">
        <v>127</v>
      </c>
      <c r="L207" s="164">
        <v>102</v>
      </c>
      <c r="M207" s="165"/>
      <c r="N207" s="165"/>
      <c r="Q207" s="166">
        <v>10</v>
      </c>
      <c r="R207" s="163">
        <f>R206+Table1[[#This Row],[الوارد ]]-Table1[[#This Row],[المنصرف ]]</f>
        <v>164698.68301648603</v>
      </c>
      <c r="S207" s="226"/>
      <c r="T207" s="226"/>
    </row>
    <row r="208" spans="1:20">
      <c r="A208" s="237">
        <v>45680</v>
      </c>
      <c r="B208" s="160" t="str">
        <f>TEXT(Table1[[#This Row],[التاريخ ]],"DDD")</f>
        <v>Thu</v>
      </c>
      <c r="C208" s="160" t="str">
        <f>IF(Table1[[#This Row],[التاريخ ]]="","",TEXT(Table1[[#This Row],[التاريخ ]],"mmm"))</f>
        <v>Jan</v>
      </c>
      <c r="D208" s="161" t="s">
        <v>437</v>
      </c>
      <c r="G208" s="226">
        <v>544</v>
      </c>
      <c r="H208" s="227" t="str">
        <f>VLOOKUP(G:G,'قاعدة بيانات  '!K:L,2,0)</f>
        <v>احمد منصور سليم منصور سليم</v>
      </c>
      <c r="I208" s="226" t="s">
        <v>439</v>
      </c>
      <c r="J208" s="226" t="s">
        <v>112</v>
      </c>
      <c r="K208" s="226" t="s">
        <v>128</v>
      </c>
      <c r="L208" s="164">
        <v>102</v>
      </c>
      <c r="M208" s="165"/>
      <c r="N208" s="165"/>
      <c r="Q208" s="166">
        <v>100</v>
      </c>
      <c r="R208" s="163">
        <f>R207+Table1[[#This Row],[الوارد ]]-Table1[[#This Row],[المنصرف ]]</f>
        <v>164598.68301648603</v>
      </c>
      <c r="S208" s="226"/>
      <c r="T208" s="226"/>
    </row>
    <row r="209" spans="1:20">
      <c r="A209" s="237">
        <v>45680</v>
      </c>
      <c r="B209" s="160" t="str">
        <f>TEXT(Table1[[#This Row],[التاريخ ]],"DDD")</f>
        <v>Thu</v>
      </c>
      <c r="C209" s="160" t="str">
        <f>IF(Table1[[#This Row],[التاريخ ]]="","",TEXT(Table1[[#This Row],[التاريخ ]],"mmm"))</f>
        <v>Jan</v>
      </c>
      <c r="D209" s="161" t="s">
        <v>680</v>
      </c>
      <c r="G209" s="226">
        <v>492</v>
      </c>
      <c r="H209" s="227" t="str">
        <f>VLOOKUP(G:G,'قاعدة بيانات  '!K:L,2,0)</f>
        <v>اسامه محمد احمد عبد الحميد</v>
      </c>
      <c r="I209" s="226" t="s">
        <v>167</v>
      </c>
      <c r="J209" s="226" t="s">
        <v>301</v>
      </c>
      <c r="K209" s="226" t="s">
        <v>116</v>
      </c>
      <c r="L209" s="164">
        <v>103</v>
      </c>
      <c r="M209" s="165"/>
      <c r="N209" s="165"/>
      <c r="Q209" s="166">
        <f>45+23</f>
        <v>68</v>
      </c>
      <c r="R209" s="163">
        <f>R208+Table1[[#This Row],[الوارد ]]-Table1[[#This Row],[المنصرف ]]</f>
        <v>164530.68301648603</v>
      </c>
      <c r="S209" s="226"/>
      <c r="T209" s="226"/>
    </row>
    <row r="210" spans="1:20">
      <c r="A210" s="237">
        <v>45680</v>
      </c>
      <c r="B210" s="160" t="str">
        <f>TEXT(Table1[[#This Row],[التاريخ ]],"DDD")</f>
        <v>Thu</v>
      </c>
      <c r="C210" s="160" t="str">
        <f>IF(Table1[[#This Row],[التاريخ ]]="","",TEXT(Table1[[#This Row],[التاريخ ]],"mmm"))</f>
        <v>Jan</v>
      </c>
      <c r="D210" s="161" t="s">
        <v>680</v>
      </c>
      <c r="G210" s="226">
        <v>492</v>
      </c>
      <c r="H210" s="227" t="str">
        <f>VLOOKUP(G:G,'قاعدة بيانات  '!K:L,2,0)</f>
        <v>اسامه محمد احمد عبد الحميد</v>
      </c>
      <c r="I210" s="226" t="s">
        <v>439</v>
      </c>
      <c r="J210" s="226" t="s">
        <v>112</v>
      </c>
      <c r="K210" s="226" t="s">
        <v>116</v>
      </c>
      <c r="L210" s="164">
        <v>103</v>
      </c>
      <c r="M210" s="165"/>
      <c r="N210" s="165"/>
      <c r="Q210" s="166">
        <v>23</v>
      </c>
      <c r="R210" s="163">
        <f>R209+Table1[[#This Row],[الوارد ]]-Table1[[#This Row],[المنصرف ]]</f>
        <v>164507.68301648603</v>
      </c>
      <c r="S210" s="226"/>
      <c r="T210" s="226"/>
    </row>
    <row r="211" spans="1:20">
      <c r="A211" s="237">
        <v>45680</v>
      </c>
      <c r="B211" s="160" t="str">
        <f>TEXT(Table1[[#This Row],[التاريخ ]],"DDD")</f>
        <v>Thu</v>
      </c>
      <c r="C211" s="160" t="str">
        <f>IF(Table1[[#This Row],[التاريخ ]]="","",TEXT(Table1[[#This Row],[التاريخ ]],"mmm"))</f>
        <v>Jan</v>
      </c>
      <c r="D211" s="161" t="s">
        <v>680</v>
      </c>
      <c r="G211" s="226">
        <v>492</v>
      </c>
      <c r="H211" s="227" t="str">
        <f>VLOOKUP(G:G,'قاعدة بيانات  '!K:L,2,0)</f>
        <v>اسامه محمد احمد عبد الحميد</v>
      </c>
      <c r="I211" s="226" t="s">
        <v>439</v>
      </c>
      <c r="J211" s="226" t="s">
        <v>112</v>
      </c>
      <c r="K211" s="226" t="s">
        <v>128</v>
      </c>
      <c r="L211" s="164">
        <v>103</v>
      </c>
      <c r="M211" s="165"/>
      <c r="N211" s="165"/>
      <c r="Q211" s="166">
        <v>40</v>
      </c>
      <c r="R211" s="163">
        <f>R210+Table1[[#This Row],[الوارد ]]-Table1[[#This Row],[المنصرف ]]</f>
        <v>164467.68301648603</v>
      </c>
      <c r="S211" s="226"/>
      <c r="T211" s="226"/>
    </row>
    <row r="212" spans="1:20">
      <c r="A212" s="237">
        <v>45680</v>
      </c>
      <c r="B212" s="160" t="str">
        <f>TEXT(Table1[[#This Row],[التاريخ ]],"DDD")</f>
        <v>Thu</v>
      </c>
      <c r="C212" s="160" t="str">
        <f>IF(Table1[[#This Row],[التاريخ ]]="","",TEXT(Table1[[#This Row],[التاريخ ]],"mmm"))</f>
        <v>Jan</v>
      </c>
      <c r="D212" s="161" t="s">
        <v>704</v>
      </c>
      <c r="G212" s="226">
        <v>492</v>
      </c>
      <c r="H212" s="227" t="str">
        <f>VLOOKUP(G:G,'قاعدة بيانات  '!K:L,2,0)</f>
        <v>اسامه محمد احمد عبد الحميد</v>
      </c>
      <c r="I212" s="226" t="s">
        <v>107</v>
      </c>
      <c r="J212" s="226" t="s">
        <v>110</v>
      </c>
      <c r="K212" s="226" t="s">
        <v>116</v>
      </c>
      <c r="L212" s="164">
        <v>103</v>
      </c>
      <c r="M212" s="165"/>
      <c r="N212" s="165"/>
      <c r="Q212" s="166">
        <v>1596</v>
      </c>
      <c r="R212" s="163">
        <f>R211+Table1[[#This Row],[الوارد ]]-Table1[[#This Row],[المنصرف ]]</f>
        <v>162871.68301648603</v>
      </c>
      <c r="S212" s="226"/>
      <c r="T212" s="226"/>
    </row>
    <row r="213" spans="1:20">
      <c r="A213" s="237">
        <v>45680</v>
      </c>
      <c r="B213" s="160" t="str">
        <f>TEXT(Table1[[#This Row],[التاريخ ]],"DDD")</f>
        <v>Thu</v>
      </c>
      <c r="C213" s="160" t="str">
        <f>IF(Table1[[#This Row],[التاريخ ]]="","",TEXT(Table1[[#This Row],[التاريخ ]],"mmm"))</f>
        <v>Jan</v>
      </c>
      <c r="D213" s="161" t="s">
        <v>704</v>
      </c>
      <c r="G213" s="226">
        <v>492</v>
      </c>
      <c r="H213" s="227" t="str">
        <f>VLOOKUP(G:G,'قاعدة بيانات  '!K:L,2,0)</f>
        <v>اسامه محمد احمد عبد الحميد</v>
      </c>
      <c r="I213" s="226" t="s">
        <v>107</v>
      </c>
      <c r="J213" s="226" t="s">
        <v>110</v>
      </c>
      <c r="K213" s="226" t="s">
        <v>128</v>
      </c>
      <c r="L213" s="164">
        <v>103</v>
      </c>
      <c r="M213" s="165"/>
      <c r="N213" s="165"/>
      <c r="Q213" s="166">
        <v>650</v>
      </c>
      <c r="R213" s="163">
        <f>R212+Table1[[#This Row],[الوارد ]]-Table1[[#This Row],[المنصرف ]]</f>
        <v>162221.68301648603</v>
      </c>
      <c r="S213" s="226"/>
      <c r="T213" s="226"/>
    </row>
    <row r="214" spans="1:20">
      <c r="A214" s="237">
        <v>45680</v>
      </c>
      <c r="B214" s="160" t="str">
        <f>TEXT(Table1[[#This Row],[التاريخ ]],"DDD")</f>
        <v>Thu</v>
      </c>
      <c r="C214" s="160" t="str">
        <f>IF(Table1[[#This Row],[التاريخ ]]="","",TEXT(Table1[[#This Row],[التاريخ ]],"mmm"))</f>
        <v>Jan</v>
      </c>
      <c r="D214" s="161" t="s">
        <v>694</v>
      </c>
      <c r="G214" s="226">
        <v>151</v>
      </c>
      <c r="H214" s="227" t="str">
        <f>VLOOKUP(G:G,'قاعدة بيانات  '!K:L,2,0)</f>
        <v xml:space="preserve">احمد عبد الباسط عبد السلام محمد </v>
      </c>
      <c r="I214" s="226" t="s">
        <v>100</v>
      </c>
      <c r="J214" s="226" t="s">
        <v>301</v>
      </c>
      <c r="K214" s="226" t="s">
        <v>128</v>
      </c>
      <c r="L214" s="164">
        <v>104</v>
      </c>
      <c r="M214" s="165"/>
      <c r="N214" s="165"/>
      <c r="Q214" s="166">
        <v>186</v>
      </c>
      <c r="R214" s="163">
        <f>R213+Table1[[#This Row],[الوارد ]]-Table1[[#This Row],[المنصرف ]]</f>
        <v>162035.68301648603</v>
      </c>
      <c r="S214" s="226"/>
      <c r="T214" s="226"/>
    </row>
    <row r="215" spans="1:20">
      <c r="A215" s="237">
        <v>45680</v>
      </c>
      <c r="B215" s="160" t="str">
        <f>TEXT(Table1[[#This Row],[التاريخ ]],"DDD")</f>
        <v>Thu</v>
      </c>
      <c r="C215" s="160" t="str">
        <f>IF(Table1[[#This Row],[التاريخ ]]="","",TEXT(Table1[[#This Row],[التاريخ ]],"mmm"))</f>
        <v>Jan</v>
      </c>
      <c r="D215" s="161" t="s">
        <v>624</v>
      </c>
      <c r="G215" s="226">
        <v>151</v>
      </c>
      <c r="H215" s="227" t="str">
        <f>VLOOKUP(G:G,'قاعدة بيانات  '!K:L,2,0)</f>
        <v xml:space="preserve">احمد عبد الباسط عبد السلام محمد </v>
      </c>
      <c r="I215" s="226" t="s">
        <v>392</v>
      </c>
      <c r="J215" s="226" t="s">
        <v>301</v>
      </c>
      <c r="K215" s="226" t="s">
        <v>128</v>
      </c>
      <c r="L215" s="164">
        <v>104</v>
      </c>
      <c r="M215" s="165"/>
      <c r="N215" s="165"/>
      <c r="Q215" s="166">
        <v>36.71</v>
      </c>
      <c r="R215" s="163">
        <f>R214+Table1[[#This Row],[الوارد ]]-Table1[[#This Row],[المنصرف ]]</f>
        <v>161998.97301648604</v>
      </c>
      <c r="S215" s="226"/>
      <c r="T215" s="226"/>
    </row>
    <row r="216" spans="1:20">
      <c r="A216" s="237">
        <v>45682</v>
      </c>
      <c r="B216" s="160" t="str">
        <f>TEXT(Table1[[#This Row],[التاريخ ]],"DDD")</f>
        <v>Sat</v>
      </c>
      <c r="C216" s="160" t="str">
        <f>IF(Table1[[#This Row],[التاريخ ]]="","",TEXT(Table1[[#This Row],[التاريخ ]],"mmm"))</f>
        <v>Jan</v>
      </c>
      <c r="D216" s="161" t="s">
        <v>707</v>
      </c>
      <c r="G216" s="226">
        <v>378</v>
      </c>
      <c r="H216" s="227" t="str">
        <f>VLOOKUP(G:G,'قاعدة بيانات  '!K:L,2,0)</f>
        <v>عبد الحميد نبوى فهيم محمد</v>
      </c>
      <c r="I216" s="226" t="s">
        <v>107</v>
      </c>
      <c r="J216" s="226" t="s">
        <v>1113</v>
      </c>
      <c r="K216" s="226" t="s">
        <v>116</v>
      </c>
      <c r="L216" s="164">
        <v>105</v>
      </c>
      <c r="M216" s="165"/>
      <c r="N216" s="165"/>
      <c r="Q216" s="166">
        <v>410</v>
      </c>
      <c r="R216" s="163">
        <f>R215+Table1[[#This Row],[الوارد ]]-Table1[[#This Row],[المنصرف ]]</f>
        <v>161588.97301648604</v>
      </c>
      <c r="S216" s="226"/>
      <c r="T216" s="226"/>
    </row>
    <row r="217" spans="1:20">
      <c r="A217" s="237">
        <v>45682</v>
      </c>
      <c r="B217" s="160" t="str">
        <f>TEXT(Table1[[#This Row],[التاريخ ]],"DDD")</f>
        <v>Sat</v>
      </c>
      <c r="C217" s="160" t="str">
        <f>IF(Table1[[#This Row],[التاريخ ]]="","",TEXT(Table1[[#This Row],[التاريخ ]],"mmm"))</f>
        <v>Jan</v>
      </c>
      <c r="D217" s="161" t="s">
        <v>708</v>
      </c>
      <c r="G217" s="226">
        <v>365</v>
      </c>
      <c r="H217" s="227" t="str">
        <f>VLOOKUP(G:G,'قاعدة بيانات  '!K:L,2,0)</f>
        <v>محمد رضا سعد حسن الشرقاوى</v>
      </c>
      <c r="I217" s="226" t="s">
        <v>167</v>
      </c>
      <c r="J217" s="226" t="s">
        <v>301</v>
      </c>
      <c r="K217" s="226" t="s">
        <v>117</v>
      </c>
      <c r="L217" s="164">
        <v>106</v>
      </c>
      <c r="M217" s="165"/>
      <c r="N217" s="165"/>
      <c r="Q217" s="166">
        <v>400</v>
      </c>
      <c r="R217" s="163">
        <f>R216+Table1[[#This Row],[الوارد ]]-Table1[[#This Row],[المنصرف ]]</f>
        <v>161188.97301648604</v>
      </c>
      <c r="S217" s="226"/>
      <c r="T217" s="226"/>
    </row>
    <row r="218" spans="1:20">
      <c r="A218" s="237">
        <v>45682</v>
      </c>
      <c r="B218" s="160" t="str">
        <f>TEXT(Table1[[#This Row],[التاريخ ]],"DDD")</f>
        <v>Sat</v>
      </c>
      <c r="C218" s="160" t="str">
        <f>IF(Table1[[#This Row],[التاريخ ]]="","",TEXT(Table1[[#This Row],[التاريخ ]],"mmm"))</f>
        <v>Jan</v>
      </c>
      <c r="D218" s="161" t="s">
        <v>709</v>
      </c>
      <c r="G218" s="226">
        <v>365</v>
      </c>
      <c r="H218" s="227" t="str">
        <f>VLOOKUP(G:G,'قاعدة بيانات  '!K:L,2,0)</f>
        <v>محمد رضا سعد حسن الشرقاوى</v>
      </c>
      <c r="I218" s="226" t="s">
        <v>167</v>
      </c>
      <c r="J218" s="226" t="s">
        <v>301</v>
      </c>
      <c r="K218" s="226" t="s">
        <v>116</v>
      </c>
      <c r="L218" s="164">
        <v>106</v>
      </c>
      <c r="M218" s="165"/>
      <c r="N218" s="165"/>
      <c r="Q218" s="166">
        <v>16</v>
      </c>
      <c r="R218" s="163">
        <f>R217+Table1[[#This Row],[الوارد ]]-Table1[[#This Row],[المنصرف ]]</f>
        <v>161172.97301648604</v>
      </c>
      <c r="S218" s="226"/>
      <c r="T218" s="226"/>
    </row>
    <row r="219" spans="1:20">
      <c r="A219" s="237">
        <v>45682</v>
      </c>
      <c r="B219" s="160" t="str">
        <f>TEXT(Table1[[#This Row],[التاريخ ]],"DDD")</f>
        <v>Sat</v>
      </c>
      <c r="C219" s="160" t="str">
        <f>IF(Table1[[#This Row],[التاريخ ]]="","",TEXT(Table1[[#This Row],[التاريخ ]],"mmm"))</f>
        <v>Jan</v>
      </c>
      <c r="D219" s="161" t="s">
        <v>710</v>
      </c>
      <c r="G219" s="226">
        <v>515</v>
      </c>
      <c r="H219" s="227" t="str">
        <f>VLOOKUP(G:G,'قاعدة بيانات  '!K:L,2,0)</f>
        <v>محمد عبدالمنعم عبدالحليم إبراهيم</v>
      </c>
      <c r="I219" s="226" t="s">
        <v>167</v>
      </c>
      <c r="J219" s="226" t="s">
        <v>301</v>
      </c>
      <c r="K219" s="226" t="s">
        <v>116</v>
      </c>
      <c r="L219" s="164">
        <v>107</v>
      </c>
      <c r="M219" s="165"/>
      <c r="N219" s="165"/>
      <c r="Q219" s="166">
        <v>70</v>
      </c>
      <c r="R219" s="163">
        <f>R218+Table1[[#This Row],[الوارد ]]-Table1[[#This Row],[المنصرف ]]</f>
        <v>161102.97301648604</v>
      </c>
      <c r="S219" s="226"/>
      <c r="T219" s="226"/>
    </row>
    <row r="220" spans="1:20">
      <c r="A220" s="237">
        <v>45682</v>
      </c>
      <c r="B220" s="160" t="str">
        <f>TEXT(Table1[[#This Row],[التاريخ ]],"DDD")</f>
        <v>Sat</v>
      </c>
      <c r="C220" s="160" t="str">
        <f>IF(Table1[[#This Row],[التاريخ ]]="","",TEXT(Table1[[#This Row],[التاريخ ]],"mmm"))</f>
        <v>Jan</v>
      </c>
      <c r="D220" s="161" t="s">
        <v>711</v>
      </c>
      <c r="G220" s="226">
        <v>332</v>
      </c>
      <c r="H220" s="227" t="str">
        <f>VLOOKUP(G:G,'قاعدة بيانات  '!K:L,2,0)</f>
        <v xml:space="preserve">إسماعيل سلامه إسماعيل بركات </v>
      </c>
      <c r="I220" s="226" t="s">
        <v>107</v>
      </c>
      <c r="J220" s="226" t="s">
        <v>1113</v>
      </c>
      <c r="K220" s="226" t="s">
        <v>116</v>
      </c>
      <c r="L220" s="164">
        <v>108</v>
      </c>
      <c r="M220" s="165"/>
      <c r="N220" s="165"/>
      <c r="Q220" s="166">
        <v>116.25</v>
      </c>
      <c r="R220" s="163">
        <f>R219+Table1[[#This Row],[الوارد ]]-Table1[[#This Row],[المنصرف ]]</f>
        <v>160986.72301648604</v>
      </c>
      <c r="S220" s="226"/>
      <c r="T220" s="226"/>
    </row>
    <row r="221" spans="1:20">
      <c r="A221" s="237">
        <v>45682</v>
      </c>
      <c r="B221" s="160" t="str">
        <f>TEXT(Table1[[#This Row],[التاريخ ]],"DDD")</f>
        <v>Sat</v>
      </c>
      <c r="C221" s="160" t="str">
        <f>IF(Table1[[#This Row],[التاريخ ]]="","",TEXT(Table1[[#This Row],[التاريخ ]],"mmm"))</f>
        <v>Jan</v>
      </c>
      <c r="D221" s="161" t="s">
        <v>711</v>
      </c>
      <c r="G221" s="226">
        <v>332</v>
      </c>
      <c r="H221" s="227" t="str">
        <f>VLOOKUP(G:G,'قاعدة بيانات  '!K:L,2,0)</f>
        <v xml:space="preserve">إسماعيل سلامه إسماعيل بركات </v>
      </c>
      <c r="I221" s="226" t="s">
        <v>100</v>
      </c>
      <c r="J221" s="226" t="s">
        <v>1114</v>
      </c>
      <c r="K221" s="226" t="s">
        <v>116</v>
      </c>
      <c r="L221" s="164">
        <v>108</v>
      </c>
      <c r="M221" s="165"/>
      <c r="N221" s="165"/>
      <c r="Q221" s="166">
        <v>116.25</v>
      </c>
      <c r="R221" s="163">
        <f>R220+Table1[[#This Row],[الوارد ]]-Table1[[#This Row],[المنصرف ]]</f>
        <v>160870.47301648604</v>
      </c>
      <c r="S221" s="226"/>
      <c r="T221" s="226"/>
    </row>
    <row r="222" spans="1:20">
      <c r="A222" s="237">
        <v>45682</v>
      </c>
      <c r="B222" s="160" t="str">
        <f>TEXT(Table1[[#This Row],[التاريخ ]],"DDD")</f>
        <v>Sat</v>
      </c>
      <c r="C222" s="160" t="str">
        <f>IF(Table1[[#This Row],[التاريخ ]]="","",TEXT(Table1[[#This Row],[التاريخ ]],"mmm"))</f>
        <v>Jan</v>
      </c>
      <c r="D222" s="161" t="s">
        <v>711</v>
      </c>
      <c r="G222" s="226">
        <v>332</v>
      </c>
      <c r="H222" s="227" t="str">
        <f>VLOOKUP(G:G,'قاعدة بيانات  '!K:L,2,0)</f>
        <v xml:space="preserve">إسماعيل سلامه إسماعيل بركات </v>
      </c>
      <c r="I222" s="226" t="s">
        <v>109</v>
      </c>
      <c r="J222" s="226" t="s">
        <v>1113</v>
      </c>
      <c r="K222" s="226" t="s">
        <v>116</v>
      </c>
      <c r="L222" s="164">
        <v>108</v>
      </c>
      <c r="M222" s="165"/>
      <c r="N222" s="165"/>
      <c r="Q222" s="166">
        <v>116.25</v>
      </c>
      <c r="R222" s="163">
        <f>R221+Table1[[#This Row],[الوارد ]]-Table1[[#This Row],[المنصرف ]]</f>
        <v>160754.22301648604</v>
      </c>
      <c r="S222" s="226"/>
      <c r="T222" s="226"/>
    </row>
    <row r="223" spans="1:20">
      <c r="A223" s="237">
        <v>45682</v>
      </c>
      <c r="B223" s="160" t="str">
        <f>TEXT(Table1[[#This Row],[التاريخ ]],"DDD")</f>
        <v>Sat</v>
      </c>
      <c r="C223" s="160" t="str">
        <f>IF(Table1[[#This Row],[التاريخ ]]="","",TEXT(Table1[[#This Row],[التاريخ ]],"mmm"))</f>
        <v>Jan</v>
      </c>
      <c r="D223" s="161" t="s">
        <v>711</v>
      </c>
      <c r="G223" s="226">
        <v>332</v>
      </c>
      <c r="H223" s="227" t="str">
        <f>VLOOKUP(G:G,'قاعدة بيانات  '!K:L,2,0)</f>
        <v xml:space="preserve">إسماعيل سلامه إسماعيل بركات </v>
      </c>
      <c r="I223" s="226" t="s">
        <v>376</v>
      </c>
      <c r="J223" s="226" t="s">
        <v>1113</v>
      </c>
      <c r="K223" s="226" t="s">
        <v>116</v>
      </c>
      <c r="L223" s="164">
        <v>108</v>
      </c>
      <c r="M223" s="165"/>
      <c r="N223" s="165"/>
      <c r="Q223" s="166">
        <v>116.25</v>
      </c>
      <c r="R223" s="163">
        <f>R222+Table1[[#This Row],[الوارد ]]-Table1[[#This Row],[المنصرف ]]</f>
        <v>160637.97301648604</v>
      </c>
      <c r="S223" s="226"/>
      <c r="T223" s="226"/>
    </row>
    <row r="224" spans="1:20">
      <c r="A224" s="237">
        <v>45682</v>
      </c>
      <c r="B224" s="160" t="str">
        <f>TEXT(Table1[[#This Row],[التاريخ ]],"DDD")</f>
        <v>Sat</v>
      </c>
      <c r="C224" s="160" t="str">
        <f>IF(Table1[[#This Row],[التاريخ ]]="","",TEXT(Table1[[#This Row],[التاريخ ]],"mmm"))</f>
        <v>Jan</v>
      </c>
      <c r="D224" s="161" t="s">
        <v>407</v>
      </c>
      <c r="G224" s="226">
        <v>20</v>
      </c>
      <c r="H224" s="227" t="str">
        <f>VLOOKUP(G:G,'قاعدة بيانات  '!K:L,2,0)</f>
        <v>عبد العزيز صلاح عبد العزيز على حسن</v>
      </c>
      <c r="I224" s="226" t="s">
        <v>102</v>
      </c>
      <c r="J224" s="226" t="s">
        <v>112</v>
      </c>
      <c r="K224" s="226" t="s">
        <v>116</v>
      </c>
      <c r="L224" s="164">
        <v>109</v>
      </c>
      <c r="M224" s="165"/>
      <c r="N224" s="165"/>
      <c r="Q224" s="166">
        <f>30+14.5</f>
        <v>44.5</v>
      </c>
      <c r="R224" s="163">
        <f>R223+Table1[[#This Row],[الوارد ]]-Table1[[#This Row],[المنصرف ]]</f>
        <v>160593.47301648604</v>
      </c>
      <c r="S224" s="226"/>
      <c r="T224" s="226"/>
    </row>
    <row r="225" spans="1:20">
      <c r="A225" s="237">
        <v>45682</v>
      </c>
      <c r="B225" s="160" t="str">
        <f>TEXT(Table1[[#This Row],[التاريخ ]],"DDD")</f>
        <v>Sat</v>
      </c>
      <c r="C225" s="160" t="str">
        <f>IF(Table1[[#This Row],[التاريخ ]]="","",TEXT(Table1[[#This Row],[التاريخ ]],"mmm"))</f>
        <v>Jan</v>
      </c>
      <c r="D225" s="161" t="s">
        <v>407</v>
      </c>
      <c r="G225" s="226">
        <v>20</v>
      </c>
      <c r="H225" s="227" t="str">
        <f>VLOOKUP(G:G,'قاعدة بيانات  '!K:L,2,0)</f>
        <v>عبد العزيز صلاح عبد العزيز على حسن</v>
      </c>
      <c r="I225" s="226" t="s">
        <v>102</v>
      </c>
      <c r="J225" s="226" t="s">
        <v>112</v>
      </c>
      <c r="K225" s="226" t="s">
        <v>120</v>
      </c>
      <c r="L225" s="164">
        <v>109</v>
      </c>
      <c r="M225" s="165"/>
      <c r="N225" s="165"/>
      <c r="Q225" s="166">
        <f>75+20</f>
        <v>95</v>
      </c>
      <c r="R225" s="163">
        <f>R224+Table1[[#This Row],[الوارد ]]-Table1[[#This Row],[المنصرف ]]</f>
        <v>160498.47301648604</v>
      </c>
      <c r="S225" s="226"/>
      <c r="T225" s="226"/>
    </row>
    <row r="226" spans="1:20">
      <c r="A226" s="237">
        <v>45682</v>
      </c>
      <c r="B226" s="160" t="str">
        <f>TEXT(Table1[[#This Row],[التاريخ ]],"DDD")</f>
        <v>Sat</v>
      </c>
      <c r="C226" s="160" t="str">
        <f>IF(Table1[[#This Row],[التاريخ ]]="","",TEXT(Table1[[#This Row],[التاريخ ]],"mmm"))</f>
        <v>Jan</v>
      </c>
      <c r="D226" s="161" t="s">
        <v>407</v>
      </c>
      <c r="G226" s="226">
        <v>20</v>
      </c>
      <c r="H226" s="227" t="str">
        <f>VLOOKUP(G:G,'قاعدة بيانات  '!K:L,2,0)</f>
        <v>عبد العزيز صلاح عبد العزيز على حسن</v>
      </c>
      <c r="I226" s="226" t="s">
        <v>102</v>
      </c>
      <c r="J226" s="226" t="s">
        <v>112</v>
      </c>
      <c r="K226" s="226" t="s">
        <v>124</v>
      </c>
      <c r="L226" s="164">
        <v>109</v>
      </c>
      <c r="M226" s="165"/>
      <c r="N226" s="165"/>
      <c r="Q226" s="166">
        <v>30</v>
      </c>
      <c r="R226" s="163">
        <f>R225+Table1[[#This Row],[الوارد ]]-Table1[[#This Row],[المنصرف ]]</f>
        <v>160468.47301648604</v>
      </c>
      <c r="S226" s="226"/>
      <c r="T226" s="226"/>
    </row>
    <row r="227" spans="1:20">
      <c r="A227" s="237">
        <v>45682</v>
      </c>
      <c r="B227" s="160" t="str">
        <f>TEXT(Table1[[#This Row],[التاريخ ]],"DDD")</f>
        <v>Sat</v>
      </c>
      <c r="C227" s="160" t="str">
        <f>IF(Table1[[#This Row],[التاريخ ]]="","",TEXT(Table1[[#This Row],[التاريخ ]],"mmm"))</f>
        <v>Jan</v>
      </c>
      <c r="D227" s="161" t="s">
        <v>407</v>
      </c>
      <c r="G227" s="226">
        <v>20</v>
      </c>
      <c r="H227" s="227" t="str">
        <f>VLOOKUP(G:G,'قاعدة بيانات  '!K:L,2,0)</f>
        <v>عبد العزيز صلاح عبد العزيز على حسن</v>
      </c>
      <c r="I227" s="226" t="s">
        <v>328</v>
      </c>
      <c r="J227" s="226" t="s">
        <v>112</v>
      </c>
      <c r="K227" s="226" t="s">
        <v>116</v>
      </c>
      <c r="L227" s="164">
        <v>109</v>
      </c>
      <c r="M227" s="165"/>
      <c r="N227" s="165"/>
      <c r="Q227" s="166">
        <v>183</v>
      </c>
      <c r="R227" s="163">
        <f>R226+Table1[[#This Row],[الوارد ]]-Table1[[#This Row],[المنصرف ]]</f>
        <v>160285.47301648604</v>
      </c>
      <c r="S227" s="226"/>
      <c r="T227" s="226"/>
    </row>
    <row r="228" spans="1:20">
      <c r="A228" s="237">
        <v>45682</v>
      </c>
      <c r="B228" s="160" t="str">
        <f>TEXT(Table1[[#This Row],[التاريخ ]],"DDD")</f>
        <v>Sat</v>
      </c>
      <c r="C228" s="160" t="str">
        <f>IF(Table1[[#This Row],[التاريخ ]]="","",TEXT(Table1[[#This Row],[التاريخ ]],"mmm"))</f>
        <v>Jan</v>
      </c>
      <c r="D228" s="161" t="s">
        <v>407</v>
      </c>
      <c r="G228" s="226">
        <v>20</v>
      </c>
      <c r="H228" s="227" t="str">
        <f>VLOOKUP(G:G,'قاعدة بيانات  '!K:L,2,0)</f>
        <v>عبد العزيز صلاح عبد العزيز على حسن</v>
      </c>
      <c r="I228" s="226" t="s">
        <v>103</v>
      </c>
      <c r="J228" s="226" t="s">
        <v>112</v>
      </c>
      <c r="K228" s="226" t="s">
        <v>116</v>
      </c>
      <c r="L228" s="164">
        <v>109</v>
      </c>
      <c r="M228" s="165"/>
      <c r="N228" s="165"/>
      <c r="Q228" s="166">
        <f>14.5+120</f>
        <v>134.5</v>
      </c>
      <c r="R228" s="163">
        <f>R227+Table1[[#This Row],[الوارد ]]-Table1[[#This Row],[المنصرف ]]</f>
        <v>160150.97301648604</v>
      </c>
      <c r="S228" s="226"/>
      <c r="T228" s="226"/>
    </row>
    <row r="229" spans="1:20">
      <c r="A229" s="237">
        <v>45682</v>
      </c>
      <c r="B229" s="160" t="str">
        <f>TEXT(Table1[[#This Row],[التاريخ ]],"DDD")</f>
        <v>Sat</v>
      </c>
      <c r="C229" s="160" t="str">
        <f>IF(Table1[[#This Row],[التاريخ ]]="","",TEXT(Table1[[#This Row],[التاريخ ]],"mmm"))</f>
        <v>Jan</v>
      </c>
      <c r="D229" s="161" t="s">
        <v>712</v>
      </c>
      <c r="G229" s="226">
        <v>31</v>
      </c>
      <c r="H229" s="227" t="str">
        <f>VLOOKUP(G:G,'قاعدة بيانات  '!K:L,2,0)</f>
        <v>محمود النادى أبو الحسن احمد</v>
      </c>
      <c r="I229" s="226" t="s">
        <v>106</v>
      </c>
      <c r="J229" s="226" t="s">
        <v>1113</v>
      </c>
      <c r="K229" s="226" t="s">
        <v>128</v>
      </c>
      <c r="L229" s="164">
        <v>110</v>
      </c>
      <c r="M229" s="165"/>
      <c r="N229" s="165"/>
      <c r="Q229" s="166">
        <v>200</v>
      </c>
      <c r="R229" s="163">
        <f>R228+Table1[[#This Row],[الوارد ]]-Table1[[#This Row],[المنصرف ]]</f>
        <v>159950.97301648604</v>
      </c>
      <c r="S229" s="226"/>
      <c r="T229" s="226"/>
    </row>
    <row r="230" spans="1:20">
      <c r="A230" s="237">
        <v>45682</v>
      </c>
      <c r="B230" s="160" t="str">
        <f>TEXT(Table1[[#This Row],[التاريخ ]],"DDD")</f>
        <v>Sat</v>
      </c>
      <c r="C230" s="160" t="str">
        <f>IF(Table1[[#This Row],[التاريخ ]]="","",TEXT(Table1[[#This Row],[التاريخ ]],"mmm"))</f>
        <v>Jan</v>
      </c>
      <c r="D230" s="161" t="s">
        <v>713</v>
      </c>
      <c r="G230" s="226">
        <v>151</v>
      </c>
      <c r="H230" s="227" t="str">
        <f>VLOOKUP(G:G,'قاعدة بيانات  '!K:L,2,0)</f>
        <v xml:space="preserve">احمد عبد الباسط عبد السلام محمد </v>
      </c>
      <c r="I230" s="226" t="s">
        <v>100</v>
      </c>
      <c r="J230" s="226" t="s">
        <v>301</v>
      </c>
      <c r="K230" s="226" t="s">
        <v>128</v>
      </c>
      <c r="L230" s="164">
        <v>111</v>
      </c>
      <c r="M230" s="165"/>
      <c r="N230" s="165"/>
      <c r="Q230" s="166">
        <v>55</v>
      </c>
      <c r="R230" s="163">
        <f>R229+Table1[[#This Row],[الوارد ]]-Table1[[#This Row],[المنصرف ]]</f>
        <v>159895.97301648604</v>
      </c>
      <c r="S230" s="226"/>
      <c r="T230" s="226"/>
    </row>
    <row r="231" spans="1:20">
      <c r="A231" s="237">
        <v>45683</v>
      </c>
      <c r="B231" s="160" t="str">
        <f>TEXT(Table1[[#This Row],[التاريخ ]],"DDD")</f>
        <v>Sun</v>
      </c>
      <c r="C231" s="160" t="str">
        <f>IF(Table1[[#This Row],[التاريخ ]]="","",TEXT(Table1[[#This Row],[التاريخ ]],"mmm"))</f>
        <v>Jan</v>
      </c>
      <c r="D231" s="161" t="s">
        <v>193</v>
      </c>
      <c r="G231" s="226">
        <v>151</v>
      </c>
      <c r="H231" s="227" t="str">
        <f>VLOOKUP(G:G,'قاعدة بيانات  '!K:L,2,0)</f>
        <v xml:space="preserve">احمد عبد الباسط عبد السلام محمد </v>
      </c>
      <c r="I231" s="226" t="s">
        <v>167</v>
      </c>
      <c r="J231" s="226" t="s">
        <v>301</v>
      </c>
      <c r="K231" s="226" t="s">
        <v>140</v>
      </c>
      <c r="L231" s="164">
        <v>112</v>
      </c>
      <c r="M231" s="165"/>
      <c r="N231" s="165"/>
      <c r="P231" s="163">
        <v>60000</v>
      </c>
      <c r="Q231" s="166"/>
      <c r="R231" s="163">
        <f>R230+Table1[[#This Row],[الوارد ]]-Table1[[#This Row],[المنصرف ]]</f>
        <v>219895.97301648604</v>
      </c>
      <c r="S231" s="226"/>
      <c r="T231" s="226"/>
    </row>
    <row r="232" spans="1:20">
      <c r="A232" s="237">
        <v>45683</v>
      </c>
      <c r="B232" s="160" t="str">
        <f>TEXT(Table1[[#This Row],[التاريخ ]],"DDD")</f>
        <v>Sun</v>
      </c>
      <c r="C232" s="160" t="str">
        <f>IF(Table1[[#This Row],[التاريخ ]]="","",TEXT(Table1[[#This Row],[التاريخ ]],"mmm"))</f>
        <v>Jan</v>
      </c>
      <c r="D232" s="161" t="s">
        <v>718</v>
      </c>
      <c r="G232" s="226">
        <v>539</v>
      </c>
      <c r="H232" s="227" t="str">
        <f>VLOOKUP(G:G,'قاعدة بيانات  '!K:L,2,0)</f>
        <v xml:space="preserve">محمد مدحت عبدالمنعم مصطفى حسن </v>
      </c>
      <c r="I232" s="226" t="s">
        <v>107</v>
      </c>
      <c r="J232" s="226" t="s">
        <v>301</v>
      </c>
      <c r="K232" s="226" t="s">
        <v>116</v>
      </c>
      <c r="L232" s="164">
        <v>113</v>
      </c>
      <c r="M232" s="165"/>
      <c r="N232" s="165"/>
      <c r="Q232" s="166">
        <v>54</v>
      </c>
      <c r="R232" s="163">
        <f>R231+Table1[[#This Row],[الوارد ]]-Table1[[#This Row],[المنصرف ]]</f>
        <v>219841.97301648604</v>
      </c>
      <c r="S232" s="226"/>
      <c r="T232" s="226"/>
    </row>
    <row r="233" spans="1:20">
      <c r="A233" s="237">
        <v>45684</v>
      </c>
      <c r="B233" s="160" t="str">
        <f>TEXT(Table1[[#This Row],[التاريخ ]],"DDD")</f>
        <v>Mon</v>
      </c>
      <c r="C233" s="160" t="str">
        <f>IF(Table1[[#This Row],[التاريخ ]]="","",TEXT(Table1[[#This Row],[التاريخ ]],"mmm"))</f>
        <v>Jan</v>
      </c>
      <c r="D233" s="161" t="s">
        <v>193</v>
      </c>
      <c r="G233" s="226">
        <v>151</v>
      </c>
      <c r="H233" s="227" t="str">
        <f>VLOOKUP(G:G,'قاعدة بيانات  '!K:L,2,0)</f>
        <v xml:space="preserve">احمد عبد الباسط عبد السلام محمد </v>
      </c>
      <c r="I233" s="226" t="s">
        <v>167</v>
      </c>
      <c r="J233" s="226" t="s">
        <v>301</v>
      </c>
      <c r="K233" s="226" t="s">
        <v>140</v>
      </c>
      <c r="L233" s="164">
        <v>114</v>
      </c>
      <c r="M233" s="165"/>
      <c r="N233" s="165"/>
      <c r="P233" s="163">
        <v>30000</v>
      </c>
      <c r="Q233" s="166"/>
      <c r="R233" s="163">
        <f>R232+Table1[[#This Row],[الوارد ]]-Table1[[#This Row],[المنصرف ]]</f>
        <v>249841.97301648604</v>
      </c>
      <c r="S233" s="226"/>
      <c r="T233" s="226"/>
    </row>
    <row r="234" spans="1:20">
      <c r="A234" s="237">
        <v>45684</v>
      </c>
      <c r="B234" s="160" t="str">
        <f>TEXT(Table1[[#This Row],[التاريخ ]],"DDD")</f>
        <v>Mon</v>
      </c>
      <c r="C234" s="160" t="str">
        <f>IF(Table1[[#This Row],[التاريخ ]]="","",TEXT(Table1[[#This Row],[التاريخ ]],"mmm"))</f>
        <v>Jan</v>
      </c>
      <c r="D234" s="161" t="s">
        <v>719</v>
      </c>
      <c r="G234" s="226">
        <v>539</v>
      </c>
      <c r="H234" s="227" t="str">
        <f>VLOOKUP(G:G,'قاعدة بيانات  '!K:L,2,0)</f>
        <v xml:space="preserve">محمد مدحت عبدالمنعم مصطفى حسن </v>
      </c>
      <c r="I234" s="226" t="s">
        <v>107</v>
      </c>
      <c r="J234" s="226" t="s">
        <v>301</v>
      </c>
      <c r="K234" s="226" t="s">
        <v>116</v>
      </c>
      <c r="L234" s="164">
        <v>115</v>
      </c>
      <c r="M234" s="165"/>
      <c r="N234" s="165"/>
      <c r="Q234" s="166">
        <v>99</v>
      </c>
      <c r="R234" s="163">
        <f>R233+Table1[[#This Row],[الوارد ]]-Table1[[#This Row],[المنصرف ]]</f>
        <v>249742.97301648604</v>
      </c>
      <c r="S234" s="226"/>
      <c r="T234" s="226"/>
    </row>
    <row r="235" spans="1:20">
      <c r="A235" s="237">
        <v>45684</v>
      </c>
      <c r="B235" s="160" t="str">
        <f>TEXT(Table1[[#This Row],[التاريخ ]],"DDD")</f>
        <v>Mon</v>
      </c>
      <c r="C235" s="160" t="str">
        <f>IF(Table1[[#This Row],[التاريخ ]]="","",TEXT(Table1[[#This Row],[التاريخ ]],"mmm"))</f>
        <v>Jan</v>
      </c>
      <c r="D235" s="161" t="s">
        <v>720</v>
      </c>
      <c r="E235" s="161" t="s">
        <v>67</v>
      </c>
      <c r="F235" s="162">
        <v>11117419270125</v>
      </c>
      <c r="G235" s="226">
        <v>151</v>
      </c>
      <c r="H235" s="227" t="str">
        <f>VLOOKUP(G:G,'قاعدة بيانات  '!K:L,2,0)</f>
        <v xml:space="preserve">احمد عبد الباسط عبد السلام محمد </v>
      </c>
      <c r="I235" s="226" t="s">
        <v>100</v>
      </c>
      <c r="J235" s="226" t="s">
        <v>301</v>
      </c>
      <c r="K235" s="226" t="s">
        <v>123</v>
      </c>
      <c r="L235" s="164">
        <v>116</v>
      </c>
      <c r="M235" s="165"/>
      <c r="N235" s="165"/>
      <c r="Q235" s="166">
        <f>745-Q236</f>
        <v>717.85964999999999</v>
      </c>
      <c r="R235" s="163">
        <f>R234+Table1[[#This Row],[الوارد ]]-Table1[[#This Row],[المنصرف ]]</f>
        <v>249025.11336648604</v>
      </c>
      <c r="S235" s="226"/>
      <c r="T235" s="226"/>
    </row>
    <row r="236" spans="1:20">
      <c r="A236" s="237">
        <v>45684</v>
      </c>
      <c r="B236" s="160" t="str">
        <f>TEXT(Table1[[#This Row],[التاريخ ]],"DDD")</f>
        <v>Mon</v>
      </c>
      <c r="C236" s="160" t="str">
        <f>IF(Table1[[#This Row],[التاريخ ]]="","",TEXT(Table1[[#This Row],[التاريخ ]],"mmm"))</f>
        <v>Jan</v>
      </c>
      <c r="D236" s="161" t="s">
        <v>881</v>
      </c>
      <c r="E236" s="161" t="s">
        <v>67</v>
      </c>
      <c r="F236" s="162">
        <v>11117419270125</v>
      </c>
      <c r="G236" s="226">
        <v>151</v>
      </c>
      <c r="H236" s="227" t="str">
        <f>VLOOKUP(G:G,'قاعدة بيانات  '!K:L,2,0)</f>
        <v xml:space="preserve">احمد عبد الباسط عبد السلام محمد </v>
      </c>
      <c r="I236" s="226" t="s">
        <v>100</v>
      </c>
      <c r="J236" s="226" t="s">
        <v>301</v>
      </c>
      <c r="K236" s="226" t="s">
        <v>115</v>
      </c>
      <c r="L236" s="164">
        <v>116</v>
      </c>
      <c r="M236" s="165"/>
      <c r="N236" s="165"/>
      <c r="Q236" s="166">
        <v>27.140350000000002</v>
      </c>
      <c r="R236" s="163">
        <f>R235+Table1[[#This Row],[الوارد ]]-Table1[[#This Row],[المنصرف ]]</f>
        <v>248997.97301648604</v>
      </c>
      <c r="S236" s="226"/>
      <c r="T236" s="226"/>
    </row>
    <row r="237" spans="1:20">
      <c r="A237" s="237">
        <v>45684</v>
      </c>
      <c r="B237" s="160" t="str">
        <f>TEXT(Table1[[#This Row],[التاريخ ]],"DDD")</f>
        <v>Mon</v>
      </c>
      <c r="C237" s="160" t="str">
        <f>IF(Table1[[#This Row],[التاريخ ]]="","",TEXT(Table1[[#This Row],[التاريخ ]],"mmm"))</f>
        <v>Jan</v>
      </c>
      <c r="D237" s="161" t="s">
        <v>624</v>
      </c>
      <c r="G237" s="226">
        <v>151</v>
      </c>
      <c r="H237" s="227" t="str">
        <f>VLOOKUP(G:G,'قاعدة بيانات  '!K:L,2,0)</f>
        <v xml:space="preserve">احمد عبد الباسط عبد السلام محمد </v>
      </c>
      <c r="I237" s="226" t="s">
        <v>392</v>
      </c>
      <c r="J237" s="226" t="s">
        <v>301</v>
      </c>
      <c r="K237" s="226" t="s">
        <v>128</v>
      </c>
      <c r="L237" s="164">
        <v>117</v>
      </c>
      <c r="M237" s="165"/>
      <c r="N237" s="165"/>
      <c r="Q237" s="166">
        <v>4524.2536</v>
      </c>
      <c r="R237" s="163">
        <f>R236+Table1[[#This Row],[الوارد ]]-Table1[[#This Row],[المنصرف ]]</f>
        <v>244473.71941648604</v>
      </c>
      <c r="S237" s="226"/>
      <c r="T237" s="226"/>
    </row>
    <row r="238" spans="1:20">
      <c r="A238" s="237">
        <v>45684</v>
      </c>
      <c r="B238" s="160" t="str">
        <f>TEXT(Table1[[#This Row],[التاريخ ]],"DDD")</f>
        <v>Mon</v>
      </c>
      <c r="C238" s="160" t="str">
        <f>IF(Table1[[#This Row],[التاريخ ]]="","",TEXT(Table1[[#This Row],[التاريخ ]],"mmm"))</f>
        <v>Jan</v>
      </c>
      <c r="D238" s="161" t="s">
        <v>739</v>
      </c>
      <c r="G238" s="226">
        <v>151</v>
      </c>
      <c r="H238" s="227" t="str">
        <f>VLOOKUP(G:G,'قاعدة بيانات  '!K:L,2,0)</f>
        <v xml:space="preserve">احمد عبد الباسط عبد السلام محمد </v>
      </c>
      <c r="I238" s="226" t="s">
        <v>167</v>
      </c>
      <c r="J238" s="226" t="s">
        <v>301</v>
      </c>
      <c r="K238" s="226" t="s">
        <v>140</v>
      </c>
      <c r="L238" s="164">
        <v>118</v>
      </c>
      <c r="M238" s="165"/>
      <c r="N238" s="165"/>
      <c r="P238" s="163">
        <f>35000+35000+30000+20000</f>
        <v>120000</v>
      </c>
      <c r="Q238" s="166"/>
      <c r="R238" s="163">
        <f>R237+Table1[[#This Row],[الوارد ]]-Table1[[#This Row],[المنصرف ]]</f>
        <v>364473.71941648604</v>
      </c>
      <c r="S238" s="226"/>
      <c r="T238" s="226"/>
    </row>
    <row r="239" spans="1:20">
      <c r="A239" s="237">
        <v>45684</v>
      </c>
      <c r="B239" s="160" t="str">
        <f>TEXT(Table1[[#This Row],[التاريخ ]],"DDD")</f>
        <v>Mon</v>
      </c>
      <c r="C239" s="160" t="str">
        <f>IF(Table1[[#This Row],[التاريخ ]]="","",TEXT(Table1[[#This Row],[التاريخ ]],"mmm"))</f>
        <v>Jan</v>
      </c>
      <c r="D239" s="161" t="s">
        <v>740</v>
      </c>
      <c r="G239" s="226">
        <v>151</v>
      </c>
      <c r="H239" s="227" t="str">
        <f>VLOOKUP(G:G,'قاعدة بيانات  '!K:L,2,0)</f>
        <v xml:space="preserve">احمد عبد الباسط عبد السلام محمد </v>
      </c>
      <c r="I239" s="226" t="s">
        <v>167</v>
      </c>
      <c r="J239" s="226" t="s">
        <v>301</v>
      </c>
      <c r="K239" s="226" t="s">
        <v>140</v>
      </c>
      <c r="L239" s="164">
        <v>119</v>
      </c>
      <c r="M239" s="165"/>
      <c r="N239" s="165"/>
      <c r="P239" s="163">
        <v>70000</v>
      </c>
      <c r="Q239" s="166"/>
      <c r="R239" s="163">
        <f>R238+Table1[[#This Row],[الوارد ]]-Table1[[#This Row],[المنصرف ]]</f>
        <v>434473.71941648604</v>
      </c>
      <c r="S239" s="226"/>
      <c r="T239" s="226"/>
    </row>
    <row r="240" spans="1:20">
      <c r="A240" s="237">
        <v>45685</v>
      </c>
      <c r="B240" s="160" t="str">
        <f>TEXT(Table1[[#This Row],[التاريخ ]],"DDD")</f>
        <v>Tue</v>
      </c>
      <c r="C240" s="160" t="str">
        <f>IF(Table1[[#This Row],[التاريخ ]]="","",TEXT(Table1[[#This Row],[التاريخ ]],"mmm"))</f>
        <v>Jan</v>
      </c>
      <c r="D240" s="161" t="s">
        <v>721</v>
      </c>
      <c r="G240" s="226">
        <v>151</v>
      </c>
      <c r="H240" s="227" t="str">
        <f>VLOOKUP(G:G,'قاعدة بيانات  '!K:L,2,0)</f>
        <v xml:space="preserve">احمد عبد الباسط عبد السلام محمد </v>
      </c>
      <c r="I240" s="226" t="s">
        <v>167</v>
      </c>
      <c r="J240" s="226" t="s">
        <v>301</v>
      </c>
      <c r="K240" s="226" t="s">
        <v>140</v>
      </c>
      <c r="L240" s="164">
        <v>120</v>
      </c>
      <c r="M240" s="165"/>
      <c r="N240" s="165"/>
      <c r="P240" s="163">
        <v>250000</v>
      </c>
      <c r="Q240" s="166"/>
      <c r="R240" s="163">
        <f>R239+Table1[[#This Row],[الوارد ]]-Table1[[#This Row],[المنصرف ]]</f>
        <v>684473.7194164861</v>
      </c>
      <c r="S240" s="226"/>
      <c r="T240" s="226"/>
    </row>
    <row r="241" spans="1:20">
      <c r="A241" s="237">
        <v>45685</v>
      </c>
      <c r="B241" s="160" t="str">
        <f>TEXT(Table1[[#This Row],[التاريخ ]],"DDD")</f>
        <v>Tue</v>
      </c>
      <c r="C241" s="160" t="str">
        <f>IF(Table1[[#This Row],[التاريخ ]]="","",TEXT(Table1[[#This Row],[التاريخ ]],"mmm"))</f>
        <v>Jan</v>
      </c>
      <c r="D241" s="161" t="s">
        <v>722</v>
      </c>
      <c r="G241" s="226">
        <v>151</v>
      </c>
      <c r="H241" s="227" t="str">
        <f>VLOOKUP(G:G,'قاعدة بيانات  '!K:L,2,0)</f>
        <v xml:space="preserve">احمد عبد الباسط عبد السلام محمد </v>
      </c>
      <c r="I241" s="226" t="s">
        <v>167</v>
      </c>
      <c r="J241" s="226" t="s">
        <v>301</v>
      </c>
      <c r="K241" s="226" t="s">
        <v>140</v>
      </c>
      <c r="L241" s="164">
        <v>121</v>
      </c>
      <c r="M241" s="165"/>
      <c r="N241" s="165"/>
      <c r="P241" s="163">
        <v>209445</v>
      </c>
      <c r="Q241" s="166"/>
      <c r="R241" s="163">
        <f>R240+Table1[[#This Row],[الوارد ]]-Table1[[#This Row],[المنصرف ]]</f>
        <v>893918.7194164861</v>
      </c>
      <c r="S241" s="226"/>
      <c r="T241" s="226"/>
    </row>
    <row r="242" spans="1:20">
      <c r="A242" s="237">
        <v>45685</v>
      </c>
      <c r="B242" s="160" t="str">
        <f>TEXT(Table1[[#This Row],[التاريخ ]],"DDD")</f>
        <v>Tue</v>
      </c>
      <c r="C242" s="160" t="str">
        <f>IF(Table1[[#This Row],[التاريخ ]]="","",TEXT(Table1[[#This Row],[التاريخ ]],"mmm"))</f>
        <v>Jan</v>
      </c>
      <c r="D242" s="161" t="s">
        <v>723</v>
      </c>
      <c r="G242" s="226">
        <v>151</v>
      </c>
      <c r="H242" s="227" t="str">
        <f>VLOOKUP(G:G,'قاعدة بيانات  '!K:L,2,0)</f>
        <v xml:space="preserve">احمد عبد الباسط عبد السلام محمد </v>
      </c>
      <c r="I242" s="226" t="s">
        <v>167</v>
      </c>
      <c r="J242" s="226" t="s">
        <v>301</v>
      </c>
      <c r="K242" s="226" t="s">
        <v>115</v>
      </c>
      <c r="L242" s="164">
        <v>122</v>
      </c>
      <c r="M242" s="165"/>
      <c r="N242" s="165"/>
      <c r="Q242" s="166">
        <v>209445</v>
      </c>
      <c r="R242" s="163">
        <f>R241+Table1[[#This Row],[الوارد ]]-Table1[[#This Row],[المنصرف ]]</f>
        <v>684473.7194164861</v>
      </c>
      <c r="S242" s="226"/>
      <c r="T242" s="226"/>
    </row>
    <row r="243" spans="1:20">
      <c r="A243" s="237">
        <v>45685</v>
      </c>
      <c r="B243" s="160" t="str">
        <f>TEXT(Table1[[#This Row],[التاريخ ]],"DDD")</f>
        <v>Tue</v>
      </c>
      <c r="C243" s="160" t="str">
        <f>IF(Table1[[#This Row],[التاريخ ]]="","",TEXT(Table1[[#This Row],[التاريخ ]],"mmm"))</f>
        <v>Jan</v>
      </c>
      <c r="D243" s="161" t="s">
        <v>610</v>
      </c>
      <c r="G243" s="226">
        <v>119</v>
      </c>
      <c r="H243" s="227" t="str">
        <f>VLOOKUP(G:G,'قاعدة بيانات  '!K:L,2,0)</f>
        <v>مصطفى جميل عبد الفتاح محمد شاهين</v>
      </c>
      <c r="I243" s="226" t="s">
        <v>107</v>
      </c>
      <c r="J243" s="226" t="s">
        <v>1114</v>
      </c>
      <c r="K243" s="226" t="s">
        <v>116</v>
      </c>
      <c r="L243" s="164">
        <v>123</v>
      </c>
      <c r="M243" s="165"/>
      <c r="N243" s="165"/>
      <c r="Q243" s="166">
        <v>60</v>
      </c>
      <c r="R243" s="163">
        <f>R242+Table1[[#This Row],[الوارد ]]-Table1[[#This Row],[المنصرف ]]</f>
        <v>684413.7194164861</v>
      </c>
      <c r="S243" s="226"/>
      <c r="T243" s="226"/>
    </row>
    <row r="244" spans="1:20">
      <c r="A244" s="237">
        <v>45685</v>
      </c>
      <c r="B244" s="160" t="str">
        <f>TEXT(Table1[[#This Row],[التاريخ ]],"DDD")</f>
        <v>Tue</v>
      </c>
      <c r="C244" s="160" t="str">
        <f>IF(Table1[[#This Row],[التاريخ ]]="","",TEXT(Table1[[#This Row],[التاريخ ]],"mmm"))</f>
        <v>Jan</v>
      </c>
      <c r="D244" s="161" t="s">
        <v>724</v>
      </c>
      <c r="G244" s="226">
        <v>362</v>
      </c>
      <c r="H244" s="227" t="str">
        <f>VLOOKUP(G:G,'قاعدة بيانات  '!K:L,2,0)</f>
        <v>احمد محمد محمود احمد أبو الدهب</v>
      </c>
      <c r="I244" s="226" t="s">
        <v>107</v>
      </c>
      <c r="J244" s="226" t="s">
        <v>1113</v>
      </c>
      <c r="K244" s="226" t="s">
        <v>128</v>
      </c>
      <c r="L244" s="164">
        <v>124</v>
      </c>
      <c r="M244" s="165"/>
      <c r="N244" s="165"/>
      <c r="Q244" s="166">
        <v>140</v>
      </c>
      <c r="R244" s="163">
        <f>R243+Table1[[#This Row],[الوارد ]]-Table1[[#This Row],[المنصرف ]]</f>
        <v>684273.7194164861</v>
      </c>
      <c r="S244" s="226"/>
      <c r="T244" s="226"/>
    </row>
    <row r="245" spans="1:20">
      <c r="A245" s="237">
        <v>45685</v>
      </c>
      <c r="B245" s="160" t="str">
        <f>TEXT(Table1[[#This Row],[التاريخ ]],"DDD")</f>
        <v>Tue</v>
      </c>
      <c r="C245" s="160" t="str">
        <f>IF(Table1[[#This Row],[التاريخ ]]="","",TEXT(Table1[[#This Row],[التاريخ ]],"mmm"))</f>
        <v>Jan</v>
      </c>
      <c r="D245" s="161" t="s">
        <v>725</v>
      </c>
      <c r="G245" s="226">
        <v>362</v>
      </c>
      <c r="H245" s="227" t="str">
        <f>VLOOKUP(G:G,'قاعدة بيانات  '!K:L,2,0)</f>
        <v>احمد محمد محمود احمد أبو الدهب</v>
      </c>
      <c r="I245" s="226" t="s">
        <v>107</v>
      </c>
      <c r="J245" s="226" t="s">
        <v>1113</v>
      </c>
      <c r="K245" s="226" t="s">
        <v>116</v>
      </c>
      <c r="L245" s="164">
        <v>124</v>
      </c>
      <c r="M245" s="165"/>
      <c r="N245" s="165"/>
      <c r="Q245" s="166">
        <v>545</v>
      </c>
      <c r="R245" s="163">
        <f>R244+Table1[[#This Row],[الوارد ]]-Table1[[#This Row],[المنصرف ]]</f>
        <v>683728.7194164861</v>
      </c>
      <c r="S245" s="226"/>
      <c r="T245" s="226"/>
    </row>
    <row r="246" spans="1:20">
      <c r="A246" s="237">
        <v>45685</v>
      </c>
      <c r="B246" s="160" t="str">
        <f>TEXT(Table1[[#This Row],[التاريخ ]],"DDD")</f>
        <v>Tue</v>
      </c>
      <c r="C246" s="160" t="str">
        <f>IF(Table1[[#This Row],[التاريخ ]]="","",TEXT(Table1[[#This Row],[التاريخ ]],"mmm"))</f>
        <v>Jan</v>
      </c>
      <c r="D246" s="161" t="s">
        <v>726</v>
      </c>
      <c r="G246" s="226">
        <v>365</v>
      </c>
      <c r="H246" s="227" t="str">
        <f>VLOOKUP(G:G,'قاعدة بيانات  '!K:L,2,0)</f>
        <v>محمد رضا سعد حسن الشرقاوى</v>
      </c>
      <c r="I246" s="226" t="s">
        <v>167</v>
      </c>
      <c r="J246" s="226" t="s">
        <v>301</v>
      </c>
      <c r="K246" s="226" t="s">
        <v>116</v>
      </c>
      <c r="L246" s="164">
        <v>125</v>
      </c>
      <c r="M246" s="165"/>
      <c r="N246" s="165"/>
      <c r="Q246" s="166">
        <v>85</v>
      </c>
      <c r="R246" s="163">
        <f>R245+Table1[[#This Row],[الوارد ]]-Table1[[#This Row],[المنصرف ]]</f>
        <v>683643.7194164861</v>
      </c>
      <c r="S246" s="226"/>
      <c r="T246" s="226"/>
    </row>
    <row r="247" spans="1:20">
      <c r="A247" s="237">
        <v>45685</v>
      </c>
      <c r="B247" s="160" t="str">
        <f>TEXT(Table1[[#This Row],[التاريخ ]],"DDD")</f>
        <v>Tue</v>
      </c>
      <c r="C247" s="160" t="str">
        <f>IF(Table1[[#This Row],[التاريخ ]]="","",TEXT(Table1[[#This Row],[التاريخ ]],"mmm"))</f>
        <v>Jan</v>
      </c>
      <c r="D247" s="161" t="s">
        <v>727</v>
      </c>
      <c r="G247" s="226">
        <v>378</v>
      </c>
      <c r="H247" s="227" t="str">
        <f>VLOOKUP(G:G,'قاعدة بيانات  '!K:L,2,0)</f>
        <v>عبد الحميد نبوى فهيم محمد</v>
      </c>
      <c r="I247" s="226" t="s">
        <v>107</v>
      </c>
      <c r="J247" s="226" t="s">
        <v>1113</v>
      </c>
      <c r="K247" s="226" t="s">
        <v>116</v>
      </c>
      <c r="L247" s="164">
        <v>126</v>
      </c>
      <c r="M247" s="165"/>
      <c r="N247" s="165"/>
      <c r="Q247" s="166">
        <v>190</v>
      </c>
      <c r="R247" s="163">
        <f>R246+Table1[[#This Row],[الوارد ]]-Table1[[#This Row],[المنصرف ]]</f>
        <v>683453.7194164861</v>
      </c>
      <c r="S247" s="226"/>
      <c r="T247" s="226"/>
    </row>
    <row r="248" spans="1:20">
      <c r="A248" s="237">
        <v>45685</v>
      </c>
      <c r="B248" s="160" t="str">
        <f>TEXT(Table1[[#This Row],[التاريخ ]],"DDD")</f>
        <v>Tue</v>
      </c>
      <c r="C248" s="160" t="str">
        <f>IF(Table1[[#This Row],[التاريخ ]]="","",TEXT(Table1[[#This Row],[التاريخ ]],"mmm"))</f>
        <v>Jan</v>
      </c>
      <c r="D248" s="161" t="s">
        <v>609</v>
      </c>
      <c r="G248" s="226">
        <v>548</v>
      </c>
      <c r="H248" s="227" t="str">
        <f>VLOOKUP(G:G,'قاعدة بيانات  '!K:L,2,0)</f>
        <v>احمد حسين رمضان محمد ربيع</v>
      </c>
      <c r="I248" s="226" t="s">
        <v>107</v>
      </c>
      <c r="J248" s="226" t="s">
        <v>1114</v>
      </c>
      <c r="K248" s="226" t="s">
        <v>116</v>
      </c>
      <c r="L248" s="164">
        <v>127</v>
      </c>
      <c r="M248" s="165"/>
      <c r="N248" s="165"/>
      <c r="Q248" s="166">
        <v>100</v>
      </c>
      <c r="R248" s="163">
        <f>R247+Table1[[#This Row],[الوارد ]]-Table1[[#This Row],[المنصرف ]]</f>
        <v>683353.7194164861</v>
      </c>
      <c r="S248" s="226"/>
      <c r="T248" s="226"/>
    </row>
    <row r="249" spans="1:20">
      <c r="A249" s="237">
        <v>45685</v>
      </c>
      <c r="B249" s="160" t="str">
        <f>TEXT(Table1[[#This Row],[التاريخ ]],"DDD")</f>
        <v>Tue</v>
      </c>
      <c r="C249" s="160" t="str">
        <f>IF(Table1[[#This Row],[التاريخ ]]="","",TEXT(Table1[[#This Row],[التاريخ ]],"mmm"))</f>
        <v>Jan</v>
      </c>
      <c r="D249" s="161" t="s">
        <v>419</v>
      </c>
      <c r="G249" s="226">
        <v>493</v>
      </c>
      <c r="H249" s="227" t="str">
        <f>VLOOKUP(G:G,'قاعدة بيانات  '!K:L,2,0)</f>
        <v>محمود محمد محمود محمد</v>
      </c>
      <c r="I249" s="226" t="s">
        <v>102</v>
      </c>
      <c r="J249" s="226" t="s">
        <v>112</v>
      </c>
      <c r="K249" s="226" t="s">
        <v>116</v>
      </c>
      <c r="L249" s="164">
        <v>128</v>
      </c>
      <c r="M249" s="165"/>
      <c r="N249" s="165"/>
      <c r="Q249" s="166">
        <f>38+14.5+34+10</f>
        <v>96.5</v>
      </c>
      <c r="R249" s="163">
        <f>R248+Table1[[#This Row],[الوارد ]]-Table1[[#This Row],[المنصرف ]]</f>
        <v>683257.2194164861</v>
      </c>
      <c r="S249" s="226"/>
      <c r="T249" s="226"/>
    </row>
    <row r="250" spans="1:20">
      <c r="A250" s="237">
        <v>45685</v>
      </c>
      <c r="B250" s="160" t="str">
        <f>TEXT(Table1[[#This Row],[التاريخ ]],"DDD")</f>
        <v>Tue</v>
      </c>
      <c r="C250" s="160" t="str">
        <f>IF(Table1[[#This Row],[التاريخ ]]="","",TEXT(Table1[[#This Row],[التاريخ ]],"mmm"))</f>
        <v>Jan</v>
      </c>
      <c r="D250" s="161" t="s">
        <v>419</v>
      </c>
      <c r="G250" s="226">
        <v>493</v>
      </c>
      <c r="H250" s="227" t="str">
        <f>VLOOKUP(G:G,'قاعدة بيانات  '!K:L,2,0)</f>
        <v>محمود محمد محمود محمد</v>
      </c>
      <c r="I250" s="226" t="s">
        <v>103</v>
      </c>
      <c r="J250" s="226" t="s">
        <v>112</v>
      </c>
      <c r="K250" s="226" t="s">
        <v>116</v>
      </c>
      <c r="L250" s="164">
        <v>128</v>
      </c>
      <c r="M250" s="165"/>
      <c r="N250" s="165"/>
      <c r="Q250" s="166">
        <f>14.5+10+10</f>
        <v>34.5</v>
      </c>
      <c r="R250" s="163">
        <f>R249+Table1[[#This Row],[الوارد ]]-Table1[[#This Row],[المنصرف ]]</f>
        <v>683222.7194164861</v>
      </c>
      <c r="S250" s="226"/>
      <c r="T250" s="226"/>
    </row>
    <row r="251" spans="1:20">
      <c r="A251" s="237">
        <v>45685</v>
      </c>
      <c r="B251" s="160" t="str">
        <f>TEXT(Table1[[#This Row],[التاريخ ]],"DDD")</f>
        <v>Tue</v>
      </c>
      <c r="C251" s="160" t="str">
        <f>IF(Table1[[#This Row],[التاريخ ]]="","",TEXT(Table1[[#This Row],[التاريخ ]],"mmm"))</f>
        <v>Jan</v>
      </c>
      <c r="D251" s="161" t="s">
        <v>419</v>
      </c>
      <c r="G251" s="226">
        <v>493</v>
      </c>
      <c r="H251" s="227" t="str">
        <f>VLOOKUP(G:G,'قاعدة بيانات  '!K:L,2,0)</f>
        <v>محمود محمد محمود محمد</v>
      </c>
      <c r="I251" s="226" t="s">
        <v>439</v>
      </c>
      <c r="J251" s="226" t="s">
        <v>112</v>
      </c>
      <c r="K251" s="226" t="s">
        <v>116</v>
      </c>
      <c r="L251" s="164">
        <v>128</v>
      </c>
      <c r="M251" s="165"/>
      <c r="N251" s="165"/>
      <c r="Q251" s="166">
        <v>56</v>
      </c>
      <c r="R251" s="163">
        <f>R250+Table1[[#This Row],[الوارد ]]-Table1[[#This Row],[المنصرف ]]</f>
        <v>683166.7194164861</v>
      </c>
      <c r="S251" s="226"/>
      <c r="T251" s="226"/>
    </row>
    <row r="252" spans="1:20">
      <c r="A252" s="237">
        <v>45685</v>
      </c>
      <c r="B252" s="160" t="str">
        <f>TEXT(Table1[[#This Row],[التاريخ ]],"DDD")</f>
        <v>Tue</v>
      </c>
      <c r="C252" s="160" t="str">
        <f>IF(Table1[[#This Row],[التاريخ ]]="","",TEXT(Table1[[#This Row],[التاريخ ]],"mmm"))</f>
        <v>Jan</v>
      </c>
      <c r="D252" s="161" t="s">
        <v>419</v>
      </c>
      <c r="G252" s="226">
        <v>493</v>
      </c>
      <c r="H252" s="227" t="str">
        <f>VLOOKUP(G:G,'قاعدة بيانات  '!K:L,2,0)</f>
        <v>محمود محمد محمود محمد</v>
      </c>
      <c r="I252" s="226" t="s">
        <v>102</v>
      </c>
      <c r="J252" s="226" t="s">
        <v>112</v>
      </c>
      <c r="K252" s="226" t="s">
        <v>124</v>
      </c>
      <c r="L252" s="164">
        <v>128</v>
      </c>
      <c r="M252" s="165"/>
      <c r="N252" s="165"/>
      <c r="Q252" s="166">
        <v>10</v>
      </c>
      <c r="R252" s="163">
        <f>R251+Table1[[#This Row],[الوارد ]]-Table1[[#This Row],[المنصرف ]]</f>
        <v>683156.7194164861</v>
      </c>
      <c r="S252" s="226"/>
      <c r="T252" s="226"/>
    </row>
    <row r="253" spans="1:20">
      <c r="A253" s="237">
        <v>45685</v>
      </c>
      <c r="B253" s="160" t="str">
        <f>TEXT(Table1[[#This Row],[التاريخ ]],"DDD")</f>
        <v>Tue</v>
      </c>
      <c r="C253" s="160" t="str">
        <f>IF(Table1[[#This Row],[التاريخ ]]="","",TEXT(Table1[[#This Row],[التاريخ ]],"mmm"))</f>
        <v>Jan</v>
      </c>
      <c r="D253" s="161" t="s">
        <v>419</v>
      </c>
      <c r="G253" s="226">
        <v>493</v>
      </c>
      <c r="H253" s="227" t="str">
        <f>VLOOKUP(G:G,'قاعدة بيانات  '!K:L,2,0)</f>
        <v>محمود محمد محمود محمد</v>
      </c>
      <c r="I253" s="226" t="s">
        <v>102</v>
      </c>
      <c r="J253" s="226" t="s">
        <v>112</v>
      </c>
      <c r="K253" s="226" t="s">
        <v>120</v>
      </c>
      <c r="L253" s="164">
        <v>128</v>
      </c>
      <c r="M253" s="165"/>
      <c r="N253" s="165"/>
      <c r="Q253" s="166">
        <f>50+25</f>
        <v>75</v>
      </c>
      <c r="R253" s="163">
        <f>R252+Table1[[#This Row],[الوارد ]]-Table1[[#This Row],[المنصرف ]]</f>
        <v>683081.7194164861</v>
      </c>
      <c r="S253" s="226"/>
      <c r="T253" s="226"/>
    </row>
    <row r="254" spans="1:20">
      <c r="A254" s="237">
        <v>45685</v>
      </c>
      <c r="B254" s="160" t="str">
        <f>TEXT(Table1[[#This Row],[التاريخ ]],"DDD")</f>
        <v>Tue</v>
      </c>
      <c r="C254" s="160" t="str">
        <f>IF(Table1[[#This Row],[التاريخ ]]="","",TEXT(Table1[[#This Row],[التاريخ ]],"mmm"))</f>
        <v>Jan</v>
      </c>
      <c r="D254" s="161" t="s">
        <v>419</v>
      </c>
      <c r="G254" s="226">
        <v>493</v>
      </c>
      <c r="H254" s="227" t="str">
        <f>VLOOKUP(G:G,'قاعدة بيانات  '!K:L,2,0)</f>
        <v>محمود محمد محمود محمد</v>
      </c>
      <c r="I254" s="226" t="s">
        <v>167</v>
      </c>
      <c r="J254" s="226" t="s">
        <v>301</v>
      </c>
      <c r="K254" s="226" t="s">
        <v>120</v>
      </c>
      <c r="L254" s="164">
        <v>128</v>
      </c>
      <c r="M254" s="165"/>
      <c r="N254" s="165"/>
      <c r="Q254" s="166">
        <v>703</v>
      </c>
      <c r="R254" s="163">
        <f>R253+Table1[[#This Row],[الوارد ]]-Table1[[#This Row],[المنصرف ]]</f>
        <v>682378.7194164861</v>
      </c>
      <c r="S254" s="226"/>
      <c r="T254" s="226"/>
    </row>
    <row r="255" spans="1:20">
      <c r="A255" s="237">
        <v>45685</v>
      </c>
      <c r="B255" s="160" t="str">
        <f>TEXT(Table1[[#This Row],[التاريخ ]],"DDD")</f>
        <v>Tue</v>
      </c>
      <c r="C255" s="160" t="str">
        <f>IF(Table1[[#This Row],[التاريخ ]]="","",TEXT(Table1[[#This Row],[التاريخ ]],"mmm"))</f>
        <v>Jan</v>
      </c>
      <c r="D255" s="161" t="s">
        <v>419</v>
      </c>
      <c r="G255" s="226">
        <v>493</v>
      </c>
      <c r="H255" s="227" t="str">
        <f>VLOOKUP(G:G,'قاعدة بيانات  '!K:L,2,0)</f>
        <v>محمود محمد محمود محمد</v>
      </c>
      <c r="I255" s="226" t="s">
        <v>167</v>
      </c>
      <c r="J255" s="226" t="s">
        <v>301</v>
      </c>
      <c r="K255" s="226" t="s">
        <v>116</v>
      </c>
      <c r="L255" s="164">
        <v>128</v>
      </c>
      <c r="M255" s="165"/>
      <c r="N255" s="165"/>
      <c r="Q255" s="166">
        <v>39</v>
      </c>
      <c r="R255" s="163">
        <f>R254+Table1[[#This Row],[الوارد ]]-Table1[[#This Row],[المنصرف ]]</f>
        <v>682339.7194164861</v>
      </c>
      <c r="S255" s="226"/>
      <c r="T255" s="226"/>
    </row>
    <row r="256" spans="1:20">
      <c r="A256" s="237">
        <v>45685</v>
      </c>
      <c r="B256" s="160" t="str">
        <f>TEXT(Table1[[#This Row],[التاريخ ]],"DDD")</f>
        <v>Tue</v>
      </c>
      <c r="C256" s="160" t="str">
        <f>IF(Table1[[#This Row],[التاريخ ]]="","",TEXT(Table1[[#This Row],[التاريخ ]],"mmm"))</f>
        <v>Jan</v>
      </c>
      <c r="D256" s="161" t="s">
        <v>419</v>
      </c>
      <c r="G256" s="226">
        <v>493</v>
      </c>
      <c r="H256" s="227" t="str">
        <f>VLOOKUP(G:G,'قاعدة بيانات  '!K:L,2,0)</f>
        <v>محمود محمد محمود محمد</v>
      </c>
      <c r="I256" s="226" t="s">
        <v>352</v>
      </c>
      <c r="J256" s="226" t="s">
        <v>112</v>
      </c>
      <c r="K256" s="226" t="s">
        <v>120</v>
      </c>
      <c r="L256" s="164">
        <v>128</v>
      </c>
      <c r="M256" s="165"/>
      <c r="N256" s="165"/>
      <c r="Q256" s="166">
        <f>15+70+10</f>
        <v>95</v>
      </c>
      <c r="R256" s="163">
        <f>R255+Table1[[#This Row],[الوارد ]]-Table1[[#This Row],[المنصرف ]]</f>
        <v>682244.7194164861</v>
      </c>
      <c r="S256" s="226"/>
      <c r="T256" s="226"/>
    </row>
    <row r="257" spans="1:20">
      <c r="A257" s="237">
        <v>45685</v>
      </c>
      <c r="B257" s="160" t="str">
        <f>TEXT(Table1[[#This Row],[التاريخ ]],"DDD")</f>
        <v>Tue</v>
      </c>
      <c r="C257" s="160" t="str">
        <f>IF(Table1[[#This Row],[التاريخ ]]="","",TEXT(Table1[[#This Row],[التاريخ ]],"mmm"))</f>
        <v>Jan</v>
      </c>
      <c r="D257" s="161" t="s">
        <v>419</v>
      </c>
      <c r="G257" s="226">
        <v>493</v>
      </c>
      <c r="H257" s="227" t="str">
        <f>VLOOKUP(G:G,'قاعدة بيانات  '!K:L,2,0)</f>
        <v>محمود محمد محمود محمد</v>
      </c>
      <c r="I257" s="226" t="s">
        <v>352</v>
      </c>
      <c r="J257" s="226" t="s">
        <v>112</v>
      </c>
      <c r="K257" s="226" t="s">
        <v>116</v>
      </c>
      <c r="L257" s="164">
        <v>128</v>
      </c>
      <c r="M257" s="165"/>
      <c r="N257" s="165"/>
      <c r="Q257" s="166">
        <f>11+52</f>
        <v>63</v>
      </c>
      <c r="R257" s="163">
        <f>R256+Table1[[#This Row],[الوارد ]]-Table1[[#This Row],[المنصرف ]]</f>
        <v>682181.7194164861</v>
      </c>
      <c r="S257" s="226"/>
      <c r="T257" s="226"/>
    </row>
    <row r="258" spans="1:20">
      <c r="A258" s="237">
        <v>45685</v>
      </c>
      <c r="B258" s="160" t="str">
        <f>TEXT(Table1[[#This Row],[التاريخ ]],"DDD")</f>
        <v>Tue</v>
      </c>
      <c r="C258" s="160" t="str">
        <f>IF(Table1[[#This Row],[التاريخ ]]="","",TEXT(Table1[[#This Row],[التاريخ ]],"mmm"))</f>
        <v>Jan</v>
      </c>
      <c r="D258" s="161" t="s">
        <v>419</v>
      </c>
      <c r="G258" s="226">
        <v>493</v>
      </c>
      <c r="H258" s="227" t="str">
        <f>VLOOKUP(G:G,'قاعدة بيانات  '!K:L,2,0)</f>
        <v>محمود محمد محمود محمد</v>
      </c>
      <c r="I258" s="226" t="s">
        <v>98</v>
      </c>
      <c r="J258" s="226" t="s">
        <v>304</v>
      </c>
      <c r="K258" s="226" t="s">
        <v>120</v>
      </c>
      <c r="L258" s="164">
        <v>128</v>
      </c>
      <c r="M258" s="165"/>
      <c r="N258" s="165"/>
      <c r="O258" s="160" t="s">
        <v>728</v>
      </c>
      <c r="Q258" s="166">
        <v>26</v>
      </c>
      <c r="R258" s="163">
        <f>R257+Table1[[#This Row],[الوارد ]]-Table1[[#This Row],[المنصرف ]]</f>
        <v>682155.7194164861</v>
      </c>
      <c r="S258" s="226"/>
      <c r="T258" s="226"/>
    </row>
    <row r="259" spans="1:20">
      <c r="A259" s="237">
        <v>45685</v>
      </c>
      <c r="B259" s="160" t="str">
        <f>TEXT(Table1[[#This Row],[التاريخ ]],"DDD")</f>
        <v>Tue</v>
      </c>
      <c r="C259" s="160" t="str">
        <f>IF(Table1[[#This Row],[التاريخ ]]="","",TEXT(Table1[[#This Row],[التاريخ ]],"mmm"))</f>
        <v>Jan</v>
      </c>
      <c r="D259" s="161" t="s">
        <v>437</v>
      </c>
      <c r="G259" s="226">
        <v>544</v>
      </c>
      <c r="H259" s="227" t="str">
        <f>VLOOKUP(G:G,'قاعدة بيانات  '!K:L,2,0)</f>
        <v>احمد منصور سليم منصور سليم</v>
      </c>
      <c r="I259" s="226" t="s">
        <v>352</v>
      </c>
      <c r="J259" s="226" t="s">
        <v>112</v>
      </c>
      <c r="K259" s="226" t="s">
        <v>120</v>
      </c>
      <c r="L259" s="164">
        <v>129</v>
      </c>
      <c r="M259" s="165"/>
      <c r="N259" s="165"/>
      <c r="Q259" s="166">
        <f>17.4+7.6+10.5</f>
        <v>35.5</v>
      </c>
      <c r="R259" s="163">
        <f>R258+Table1[[#This Row],[الوارد ]]-Table1[[#This Row],[المنصرف ]]</f>
        <v>682120.2194164861</v>
      </c>
      <c r="S259" s="226"/>
      <c r="T259" s="226"/>
    </row>
    <row r="260" spans="1:20">
      <c r="A260" s="237">
        <v>45685</v>
      </c>
      <c r="B260" s="160" t="str">
        <f>TEXT(Table1[[#This Row],[التاريخ ]],"DDD")</f>
        <v>Tue</v>
      </c>
      <c r="C260" s="160" t="str">
        <f>IF(Table1[[#This Row],[التاريخ ]]="","",TEXT(Table1[[#This Row],[التاريخ ]],"mmm"))</f>
        <v>Jan</v>
      </c>
      <c r="D260" s="161" t="s">
        <v>437</v>
      </c>
      <c r="G260" s="226">
        <v>544</v>
      </c>
      <c r="H260" s="227" t="str">
        <f>VLOOKUP(G:G,'قاعدة بيانات  '!K:L,2,0)</f>
        <v>احمد منصور سليم منصور سليم</v>
      </c>
      <c r="I260" s="226" t="s">
        <v>352</v>
      </c>
      <c r="J260" s="226" t="s">
        <v>112</v>
      </c>
      <c r="K260" s="226" t="s">
        <v>116</v>
      </c>
      <c r="L260" s="164">
        <v>129</v>
      </c>
      <c r="M260" s="165"/>
      <c r="N260" s="165"/>
      <c r="Q260" s="166">
        <f>24.5+24</f>
        <v>48.5</v>
      </c>
      <c r="R260" s="163">
        <f>R259+Table1[[#This Row],[الوارد ]]-Table1[[#This Row],[المنصرف ]]</f>
        <v>682071.7194164861</v>
      </c>
      <c r="S260" s="226"/>
      <c r="T260" s="226"/>
    </row>
    <row r="261" spans="1:20">
      <c r="A261" s="237">
        <v>45685</v>
      </c>
      <c r="B261" s="160" t="str">
        <f>TEXT(Table1[[#This Row],[التاريخ ]],"DDD")</f>
        <v>Tue</v>
      </c>
      <c r="C261" s="160" t="str">
        <f>IF(Table1[[#This Row],[التاريخ ]]="","",TEXT(Table1[[#This Row],[التاريخ ]],"mmm"))</f>
        <v>Jan</v>
      </c>
      <c r="D261" s="161" t="s">
        <v>437</v>
      </c>
      <c r="G261" s="226">
        <v>544</v>
      </c>
      <c r="H261" s="227" t="str">
        <f>VLOOKUP(G:G,'قاعدة بيانات  '!K:L,2,0)</f>
        <v>احمد منصور سليم منصور سليم</v>
      </c>
      <c r="I261" s="226" t="s">
        <v>167</v>
      </c>
      <c r="J261" s="226" t="s">
        <v>301</v>
      </c>
      <c r="K261" s="226" t="s">
        <v>116</v>
      </c>
      <c r="L261" s="164">
        <v>129</v>
      </c>
      <c r="M261" s="165"/>
      <c r="N261" s="165"/>
      <c r="Q261" s="166">
        <f>24.5+24</f>
        <v>48.5</v>
      </c>
      <c r="R261" s="163">
        <f>R260+Table1[[#This Row],[الوارد ]]-Table1[[#This Row],[المنصرف ]]</f>
        <v>682023.2194164861</v>
      </c>
      <c r="S261" s="226"/>
      <c r="T261" s="226"/>
    </row>
    <row r="262" spans="1:20">
      <c r="A262" s="237">
        <v>45685</v>
      </c>
      <c r="B262" s="160" t="str">
        <f>TEXT(Table1[[#This Row],[التاريخ ]],"DDD")</f>
        <v>Tue</v>
      </c>
      <c r="C262" s="160" t="str">
        <f>IF(Table1[[#This Row],[التاريخ ]]="","",TEXT(Table1[[#This Row],[التاريخ ]],"mmm"))</f>
        <v>Jan</v>
      </c>
      <c r="D262" s="161" t="s">
        <v>407</v>
      </c>
      <c r="G262" s="226">
        <v>20</v>
      </c>
      <c r="H262" s="227" t="str">
        <f>VLOOKUP(G:G,'قاعدة بيانات  '!K:L,2,0)</f>
        <v>عبد العزيز صلاح عبد العزيز على حسن</v>
      </c>
      <c r="I262" s="226" t="s">
        <v>102</v>
      </c>
      <c r="J262" s="226" t="s">
        <v>112</v>
      </c>
      <c r="K262" s="226" t="s">
        <v>116</v>
      </c>
      <c r="L262" s="164">
        <v>130</v>
      </c>
      <c r="M262" s="165"/>
      <c r="N262" s="165"/>
      <c r="Q262" s="166">
        <f>28+37</f>
        <v>65</v>
      </c>
      <c r="R262" s="163">
        <f>R261+Table1[[#This Row],[الوارد ]]-Table1[[#This Row],[المنصرف ]]</f>
        <v>681958.2194164861</v>
      </c>
      <c r="S262" s="226"/>
      <c r="T262" s="226"/>
    </row>
    <row r="263" spans="1:20">
      <c r="A263" s="237">
        <v>45685</v>
      </c>
      <c r="B263" s="160" t="str">
        <f>TEXT(Table1[[#This Row],[التاريخ ]],"DDD")</f>
        <v>Tue</v>
      </c>
      <c r="C263" s="160" t="str">
        <f>IF(Table1[[#This Row],[التاريخ ]]="","",TEXT(Table1[[#This Row],[التاريخ ]],"mmm"))</f>
        <v>Jan</v>
      </c>
      <c r="D263" s="161" t="s">
        <v>407</v>
      </c>
      <c r="G263" s="226">
        <v>20</v>
      </c>
      <c r="H263" s="227" t="str">
        <f>VLOOKUP(G:G,'قاعدة بيانات  '!K:L,2,0)</f>
        <v>عبد العزيز صلاح عبد العزيز على حسن</v>
      </c>
      <c r="I263" s="226" t="s">
        <v>328</v>
      </c>
      <c r="J263" s="226" t="s">
        <v>112</v>
      </c>
      <c r="K263" s="226" t="s">
        <v>116</v>
      </c>
      <c r="L263" s="164">
        <v>130</v>
      </c>
      <c r="M263" s="165"/>
      <c r="N263" s="165"/>
      <c r="Q263" s="166">
        <f>22+14</f>
        <v>36</v>
      </c>
      <c r="R263" s="163">
        <f>R262+Table1[[#This Row],[الوارد ]]-Table1[[#This Row],[المنصرف ]]</f>
        <v>681922.2194164861</v>
      </c>
      <c r="S263" s="226"/>
      <c r="T263" s="226"/>
    </row>
    <row r="264" spans="1:20">
      <c r="A264" s="237">
        <v>45685</v>
      </c>
      <c r="B264" s="160" t="str">
        <f>TEXT(Table1[[#This Row],[التاريخ ]],"DDD")</f>
        <v>Tue</v>
      </c>
      <c r="C264" s="160" t="str">
        <f>IF(Table1[[#This Row],[التاريخ ]]="","",TEXT(Table1[[#This Row],[التاريخ ]],"mmm"))</f>
        <v>Jan</v>
      </c>
      <c r="D264" s="161" t="s">
        <v>407</v>
      </c>
      <c r="G264" s="226">
        <v>20</v>
      </c>
      <c r="H264" s="227" t="str">
        <f>VLOOKUP(G:G,'قاعدة بيانات  '!K:L,2,0)</f>
        <v>عبد العزيز صلاح عبد العزيز على حسن</v>
      </c>
      <c r="I264" s="226" t="s">
        <v>352</v>
      </c>
      <c r="J264" s="226" t="s">
        <v>112</v>
      </c>
      <c r="K264" s="226" t="s">
        <v>116</v>
      </c>
      <c r="L264" s="164">
        <v>130</v>
      </c>
      <c r="M264" s="165"/>
      <c r="N264" s="165"/>
      <c r="Q264" s="166">
        <f>21+14</f>
        <v>35</v>
      </c>
      <c r="R264" s="163">
        <f>R263+Table1[[#This Row],[الوارد ]]-Table1[[#This Row],[المنصرف ]]</f>
        <v>681887.2194164861</v>
      </c>
      <c r="S264" s="226"/>
      <c r="T264" s="226"/>
    </row>
    <row r="265" spans="1:20">
      <c r="A265" s="237">
        <v>45685</v>
      </c>
      <c r="B265" s="160" t="str">
        <f>TEXT(Table1[[#This Row],[التاريخ ]],"DDD")</f>
        <v>Tue</v>
      </c>
      <c r="C265" s="160" t="str">
        <f>IF(Table1[[#This Row],[التاريخ ]]="","",TEXT(Table1[[#This Row],[التاريخ ]],"mmm"))</f>
        <v>Jan</v>
      </c>
      <c r="D265" s="161" t="s">
        <v>407</v>
      </c>
      <c r="G265" s="226">
        <v>20</v>
      </c>
      <c r="H265" s="227" t="str">
        <f>VLOOKUP(G:G,'قاعدة بيانات  '!K:L,2,0)</f>
        <v>عبد العزيز صلاح عبد العزيز على حسن</v>
      </c>
      <c r="I265" s="226" t="s">
        <v>352</v>
      </c>
      <c r="J265" s="226" t="s">
        <v>112</v>
      </c>
      <c r="K265" s="226" t="s">
        <v>120</v>
      </c>
      <c r="L265" s="164">
        <v>130</v>
      </c>
      <c r="M265" s="165"/>
      <c r="N265" s="165"/>
      <c r="Q265" s="166">
        <f>116+130</f>
        <v>246</v>
      </c>
      <c r="R265" s="163">
        <f>R264+Table1[[#This Row],[الوارد ]]-Table1[[#This Row],[المنصرف ]]</f>
        <v>681641.2194164861</v>
      </c>
      <c r="S265" s="226"/>
      <c r="T265" s="226"/>
    </row>
    <row r="266" spans="1:20">
      <c r="A266" s="237">
        <v>45685</v>
      </c>
      <c r="B266" s="160" t="str">
        <f>TEXT(Table1[[#This Row],[التاريخ ]],"DDD")</f>
        <v>Tue</v>
      </c>
      <c r="C266" s="160" t="str">
        <f>IF(Table1[[#This Row],[التاريخ ]]="","",TEXT(Table1[[#This Row],[التاريخ ]],"mmm"))</f>
        <v>Jan</v>
      </c>
      <c r="D266" s="161" t="s">
        <v>407</v>
      </c>
      <c r="G266" s="226">
        <v>20</v>
      </c>
      <c r="H266" s="227" t="str">
        <f>VLOOKUP(G:G,'قاعدة بيانات  '!K:L,2,0)</f>
        <v>عبد العزيز صلاح عبد العزيز على حسن</v>
      </c>
      <c r="I266" s="226" t="s">
        <v>103</v>
      </c>
      <c r="J266" s="226" t="s">
        <v>112</v>
      </c>
      <c r="K266" s="226" t="s">
        <v>116</v>
      </c>
      <c r="L266" s="164">
        <v>130</v>
      </c>
      <c r="M266" s="165"/>
      <c r="N266" s="165"/>
      <c r="Q266" s="166">
        <f>22+14</f>
        <v>36</v>
      </c>
      <c r="R266" s="163">
        <f>R265+Table1[[#This Row],[الوارد ]]-Table1[[#This Row],[المنصرف ]]</f>
        <v>681605.2194164861</v>
      </c>
      <c r="S266" s="226"/>
      <c r="T266" s="226"/>
    </row>
    <row r="267" spans="1:20">
      <c r="A267" s="237">
        <v>45685</v>
      </c>
      <c r="B267" s="160" t="str">
        <f>TEXT(Table1[[#This Row],[التاريخ ]],"DDD")</f>
        <v>Tue</v>
      </c>
      <c r="C267" s="160" t="str">
        <f>IF(Table1[[#This Row],[التاريخ ]]="","",TEXT(Table1[[#This Row],[التاريخ ]],"mmm"))</f>
        <v>Jan</v>
      </c>
      <c r="D267" s="161" t="s">
        <v>407</v>
      </c>
      <c r="G267" s="226">
        <v>20</v>
      </c>
      <c r="H267" s="227" t="str">
        <f>VLOOKUP(G:G,'قاعدة بيانات  '!K:L,2,0)</f>
        <v>عبد العزيز صلاح عبد العزيز على حسن</v>
      </c>
      <c r="I267" s="226" t="s">
        <v>352</v>
      </c>
      <c r="J267" s="226" t="s">
        <v>112</v>
      </c>
      <c r="K267" s="226" t="s">
        <v>120</v>
      </c>
      <c r="L267" s="164">
        <v>130</v>
      </c>
      <c r="M267" s="165"/>
      <c r="N267" s="165"/>
      <c r="O267" s="160" t="s">
        <v>729</v>
      </c>
      <c r="Q267" s="166">
        <v>1350</v>
      </c>
      <c r="R267" s="163">
        <f>R266+Table1[[#This Row],[الوارد ]]-Table1[[#This Row],[المنصرف ]]</f>
        <v>680255.2194164861</v>
      </c>
      <c r="S267" s="226"/>
      <c r="T267" s="226"/>
    </row>
    <row r="268" spans="1:20">
      <c r="A268" s="237">
        <v>45685</v>
      </c>
      <c r="B268" s="160" t="str">
        <f>TEXT(Table1[[#This Row],[التاريخ ]],"DDD")</f>
        <v>Tue</v>
      </c>
      <c r="C268" s="160" t="str">
        <f>IF(Table1[[#This Row],[التاريخ ]]="","",TEXT(Table1[[#This Row],[التاريخ ]],"mmm"))</f>
        <v>Jan</v>
      </c>
      <c r="D268" s="161" t="s">
        <v>406</v>
      </c>
      <c r="G268" s="226">
        <v>62</v>
      </c>
      <c r="H268" s="227" t="str">
        <f>VLOOKUP(G:G,'قاعدة بيانات  '!K:L,2,0)</f>
        <v>محمد مجدى السيد عبد الدايم</v>
      </c>
      <c r="I268" s="226" t="s">
        <v>352</v>
      </c>
      <c r="J268" s="226" t="s">
        <v>112</v>
      </c>
      <c r="K268" s="226" t="s">
        <v>120</v>
      </c>
      <c r="L268" s="164">
        <v>131</v>
      </c>
      <c r="M268" s="165"/>
      <c r="N268" s="165"/>
      <c r="Q268" s="166">
        <f>339+20+5+16+4+5</f>
        <v>389</v>
      </c>
      <c r="R268" s="163">
        <f>R267+Table1[[#This Row],[الوارد ]]-Table1[[#This Row],[المنصرف ]]</f>
        <v>679866.2194164861</v>
      </c>
      <c r="S268" s="226"/>
      <c r="T268" s="226"/>
    </row>
    <row r="269" spans="1:20">
      <c r="A269" s="237">
        <v>45685</v>
      </c>
      <c r="B269" s="160" t="str">
        <f>TEXT(Table1[[#This Row],[التاريخ ]],"DDD")</f>
        <v>Tue</v>
      </c>
      <c r="C269" s="160" t="str">
        <f>IF(Table1[[#This Row],[التاريخ ]]="","",TEXT(Table1[[#This Row],[التاريخ ]],"mmm"))</f>
        <v>Jan</v>
      </c>
      <c r="D269" s="161" t="s">
        <v>406</v>
      </c>
      <c r="G269" s="226">
        <v>62</v>
      </c>
      <c r="H269" s="227" t="str">
        <f>VLOOKUP(G:G,'قاعدة بيانات  '!K:L,2,0)</f>
        <v>محمد مجدى السيد عبد الدايم</v>
      </c>
      <c r="I269" s="226" t="s">
        <v>352</v>
      </c>
      <c r="J269" s="226" t="s">
        <v>112</v>
      </c>
      <c r="K269" s="226" t="s">
        <v>116</v>
      </c>
      <c r="L269" s="164">
        <v>131</v>
      </c>
      <c r="M269" s="165"/>
      <c r="N269" s="165"/>
      <c r="Q269" s="166">
        <f>12+130+23</f>
        <v>165</v>
      </c>
      <c r="R269" s="163">
        <f>R268+Table1[[#This Row],[الوارد ]]-Table1[[#This Row],[المنصرف ]]</f>
        <v>679701.2194164861</v>
      </c>
      <c r="S269" s="226"/>
      <c r="T269" s="226"/>
    </row>
    <row r="270" spans="1:20">
      <c r="A270" s="237">
        <v>45685</v>
      </c>
      <c r="B270" s="160" t="str">
        <f>TEXT(Table1[[#This Row],[التاريخ ]],"DDD")</f>
        <v>Tue</v>
      </c>
      <c r="C270" s="160" t="str">
        <f>IF(Table1[[#This Row],[التاريخ ]]="","",TEXT(Table1[[#This Row],[التاريخ ]],"mmm"))</f>
        <v>Jan</v>
      </c>
      <c r="D270" s="161" t="s">
        <v>406</v>
      </c>
      <c r="G270" s="226">
        <v>62</v>
      </c>
      <c r="H270" s="227" t="str">
        <f>VLOOKUP(G:G,'قاعدة بيانات  '!K:L,2,0)</f>
        <v>محمد مجدى السيد عبد الدايم</v>
      </c>
      <c r="I270" s="226" t="s">
        <v>352</v>
      </c>
      <c r="J270" s="226" t="s">
        <v>112</v>
      </c>
      <c r="K270" s="226" t="s">
        <v>127</v>
      </c>
      <c r="L270" s="164">
        <v>131</v>
      </c>
      <c r="M270" s="165"/>
      <c r="N270" s="165"/>
      <c r="Q270" s="166">
        <f>56+20</f>
        <v>76</v>
      </c>
      <c r="R270" s="163">
        <f>R269+Table1[[#This Row],[الوارد ]]-Table1[[#This Row],[المنصرف ]]</f>
        <v>679625.2194164861</v>
      </c>
      <c r="S270" s="226"/>
      <c r="T270" s="226"/>
    </row>
    <row r="271" spans="1:20">
      <c r="A271" s="237">
        <v>45685</v>
      </c>
      <c r="B271" s="160" t="str">
        <f>TEXT(Table1[[#This Row],[التاريخ ]],"DDD")</f>
        <v>Tue</v>
      </c>
      <c r="C271" s="160" t="str">
        <f>IF(Table1[[#This Row],[التاريخ ]]="","",TEXT(Table1[[#This Row],[التاريخ ]],"mmm"))</f>
        <v>Jan</v>
      </c>
      <c r="D271" s="161" t="s">
        <v>406</v>
      </c>
      <c r="G271" s="226">
        <v>62</v>
      </c>
      <c r="H271" s="227" t="str">
        <f>VLOOKUP(G:G,'قاعدة بيانات  '!K:L,2,0)</f>
        <v>محمد مجدى السيد عبد الدايم</v>
      </c>
      <c r="I271" s="226" t="s">
        <v>102</v>
      </c>
      <c r="J271" s="226" t="s">
        <v>112</v>
      </c>
      <c r="K271" s="226" t="s">
        <v>116</v>
      </c>
      <c r="L271" s="164">
        <v>131</v>
      </c>
      <c r="M271" s="165"/>
      <c r="N271" s="165"/>
      <c r="Q271" s="166">
        <f>162+23.5+13.5+59+10</f>
        <v>268</v>
      </c>
      <c r="R271" s="163">
        <f>R270+Table1[[#This Row],[الوارد ]]-Table1[[#This Row],[المنصرف ]]</f>
        <v>679357.2194164861</v>
      </c>
      <c r="S271" s="226"/>
      <c r="T271" s="226"/>
    </row>
    <row r="272" spans="1:20">
      <c r="A272" s="237">
        <v>45685</v>
      </c>
      <c r="B272" s="160" t="str">
        <f>TEXT(Table1[[#This Row],[التاريخ ]],"DDD")</f>
        <v>Tue</v>
      </c>
      <c r="C272" s="160" t="str">
        <f>IF(Table1[[#This Row],[التاريخ ]]="","",TEXT(Table1[[#This Row],[التاريخ ]],"mmm"))</f>
        <v>Jan</v>
      </c>
      <c r="D272" s="161" t="s">
        <v>406</v>
      </c>
      <c r="G272" s="226">
        <v>62</v>
      </c>
      <c r="H272" s="227" t="str">
        <f>VLOOKUP(G:G,'قاعدة بيانات  '!K:L,2,0)</f>
        <v>محمد مجدى السيد عبد الدايم</v>
      </c>
      <c r="I272" s="226" t="s">
        <v>102</v>
      </c>
      <c r="J272" s="226" t="s">
        <v>112</v>
      </c>
      <c r="K272" s="226" t="s">
        <v>124</v>
      </c>
      <c r="L272" s="164">
        <v>131</v>
      </c>
      <c r="M272" s="165"/>
      <c r="N272" s="165"/>
      <c r="Q272" s="166">
        <v>10</v>
      </c>
      <c r="R272" s="163">
        <f>R271+Table1[[#This Row],[الوارد ]]-Table1[[#This Row],[المنصرف ]]</f>
        <v>679347.2194164861</v>
      </c>
      <c r="S272" s="226"/>
      <c r="T272" s="226"/>
    </row>
    <row r="273" spans="1:20">
      <c r="A273" s="237">
        <v>45685</v>
      </c>
      <c r="B273" s="160" t="str">
        <f>TEXT(Table1[[#This Row],[التاريخ ]],"DDD")</f>
        <v>Tue</v>
      </c>
      <c r="C273" s="160" t="str">
        <f>IF(Table1[[#This Row],[التاريخ ]]="","",TEXT(Table1[[#This Row],[التاريخ ]],"mmm"))</f>
        <v>Jan</v>
      </c>
      <c r="D273" s="161" t="s">
        <v>406</v>
      </c>
      <c r="G273" s="226">
        <v>62</v>
      </c>
      <c r="H273" s="227" t="str">
        <f>VLOOKUP(G:G,'قاعدة بيانات  '!K:L,2,0)</f>
        <v>محمد مجدى السيد عبد الدايم</v>
      </c>
      <c r="I273" s="226" t="s">
        <v>103</v>
      </c>
      <c r="J273" s="226" t="s">
        <v>112</v>
      </c>
      <c r="K273" s="226" t="s">
        <v>116</v>
      </c>
      <c r="L273" s="164">
        <v>131</v>
      </c>
      <c r="M273" s="165"/>
      <c r="N273" s="165"/>
      <c r="Q273" s="166">
        <f>23.5+13.5+23</f>
        <v>60</v>
      </c>
      <c r="R273" s="163">
        <f>R272+Table1[[#This Row],[الوارد ]]-Table1[[#This Row],[المنصرف ]]</f>
        <v>679287.2194164861</v>
      </c>
      <c r="S273" s="226"/>
      <c r="T273" s="226"/>
    </row>
    <row r="274" spans="1:20">
      <c r="A274" s="237">
        <v>45685</v>
      </c>
      <c r="B274" s="160" t="str">
        <f>TEXT(Table1[[#This Row],[التاريخ ]],"DDD")</f>
        <v>Tue</v>
      </c>
      <c r="C274" s="160" t="str">
        <f>IF(Table1[[#This Row],[التاريخ ]]="","",TEXT(Table1[[#This Row],[التاريخ ]],"mmm"))</f>
        <v>Jan</v>
      </c>
      <c r="D274" s="161" t="s">
        <v>406</v>
      </c>
      <c r="G274" s="226">
        <v>62</v>
      </c>
      <c r="H274" s="227" t="str">
        <f>VLOOKUP(G:G,'قاعدة بيانات  '!K:L,2,0)</f>
        <v>محمد مجدى السيد عبد الدايم</v>
      </c>
      <c r="I274" s="226" t="s">
        <v>102</v>
      </c>
      <c r="J274" s="226" t="s">
        <v>112</v>
      </c>
      <c r="K274" s="226" t="s">
        <v>120</v>
      </c>
      <c r="L274" s="164">
        <v>131</v>
      </c>
      <c r="M274" s="165"/>
      <c r="N274" s="165"/>
      <c r="Q274" s="166">
        <v>25</v>
      </c>
      <c r="R274" s="163">
        <f>R273+Table1[[#This Row],[الوارد ]]-Table1[[#This Row],[المنصرف ]]</f>
        <v>679262.2194164861</v>
      </c>
      <c r="S274" s="226"/>
      <c r="T274" s="226"/>
    </row>
    <row r="275" spans="1:20">
      <c r="A275" s="237">
        <v>45685</v>
      </c>
      <c r="B275" s="160" t="str">
        <f>TEXT(Table1[[#This Row],[التاريخ ]],"DDD")</f>
        <v>Tue</v>
      </c>
      <c r="C275" s="160" t="str">
        <f>IF(Table1[[#This Row],[التاريخ ]]="","",TEXT(Table1[[#This Row],[التاريخ ]],"mmm"))</f>
        <v>Jan</v>
      </c>
      <c r="D275" s="161" t="s">
        <v>406</v>
      </c>
      <c r="G275" s="226">
        <v>62</v>
      </c>
      <c r="H275" s="227" t="str">
        <f>VLOOKUP(G:G,'قاعدة بيانات  '!K:L,2,0)</f>
        <v>محمد مجدى السيد عبد الدايم</v>
      </c>
      <c r="I275" s="226" t="s">
        <v>103</v>
      </c>
      <c r="J275" s="226" t="s">
        <v>112</v>
      </c>
      <c r="K275" s="226" t="s">
        <v>124</v>
      </c>
      <c r="L275" s="164">
        <v>131</v>
      </c>
      <c r="M275" s="165"/>
      <c r="N275" s="165"/>
      <c r="Q275" s="166">
        <v>30</v>
      </c>
      <c r="R275" s="163">
        <f>R274+Table1[[#This Row],[الوارد ]]-Table1[[#This Row],[المنصرف ]]</f>
        <v>679232.2194164861</v>
      </c>
      <c r="S275" s="226"/>
      <c r="T275" s="226"/>
    </row>
    <row r="276" spans="1:20">
      <c r="A276" s="237">
        <v>45685</v>
      </c>
      <c r="B276" s="160" t="str">
        <f>TEXT(Table1[[#This Row],[التاريخ ]],"DDD")</f>
        <v>Tue</v>
      </c>
      <c r="C276" s="160" t="str">
        <f>IF(Table1[[#This Row],[التاريخ ]]="","",TEXT(Table1[[#This Row],[التاريخ ]],"mmm"))</f>
        <v>Jan</v>
      </c>
      <c r="D276" s="161" t="s">
        <v>406</v>
      </c>
      <c r="G276" s="226">
        <v>62</v>
      </c>
      <c r="H276" s="227" t="str">
        <f>VLOOKUP(G:G,'قاعدة بيانات  '!K:L,2,0)</f>
        <v>محمد مجدى السيد عبد الدايم</v>
      </c>
      <c r="I276" s="226" t="s">
        <v>103</v>
      </c>
      <c r="J276" s="226" t="s">
        <v>112</v>
      </c>
      <c r="K276" s="226" t="s">
        <v>124</v>
      </c>
      <c r="L276" s="164">
        <v>131</v>
      </c>
      <c r="M276" s="165"/>
      <c r="N276" s="165"/>
      <c r="Q276" s="166">
        <v>30</v>
      </c>
      <c r="R276" s="163">
        <f>R275+Table1[[#This Row],[الوارد ]]-Table1[[#This Row],[المنصرف ]]</f>
        <v>679202.2194164861</v>
      </c>
      <c r="S276" s="226"/>
      <c r="T276" s="226"/>
    </row>
    <row r="277" spans="1:20">
      <c r="A277" s="237">
        <v>45685</v>
      </c>
      <c r="B277" s="160" t="str">
        <f>TEXT(Table1[[#This Row],[التاريخ ]],"DDD")</f>
        <v>Tue</v>
      </c>
      <c r="C277" s="160" t="str">
        <f>IF(Table1[[#This Row],[التاريخ ]]="","",TEXT(Table1[[#This Row],[التاريخ ]],"mmm"))</f>
        <v>Jan</v>
      </c>
      <c r="D277" s="161" t="s">
        <v>406</v>
      </c>
      <c r="G277" s="226">
        <v>62</v>
      </c>
      <c r="H277" s="227" t="str">
        <f>VLOOKUP(G:G,'قاعدة بيانات  '!K:L,2,0)</f>
        <v>محمد مجدى السيد عبد الدايم</v>
      </c>
      <c r="I277" s="226" t="s">
        <v>328</v>
      </c>
      <c r="J277" s="226" t="s">
        <v>112</v>
      </c>
      <c r="K277" s="226" t="s">
        <v>124</v>
      </c>
      <c r="L277" s="164">
        <v>131</v>
      </c>
      <c r="M277" s="165"/>
      <c r="N277" s="165"/>
      <c r="Q277" s="166">
        <v>59</v>
      </c>
      <c r="R277" s="163">
        <f>R276+Table1[[#This Row],[الوارد ]]-Table1[[#This Row],[المنصرف ]]</f>
        <v>679143.2194164861</v>
      </c>
      <c r="S277" s="226"/>
      <c r="T277" s="226"/>
    </row>
    <row r="278" spans="1:20">
      <c r="A278" s="237">
        <v>45685</v>
      </c>
      <c r="B278" s="160" t="str">
        <f>TEXT(Table1[[#This Row],[التاريخ ]],"DDD")</f>
        <v>Tue</v>
      </c>
      <c r="C278" s="160" t="str">
        <f>IF(Table1[[#This Row],[التاريخ ]]="","",TEXT(Table1[[#This Row],[التاريخ ]],"mmm"))</f>
        <v>Jan</v>
      </c>
      <c r="D278" s="161" t="s">
        <v>406</v>
      </c>
      <c r="G278" s="226">
        <v>62</v>
      </c>
      <c r="H278" s="227" t="str">
        <f>VLOOKUP(G:G,'قاعدة بيانات  '!K:L,2,0)</f>
        <v>محمد مجدى السيد عبد الدايم</v>
      </c>
      <c r="I278" s="226" t="s">
        <v>352</v>
      </c>
      <c r="J278" s="226" t="s">
        <v>112</v>
      </c>
      <c r="K278" s="226" t="s">
        <v>124</v>
      </c>
      <c r="L278" s="164">
        <v>131</v>
      </c>
      <c r="M278" s="165"/>
      <c r="N278" s="165"/>
      <c r="Q278" s="166">
        <v>30</v>
      </c>
      <c r="R278" s="163">
        <f>R277+Table1[[#This Row],[الوارد ]]-Table1[[#This Row],[المنصرف ]]</f>
        <v>679113.2194164861</v>
      </c>
      <c r="S278" s="226"/>
      <c r="T278" s="226"/>
    </row>
    <row r="279" spans="1:20">
      <c r="A279" s="237">
        <v>45685</v>
      </c>
      <c r="B279" s="160" t="str">
        <f>TEXT(Table1[[#This Row],[التاريخ ]],"DDD")</f>
        <v>Tue</v>
      </c>
      <c r="C279" s="160" t="str">
        <f>IF(Table1[[#This Row],[التاريخ ]]="","",TEXT(Table1[[#This Row],[التاريخ ]],"mmm"))</f>
        <v>Jan</v>
      </c>
      <c r="D279" s="161" t="s">
        <v>193</v>
      </c>
      <c r="G279" s="226">
        <v>151</v>
      </c>
      <c r="H279" s="227" t="str">
        <f>VLOOKUP(G:G,'قاعدة بيانات  '!K:L,2,0)</f>
        <v xml:space="preserve">احمد عبد الباسط عبد السلام محمد </v>
      </c>
      <c r="I279" s="226" t="s">
        <v>167</v>
      </c>
      <c r="J279" s="226" t="s">
        <v>301</v>
      </c>
      <c r="K279" s="226" t="s">
        <v>140</v>
      </c>
      <c r="L279" s="164">
        <v>132</v>
      </c>
      <c r="M279" s="165"/>
      <c r="N279" s="165"/>
      <c r="P279" s="163">
        <v>15000</v>
      </c>
      <c r="Q279" s="166"/>
      <c r="R279" s="163">
        <f>R278+Table1[[#This Row],[الوارد ]]-Table1[[#This Row],[المنصرف ]]</f>
        <v>694113.2194164861</v>
      </c>
      <c r="S279" s="226"/>
      <c r="T279" s="226"/>
    </row>
    <row r="280" spans="1:20">
      <c r="A280" s="237">
        <v>45686</v>
      </c>
      <c r="B280" s="160" t="str">
        <f>TEXT(Table1[[#This Row],[التاريخ ]],"DDD")</f>
        <v>Wed</v>
      </c>
      <c r="C280" s="160" t="str">
        <f>IF(Table1[[#This Row],[التاريخ ]]="","",TEXT(Table1[[#This Row],[التاريخ ]],"mmm"))</f>
        <v>Jan</v>
      </c>
      <c r="D280" s="161" t="s">
        <v>193</v>
      </c>
      <c r="G280" s="226">
        <v>151</v>
      </c>
      <c r="H280" s="227" t="str">
        <f>VLOOKUP(G:G,'قاعدة بيانات  '!K:L,2,0)</f>
        <v xml:space="preserve">احمد عبد الباسط عبد السلام محمد </v>
      </c>
      <c r="I280" s="226" t="s">
        <v>167</v>
      </c>
      <c r="J280" s="226" t="s">
        <v>301</v>
      </c>
      <c r="K280" s="226" t="s">
        <v>140</v>
      </c>
      <c r="L280" s="164">
        <v>133</v>
      </c>
      <c r="M280" s="165"/>
      <c r="N280" s="165"/>
      <c r="P280" s="163">
        <v>45000</v>
      </c>
      <c r="Q280" s="166"/>
      <c r="R280" s="163">
        <f>R279+Table1[[#This Row],[الوارد ]]-Table1[[#This Row],[المنصرف ]]</f>
        <v>739113.2194164861</v>
      </c>
      <c r="S280" s="226"/>
      <c r="T280" s="226"/>
    </row>
    <row r="281" spans="1:20">
      <c r="A281" s="237">
        <v>45686</v>
      </c>
      <c r="B281" s="160" t="str">
        <f>TEXT(Table1[[#This Row],[التاريخ ]],"DDD")</f>
        <v>Wed</v>
      </c>
      <c r="C281" s="160" t="str">
        <f>IF(Table1[[#This Row],[التاريخ ]]="","",TEXT(Table1[[#This Row],[التاريخ ]],"mmm"))</f>
        <v>Jan</v>
      </c>
      <c r="D281" s="161" t="s">
        <v>741</v>
      </c>
      <c r="G281" s="226">
        <v>151</v>
      </c>
      <c r="H281" s="227" t="str">
        <f>VLOOKUP(G:G,'قاعدة بيانات  '!K:L,2,0)</f>
        <v xml:space="preserve">احمد عبد الباسط عبد السلام محمد </v>
      </c>
      <c r="I281" s="226" t="s">
        <v>198</v>
      </c>
      <c r="J281" s="226" t="s">
        <v>1113</v>
      </c>
      <c r="K281" s="226" t="s">
        <v>118</v>
      </c>
      <c r="L281" s="164">
        <v>134</v>
      </c>
      <c r="M281" s="165"/>
      <c r="N281" s="165"/>
      <c r="Q281" s="166">
        <v>13000</v>
      </c>
      <c r="R281" s="163">
        <f>R280+Table1[[#This Row],[الوارد ]]-Table1[[#This Row],[المنصرف ]]</f>
        <v>726113.2194164861</v>
      </c>
      <c r="S281" s="226"/>
      <c r="T281" s="226"/>
    </row>
    <row r="282" spans="1:20">
      <c r="A282" s="237">
        <v>45686</v>
      </c>
      <c r="B282" s="160" t="str">
        <f>TEXT(Table1[[#This Row],[التاريخ ]],"DDD")</f>
        <v>Wed</v>
      </c>
      <c r="C282" s="160" t="str">
        <f>IF(Table1[[#This Row],[التاريخ ]]="","",TEXT(Table1[[#This Row],[التاريخ ]],"mmm"))</f>
        <v>Jan</v>
      </c>
      <c r="D282" s="161" t="s">
        <v>742</v>
      </c>
      <c r="G282" s="226">
        <v>62</v>
      </c>
      <c r="H282" s="227" t="str">
        <f>VLOOKUP(G:G,'قاعدة بيانات  '!K:L,2,0)</f>
        <v>محمد مجدى السيد عبد الدايم</v>
      </c>
      <c r="I282" s="226" t="s">
        <v>198</v>
      </c>
      <c r="J282" s="226" t="s">
        <v>301</v>
      </c>
      <c r="K282" s="226" t="s">
        <v>128</v>
      </c>
      <c r="L282" s="164">
        <v>135</v>
      </c>
      <c r="M282" s="165"/>
      <c r="N282" s="165"/>
      <c r="Q282" s="166">
        <v>510</v>
      </c>
      <c r="R282" s="163">
        <f>R281+Table1[[#This Row],[الوارد ]]-Table1[[#This Row],[المنصرف ]]</f>
        <v>725603.2194164861</v>
      </c>
      <c r="S282" s="226"/>
      <c r="T282" s="226"/>
    </row>
    <row r="283" spans="1:20">
      <c r="A283" s="237">
        <v>45686</v>
      </c>
      <c r="B283" s="160" t="str">
        <f>TEXT(Table1[[#This Row],[التاريخ ]],"DDD")</f>
        <v>Wed</v>
      </c>
      <c r="C283" s="160" t="str">
        <f>IF(Table1[[#This Row],[التاريخ ]]="","",TEXT(Table1[[#This Row],[التاريخ ]],"mmm"))</f>
        <v>Jan</v>
      </c>
      <c r="D283" s="161" t="s">
        <v>743</v>
      </c>
      <c r="G283" s="226">
        <v>2</v>
      </c>
      <c r="H283" s="227" t="str">
        <f>VLOOKUP(G:G,'قاعدة بيانات  '!K:L,2,0)</f>
        <v>علاء محمد عوض جاد الله</v>
      </c>
      <c r="I283" s="226" t="s">
        <v>167</v>
      </c>
      <c r="J283" s="226" t="s">
        <v>301</v>
      </c>
      <c r="K283" s="226" t="s">
        <v>128</v>
      </c>
      <c r="L283" s="164">
        <v>136</v>
      </c>
      <c r="M283" s="165"/>
      <c r="N283" s="165"/>
      <c r="Q283" s="166">
        <v>800</v>
      </c>
      <c r="R283" s="163">
        <f>R282+Table1[[#This Row],[الوارد ]]-Table1[[#This Row],[المنصرف ]]</f>
        <v>724803.2194164861</v>
      </c>
      <c r="S283" s="226"/>
      <c r="T283" s="226"/>
    </row>
    <row r="284" spans="1:20">
      <c r="A284" s="237">
        <v>45686</v>
      </c>
      <c r="B284" s="160" t="str">
        <f>TEXT(Table1[[#This Row],[التاريخ ]],"DDD")</f>
        <v>Wed</v>
      </c>
      <c r="C284" s="160" t="str">
        <f>IF(Table1[[#This Row],[التاريخ ]]="","",TEXT(Table1[[#This Row],[التاريخ ]],"mmm"))</f>
        <v>Jan</v>
      </c>
      <c r="D284" s="161" t="s">
        <v>689</v>
      </c>
      <c r="G284" s="226">
        <v>365</v>
      </c>
      <c r="H284" s="227" t="str">
        <f>VLOOKUP(G:G,'قاعدة بيانات  '!K:L,2,0)</f>
        <v>محمد رضا سعد حسن الشرقاوى</v>
      </c>
      <c r="I284" s="226" t="s">
        <v>167</v>
      </c>
      <c r="J284" s="226" t="s">
        <v>301</v>
      </c>
      <c r="K284" s="226" t="s">
        <v>116</v>
      </c>
      <c r="L284" s="164">
        <v>137</v>
      </c>
      <c r="M284" s="165"/>
      <c r="N284" s="165"/>
      <c r="Q284" s="166">
        <v>20</v>
      </c>
      <c r="R284" s="163">
        <f>R283+Table1[[#This Row],[الوارد ]]-Table1[[#This Row],[المنصرف ]]</f>
        <v>724783.2194164861</v>
      </c>
      <c r="S284" s="226"/>
      <c r="T284" s="226"/>
    </row>
    <row r="285" spans="1:20">
      <c r="A285" s="237">
        <v>45686</v>
      </c>
      <c r="B285" s="160" t="str">
        <f>TEXT(Table1[[#This Row],[التاريخ ]],"DDD")</f>
        <v>Wed</v>
      </c>
      <c r="C285" s="160" t="str">
        <f>IF(Table1[[#This Row],[التاريخ ]]="","",TEXT(Table1[[#This Row],[التاريخ ]],"mmm"))</f>
        <v>Jan</v>
      </c>
      <c r="D285" s="161" t="s">
        <v>744</v>
      </c>
      <c r="G285" s="226">
        <v>284</v>
      </c>
      <c r="H285" s="227" t="str">
        <f>VLOOKUP(G:G,'قاعدة بيانات  '!K:L,2,0)</f>
        <v>زياد كرم عبد الفضيل عبد المجيد</v>
      </c>
      <c r="I285" s="226" t="s">
        <v>100</v>
      </c>
      <c r="J285" s="226" t="s">
        <v>1114</v>
      </c>
      <c r="K285" s="226" t="s">
        <v>116</v>
      </c>
      <c r="L285" s="164">
        <v>138</v>
      </c>
      <c r="M285" s="165"/>
      <c r="N285" s="165"/>
      <c r="Q285" s="166">
        <v>455</v>
      </c>
      <c r="R285" s="163">
        <f>R284+Table1[[#This Row],[الوارد ]]-Table1[[#This Row],[المنصرف ]]</f>
        <v>724328.2194164861</v>
      </c>
      <c r="S285" s="226"/>
      <c r="T285" s="226"/>
    </row>
    <row r="286" spans="1:20">
      <c r="A286" s="237">
        <v>45686</v>
      </c>
      <c r="B286" s="160" t="str">
        <f>TEXT(Table1[[#This Row],[التاريخ ]],"DDD")</f>
        <v>Wed</v>
      </c>
      <c r="C286" s="160" t="str">
        <f>IF(Table1[[#This Row],[التاريخ ]]="","",TEXT(Table1[[#This Row],[التاريخ ]],"mmm"))</f>
        <v>Jan</v>
      </c>
      <c r="D286" s="161" t="s">
        <v>745</v>
      </c>
      <c r="G286" s="226">
        <v>379</v>
      </c>
      <c r="H286" s="227" t="str">
        <f>VLOOKUP(G:G,'قاعدة بيانات  '!K:L,2,0)</f>
        <v>حسين محمود حسين حسن</v>
      </c>
      <c r="I286" s="226" t="s">
        <v>107</v>
      </c>
      <c r="J286" s="226" t="s">
        <v>1113</v>
      </c>
      <c r="K286" s="226" t="s">
        <v>116</v>
      </c>
      <c r="L286" s="164">
        <v>139</v>
      </c>
      <c r="M286" s="165"/>
      <c r="N286" s="165"/>
      <c r="Q286" s="166">
        <v>480</v>
      </c>
      <c r="R286" s="163">
        <f>R285+Table1[[#This Row],[الوارد ]]-Table1[[#This Row],[المنصرف ]]</f>
        <v>723848.2194164861</v>
      </c>
      <c r="S286" s="226"/>
      <c r="T286" s="226"/>
    </row>
    <row r="287" spans="1:20">
      <c r="A287" s="237">
        <v>45686</v>
      </c>
      <c r="B287" s="160" t="str">
        <f>TEXT(Table1[[#This Row],[التاريخ ]],"DDD")</f>
        <v>Wed</v>
      </c>
      <c r="C287" s="160" t="str">
        <f>IF(Table1[[#This Row],[التاريخ ]]="","",TEXT(Table1[[#This Row],[التاريخ ]],"mmm"))</f>
        <v>Jan</v>
      </c>
      <c r="D287" s="161" t="s">
        <v>746</v>
      </c>
      <c r="G287" s="226">
        <v>379</v>
      </c>
      <c r="H287" s="227" t="str">
        <f>VLOOKUP(G:G,'قاعدة بيانات  '!K:L,2,0)</f>
        <v>حسين محمود حسين حسن</v>
      </c>
      <c r="I287" s="226" t="s">
        <v>107</v>
      </c>
      <c r="J287" s="226" t="s">
        <v>1113</v>
      </c>
      <c r="K287" s="226" t="s">
        <v>128</v>
      </c>
      <c r="L287" s="164">
        <v>139</v>
      </c>
      <c r="M287" s="165"/>
      <c r="N287" s="165"/>
      <c r="Q287" s="166">
        <v>140</v>
      </c>
      <c r="R287" s="163">
        <f>R286+Table1[[#This Row],[الوارد ]]-Table1[[#This Row],[المنصرف ]]</f>
        <v>723708.2194164861</v>
      </c>
      <c r="S287" s="226"/>
      <c r="T287" s="226"/>
    </row>
    <row r="288" spans="1:20">
      <c r="A288" s="237">
        <v>45686</v>
      </c>
      <c r="B288" s="160" t="str">
        <f>TEXT(Table1[[#This Row],[التاريخ ]],"DDD")</f>
        <v>Wed</v>
      </c>
      <c r="C288" s="160" t="str">
        <f>IF(Table1[[#This Row],[التاريخ ]]="","",TEXT(Table1[[#This Row],[التاريخ ]],"mmm"))</f>
        <v>Jan</v>
      </c>
      <c r="D288" s="161" t="s">
        <v>747</v>
      </c>
      <c r="G288" s="226">
        <v>151</v>
      </c>
      <c r="H288" s="227" t="str">
        <f>VLOOKUP(G:G,'قاعدة بيانات  '!K:L,2,0)</f>
        <v xml:space="preserve">احمد عبد الباسط عبد السلام محمد </v>
      </c>
      <c r="I288" s="226" t="s">
        <v>107</v>
      </c>
      <c r="J288" s="226" t="s">
        <v>301</v>
      </c>
      <c r="K288" s="226" t="s">
        <v>128</v>
      </c>
      <c r="L288" s="164">
        <v>140</v>
      </c>
      <c r="M288" s="165"/>
      <c r="N288" s="165"/>
      <c r="Q288" s="166">
        <v>100</v>
      </c>
      <c r="R288" s="163">
        <f>R287+Table1[[#This Row],[الوارد ]]-Table1[[#This Row],[المنصرف ]]</f>
        <v>723608.2194164861</v>
      </c>
      <c r="S288" s="226"/>
      <c r="T288" s="226"/>
    </row>
    <row r="289" spans="1:20">
      <c r="A289" s="237">
        <v>45686</v>
      </c>
      <c r="B289" s="160" t="str">
        <f>TEXT(Table1[[#This Row],[التاريخ ]],"DDD")</f>
        <v>Wed</v>
      </c>
      <c r="C289" s="160" t="str">
        <f>IF(Table1[[#This Row],[التاريخ ]]="","",TEXT(Table1[[#This Row],[التاريخ ]],"mmm"))</f>
        <v>Jan</v>
      </c>
      <c r="D289" s="161" t="s">
        <v>748</v>
      </c>
      <c r="G289" s="226">
        <v>4</v>
      </c>
      <c r="H289" s="227" t="str">
        <f>VLOOKUP(G:G,'قاعدة بيانات  '!K:L,2,0)</f>
        <v>وليد عبد الكريم عبد العليم</v>
      </c>
      <c r="I289" s="226" t="s">
        <v>107</v>
      </c>
      <c r="J289" s="226" t="s">
        <v>301</v>
      </c>
      <c r="K289" s="226" t="s">
        <v>128</v>
      </c>
      <c r="L289" s="164">
        <v>141</v>
      </c>
      <c r="M289" s="165"/>
      <c r="N289" s="165"/>
      <c r="Q289" s="166">
        <v>170</v>
      </c>
      <c r="R289" s="163">
        <f>R288+Table1[[#This Row],[الوارد ]]-Table1[[#This Row],[المنصرف ]]</f>
        <v>723438.2194164861</v>
      </c>
      <c r="S289" s="226"/>
      <c r="T289" s="226"/>
    </row>
    <row r="290" spans="1:20">
      <c r="A290" s="237">
        <v>45686</v>
      </c>
      <c r="B290" s="160" t="str">
        <f>TEXT(Table1[[#This Row],[التاريخ ]],"DDD")</f>
        <v>Wed</v>
      </c>
      <c r="C290" s="160" t="str">
        <f>IF(Table1[[#This Row],[التاريخ ]]="","",TEXT(Table1[[#This Row],[التاريخ ]],"mmm"))</f>
        <v>Jan</v>
      </c>
      <c r="D290" s="161" t="s">
        <v>624</v>
      </c>
      <c r="G290" s="226">
        <v>151</v>
      </c>
      <c r="H290" s="227" t="str">
        <f>VLOOKUP(G:G,'قاعدة بيانات  '!K:L,2,0)</f>
        <v xml:space="preserve">احمد عبد الباسط عبد السلام محمد </v>
      </c>
      <c r="I290" s="226" t="s">
        <v>392</v>
      </c>
      <c r="J290" s="226" t="s">
        <v>301</v>
      </c>
      <c r="K290" s="226" t="s">
        <v>128</v>
      </c>
      <c r="L290" s="164">
        <v>142</v>
      </c>
      <c r="M290" s="165"/>
      <c r="N290" s="165"/>
      <c r="Q290" s="166">
        <f>2604.76+2092.14+316.28</f>
        <v>5013.1799999999994</v>
      </c>
      <c r="R290" s="163">
        <f>R289+Table1[[#This Row],[الوارد ]]-Table1[[#This Row],[المنصرف ]]</f>
        <v>718425.03941648605</v>
      </c>
      <c r="S290" s="226"/>
      <c r="T290" s="226"/>
    </row>
    <row r="291" spans="1:20">
      <c r="A291" s="237">
        <v>45686</v>
      </c>
      <c r="B291" s="160" t="str">
        <f>TEXT(Table1[[#This Row],[التاريخ ]],"DDD")</f>
        <v>Wed</v>
      </c>
      <c r="C291" s="160" t="str">
        <f>IF(Table1[[#This Row],[التاريخ ]]="","",TEXT(Table1[[#This Row],[التاريخ ]],"mmm"))</f>
        <v>Jan</v>
      </c>
      <c r="D291" s="161" t="s">
        <v>754</v>
      </c>
      <c r="G291" s="226">
        <v>151</v>
      </c>
      <c r="H291" s="227" t="str">
        <f>VLOOKUP(G:G,'قاعدة بيانات  '!K:L,2,0)</f>
        <v xml:space="preserve">احمد عبد الباسط عبد السلام محمد </v>
      </c>
      <c r="I291" s="226" t="s">
        <v>167</v>
      </c>
      <c r="J291" s="226" t="s">
        <v>301</v>
      </c>
      <c r="K291" s="226" t="s">
        <v>140</v>
      </c>
      <c r="L291" s="164">
        <v>143</v>
      </c>
      <c r="M291" s="165"/>
      <c r="N291" s="165"/>
      <c r="P291" s="163">
        <v>2070</v>
      </c>
      <c r="Q291" s="166"/>
      <c r="R291" s="163">
        <f>R290+Table1[[#This Row],[الوارد ]]-Table1[[#This Row],[المنصرف ]]</f>
        <v>720495.03941648605</v>
      </c>
      <c r="S291" s="226"/>
      <c r="T291" s="226"/>
    </row>
    <row r="292" spans="1:20">
      <c r="A292" s="237">
        <v>45687</v>
      </c>
      <c r="B292" s="160" t="str">
        <f>TEXT(Table1[[#This Row],[التاريخ ]],"DDD")</f>
        <v>Thu</v>
      </c>
      <c r="C292" s="160" t="str">
        <f>IF(Table1[[#This Row],[التاريخ ]]="","",TEXT(Table1[[#This Row],[التاريخ ]],"mmm"))</f>
        <v>Jan</v>
      </c>
      <c r="D292" s="161" t="s">
        <v>193</v>
      </c>
      <c r="G292" s="226">
        <v>151</v>
      </c>
      <c r="H292" s="227" t="str">
        <f>VLOOKUP(G:G,'قاعدة بيانات  '!K:L,2,0)</f>
        <v xml:space="preserve">احمد عبد الباسط عبد السلام محمد </v>
      </c>
      <c r="I292" s="226" t="s">
        <v>167</v>
      </c>
      <c r="J292" s="226" t="s">
        <v>301</v>
      </c>
      <c r="K292" s="226" t="s">
        <v>140</v>
      </c>
      <c r="L292" s="164">
        <v>144</v>
      </c>
      <c r="M292" s="165"/>
      <c r="N292" s="165"/>
      <c r="P292" s="163">
        <v>30000</v>
      </c>
      <c r="Q292" s="166"/>
      <c r="R292" s="163">
        <f>R291+Table1[[#This Row],[الوارد ]]-Table1[[#This Row],[المنصرف ]]</f>
        <v>750495.03941648605</v>
      </c>
      <c r="S292" s="226"/>
      <c r="T292" s="226"/>
    </row>
    <row r="293" spans="1:20">
      <c r="A293" s="237">
        <v>45687</v>
      </c>
      <c r="B293" s="160" t="str">
        <f>TEXT(Table1[[#This Row],[التاريخ ]],"DDD")</f>
        <v>Thu</v>
      </c>
      <c r="C293" s="160" t="str">
        <f>IF(Table1[[#This Row],[التاريخ ]]="","",TEXT(Table1[[#This Row],[التاريخ ]],"mmm"))</f>
        <v>Jan</v>
      </c>
      <c r="D293" s="161" t="s">
        <v>755</v>
      </c>
      <c r="G293" s="226">
        <v>515</v>
      </c>
      <c r="H293" s="227" t="str">
        <f>VLOOKUP(G:G,'قاعدة بيانات  '!K:L,2,0)</f>
        <v>محمد عبدالمنعم عبدالحليم إبراهيم</v>
      </c>
      <c r="I293" s="226" t="s">
        <v>198</v>
      </c>
      <c r="J293" s="226" t="s">
        <v>1113</v>
      </c>
      <c r="K293" s="226" t="s">
        <v>122</v>
      </c>
      <c r="L293" s="164">
        <v>145</v>
      </c>
      <c r="M293" s="165"/>
      <c r="N293" s="165"/>
      <c r="Q293" s="166">
        <v>470</v>
      </c>
      <c r="R293" s="163">
        <f>R292+Table1[[#This Row],[الوارد ]]-Table1[[#This Row],[المنصرف ]]</f>
        <v>750025.03941648605</v>
      </c>
      <c r="S293" s="226"/>
      <c r="T293" s="226"/>
    </row>
    <row r="294" spans="1:20">
      <c r="A294" s="237">
        <v>45687</v>
      </c>
      <c r="B294" s="160" t="str">
        <f>TEXT(Table1[[#This Row],[التاريخ ]],"DDD")</f>
        <v>Thu</v>
      </c>
      <c r="C294" s="160" t="str">
        <f>IF(Table1[[#This Row],[التاريخ ]]="","",TEXT(Table1[[#This Row],[التاريخ ]],"mmm"))</f>
        <v>Jan</v>
      </c>
      <c r="D294" s="161" t="s">
        <v>756</v>
      </c>
      <c r="G294" s="226">
        <v>515</v>
      </c>
      <c r="H294" s="227" t="str">
        <f>VLOOKUP(G:G,'قاعدة بيانات  '!K:L,2,0)</f>
        <v>محمد عبدالمنعم عبدالحليم إبراهيم</v>
      </c>
      <c r="I294" s="226" t="s">
        <v>198</v>
      </c>
      <c r="J294" s="226" t="s">
        <v>1113</v>
      </c>
      <c r="K294" s="226" t="s">
        <v>125</v>
      </c>
      <c r="L294" s="164">
        <v>145</v>
      </c>
      <c r="M294" s="165"/>
      <c r="N294" s="165"/>
      <c r="Q294" s="166">
        <v>210</v>
      </c>
      <c r="R294" s="163">
        <f>R293+Table1[[#This Row],[الوارد ]]-Table1[[#This Row],[المنصرف ]]</f>
        <v>749815.03941648605</v>
      </c>
      <c r="S294" s="226"/>
      <c r="T294" s="226"/>
    </row>
    <row r="295" spans="1:20">
      <c r="A295" s="237">
        <v>45687</v>
      </c>
      <c r="B295" s="160" t="str">
        <f>TEXT(Table1[[#This Row],[التاريخ ]],"DDD")</f>
        <v>Thu</v>
      </c>
      <c r="C295" s="160" t="str">
        <f>IF(Table1[[#This Row],[التاريخ ]]="","",TEXT(Table1[[#This Row],[التاريخ ]],"mmm"))</f>
        <v>Jan</v>
      </c>
      <c r="D295" s="161" t="s">
        <v>757</v>
      </c>
      <c r="G295" s="226">
        <v>531</v>
      </c>
      <c r="H295" s="227" t="str">
        <f>VLOOKUP(G:G,'قاعدة بيانات  '!K:L,2,0)</f>
        <v>ياسمين سيد عبدالله إبراهيم حسن نصار</v>
      </c>
      <c r="I295" s="226" t="s">
        <v>100</v>
      </c>
      <c r="J295" s="226" t="s">
        <v>1114</v>
      </c>
      <c r="K295" s="226" t="s">
        <v>131</v>
      </c>
      <c r="L295" s="164">
        <v>146</v>
      </c>
      <c r="M295" s="165"/>
      <c r="N295" s="165"/>
      <c r="Q295" s="166">
        <v>283.33</v>
      </c>
      <c r="R295" s="163">
        <f>R294+Table1[[#This Row],[الوارد ]]-Table1[[#This Row],[المنصرف ]]</f>
        <v>749531.70941648609</v>
      </c>
      <c r="S295" s="226"/>
      <c r="T295" s="226"/>
    </row>
    <row r="296" spans="1:20">
      <c r="A296" s="237">
        <v>45687</v>
      </c>
      <c r="B296" s="160" t="str">
        <f>TEXT(Table1[[#This Row],[التاريخ ]],"DDD")</f>
        <v>Thu</v>
      </c>
      <c r="C296" s="160" t="str">
        <f>IF(Table1[[#This Row],[التاريخ ]]="","",TEXT(Table1[[#This Row],[التاريخ ]],"mmm"))</f>
        <v>Jan</v>
      </c>
      <c r="D296" s="161" t="s">
        <v>759</v>
      </c>
      <c r="G296" s="226">
        <v>9</v>
      </c>
      <c r="H296" s="227" t="str">
        <f>VLOOKUP(G:G,'قاعدة بيانات  '!K:L,2,0)</f>
        <v>عمرو عصام بدر الدين زكي</v>
      </c>
      <c r="I296" s="226" t="s">
        <v>167</v>
      </c>
      <c r="J296" s="226" t="s">
        <v>301</v>
      </c>
      <c r="K296" s="226" t="s">
        <v>116</v>
      </c>
      <c r="L296" s="164">
        <v>147</v>
      </c>
      <c r="M296" s="165"/>
      <c r="N296" s="165"/>
      <c r="Q296" s="166">
        <v>208</v>
      </c>
      <c r="R296" s="163">
        <f>R295+Table1[[#This Row],[الوارد ]]-Table1[[#This Row],[المنصرف ]]</f>
        <v>749323.70941648609</v>
      </c>
      <c r="S296" s="226"/>
      <c r="T296" s="226"/>
    </row>
    <row r="297" spans="1:20">
      <c r="A297" s="237">
        <v>45687</v>
      </c>
      <c r="B297" s="160" t="str">
        <f>TEXT(Table1[[#This Row],[التاريخ ]],"DDD")</f>
        <v>Thu</v>
      </c>
      <c r="C297" s="160" t="str">
        <f>IF(Table1[[#This Row],[التاريخ ]]="","",TEXT(Table1[[#This Row],[التاريخ ]],"mmm"))</f>
        <v>Jan</v>
      </c>
      <c r="D297" s="161" t="s">
        <v>760</v>
      </c>
      <c r="G297" s="226">
        <v>545</v>
      </c>
      <c r="H297" s="227" t="str">
        <f>VLOOKUP(G:G,'قاعدة بيانات  '!K:L,2,0)</f>
        <v>محمد الظافر محمد رفعت احمد إبراهيم</v>
      </c>
      <c r="I297" s="226" t="s">
        <v>439</v>
      </c>
      <c r="J297" s="226" t="s">
        <v>112</v>
      </c>
      <c r="K297" s="226" t="s">
        <v>141</v>
      </c>
      <c r="L297" s="164">
        <v>148</v>
      </c>
      <c r="M297" s="165"/>
      <c r="N297" s="165"/>
      <c r="Q297" s="166">
        <v>1200</v>
      </c>
      <c r="R297" s="163">
        <f>R296+Table1[[#This Row],[الوارد ]]-Table1[[#This Row],[المنصرف ]]</f>
        <v>748123.70941648609</v>
      </c>
      <c r="S297" s="226"/>
      <c r="T297" s="226"/>
    </row>
    <row r="298" spans="1:20">
      <c r="A298" s="237">
        <v>45687</v>
      </c>
      <c r="B298" s="160" t="str">
        <f>TEXT(Table1[[#This Row],[التاريخ ]],"DDD")</f>
        <v>Thu</v>
      </c>
      <c r="C298" s="160" t="str">
        <f>IF(Table1[[#This Row],[التاريخ ]]="","",TEXT(Table1[[#This Row],[التاريخ ]],"mmm"))</f>
        <v>Jan</v>
      </c>
      <c r="D298" s="161" t="s">
        <v>761</v>
      </c>
      <c r="G298" s="226">
        <v>151</v>
      </c>
      <c r="H298" s="227" t="str">
        <f>VLOOKUP(G:G,'قاعدة بيانات  '!K:L,2,0)</f>
        <v xml:space="preserve">احمد عبد الباسط عبد السلام محمد </v>
      </c>
      <c r="I298" s="226" t="s">
        <v>376</v>
      </c>
      <c r="J298" s="226" t="s">
        <v>1113</v>
      </c>
      <c r="K298" s="226" t="s">
        <v>133</v>
      </c>
      <c r="L298" s="164">
        <v>149</v>
      </c>
      <c r="M298" s="165"/>
      <c r="N298" s="165"/>
      <c r="Q298" s="166">
        <v>3048.79</v>
      </c>
      <c r="R298" s="163">
        <f>R297+Table1[[#This Row],[الوارد ]]-Table1[[#This Row],[المنصرف ]]</f>
        <v>745074.91941648605</v>
      </c>
      <c r="S298" s="226"/>
      <c r="T298" s="226"/>
    </row>
    <row r="299" spans="1:20">
      <c r="A299" s="237">
        <v>45687</v>
      </c>
      <c r="B299" s="160" t="str">
        <f>TEXT(Table1[[#This Row],[التاريخ ]],"DDD")</f>
        <v>Thu</v>
      </c>
      <c r="C299" s="160" t="str">
        <f>IF(Table1[[#This Row],[التاريخ ]]="","",TEXT(Table1[[#This Row],[التاريخ ]],"mmm"))</f>
        <v>Jan</v>
      </c>
      <c r="D299" s="161" t="s">
        <v>762</v>
      </c>
      <c r="G299" s="226">
        <v>468</v>
      </c>
      <c r="H299" s="227" t="str">
        <f>VLOOKUP(G:G,'قاعدة بيانات  '!K:L,2,0)</f>
        <v>حسام حسن محمد حسن</v>
      </c>
      <c r="I299" s="226" t="s">
        <v>100</v>
      </c>
      <c r="J299" s="226" t="s">
        <v>1114</v>
      </c>
      <c r="K299" s="226" t="s">
        <v>116</v>
      </c>
      <c r="L299" s="164">
        <v>150</v>
      </c>
      <c r="M299" s="165"/>
      <c r="N299" s="165"/>
      <c r="Q299" s="166">
        <v>100</v>
      </c>
      <c r="R299" s="163">
        <f>R298+Table1[[#This Row],[الوارد ]]-Table1[[#This Row],[المنصرف ]]</f>
        <v>744974.91941648605</v>
      </c>
      <c r="S299" s="226"/>
      <c r="T299" s="226"/>
    </row>
    <row r="300" spans="1:20">
      <c r="A300" s="237">
        <v>45687</v>
      </c>
      <c r="B300" s="160" t="str">
        <f>TEXT(Table1[[#This Row],[التاريخ ]],"DDD")</f>
        <v>Thu</v>
      </c>
      <c r="C300" s="160" t="str">
        <f>IF(Table1[[#This Row],[التاريخ ]]="","",TEXT(Table1[[#This Row],[التاريخ ]],"mmm"))</f>
        <v>Jan</v>
      </c>
      <c r="D300" s="161" t="s">
        <v>747</v>
      </c>
      <c r="G300" s="226">
        <v>151</v>
      </c>
      <c r="H300" s="227" t="str">
        <f>VLOOKUP(G:G,'قاعدة بيانات  '!K:L,2,0)</f>
        <v xml:space="preserve">احمد عبد الباسط عبد السلام محمد </v>
      </c>
      <c r="I300" s="226" t="s">
        <v>107</v>
      </c>
      <c r="J300" s="226" t="s">
        <v>301</v>
      </c>
      <c r="K300" s="226" t="s">
        <v>128</v>
      </c>
      <c r="L300" s="164">
        <v>151</v>
      </c>
      <c r="M300" s="165"/>
      <c r="N300" s="165"/>
      <c r="Q300" s="166">
        <f>110+15+10</f>
        <v>135</v>
      </c>
      <c r="R300" s="163">
        <f>R299+Table1[[#This Row],[الوارد ]]-Table1[[#This Row],[المنصرف ]]</f>
        <v>744839.91941648605</v>
      </c>
      <c r="S300" s="226"/>
      <c r="T300" s="226"/>
    </row>
    <row r="301" spans="1:20">
      <c r="A301" s="237">
        <v>45687</v>
      </c>
      <c r="B301" s="160" t="str">
        <f>TEXT(Table1[[#This Row],[التاريخ ]],"DDD")</f>
        <v>Thu</v>
      </c>
      <c r="C301" s="160" t="str">
        <f>IF(Table1[[#This Row],[التاريخ ]]="","",TEXT(Table1[[#This Row],[التاريخ ]],"mmm"))</f>
        <v>Jan</v>
      </c>
      <c r="D301" s="161" t="s">
        <v>713</v>
      </c>
      <c r="G301" s="226">
        <v>151</v>
      </c>
      <c r="H301" s="227" t="str">
        <f>VLOOKUP(G:G,'قاعدة بيانات  '!K:L,2,0)</f>
        <v xml:space="preserve">احمد عبد الباسط عبد السلام محمد </v>
      </c>
      <c r="I301" s="226" t="s">
        <v>100</v>
      </c>
      <c r="J301" s="226" t="s">
        <v>301</v>
      </c>
      <c r="K301" s="226" t="s">
        <v>128</v>
      </c>
      <c r="L301" s="164">
        <v>152</v>
      </c>
      <c r="M301" s="165"/>
      <c r="N301" s="165"/>
      <c r="Q301" s="166">
        <v>830</v>
      </c>
      <c r="R301" s="163">
        <f>R300+Table1[[#This Row],[الوارد ]]-Table1[[#This Row],[المنصرف ]]</f>
        <v>744009.91941648605</v>
      </c>
      <c r="S301" s="226"/>
      <c r="T301" s="226"/>
    </row>
    <row r="302" spans="1:20">
      <c r="A302" s="237">
        <v>45688</v>
      </c>
      <c r="B302" s="160" t="str">
        <f>TEXT(Table1[[#This Row],[التاريخ ]],"DDD")</f>
        <v>Fri</v>
      </c>
      <c r="C302" s="160" t="str">
        <f>IF(Table1[[#This Row],[التاريخ ]]="","",TEXT(Table1[[#This Row],[التاريخ ]],"mmm"))</f>
        <v>Jan</v>
      </c>
      <c r="D302" s="161" t="s">
        <v>624</v>
      </c>
      <c r="G302" s="226">
        <v>151</v>
      </c>
      <c r="H302" s="227" t="str">
        <f>VLOOKUP(G:G,'قاعدة بيانات  '!K:L,2,0)</f>
        <v xml:space="preserve">احمد عبد الباسط عبد السلام محمد </v>
      </c>
      <c r="I302" s="226" t="s">
        <v>392</v>
      </c>
      <c r="J302" s="226" t="s">
        <v>301</v>
      </c>
      <c r="K302" s="226" t="s">
        <v>128</v>
      </c>
      <c r="L302" s="164">
        <v>152</v>
      </c>
      <c r="M302" s="165"/>
      <c r="N302" s="165"/>
      <c r="Q302" s="166">
        <v>1145</v>
      </c>
      <c r="R302" s="163">
        <f>R301+Table1[[#This Row],[الوارد ]]-Table1[[#This Row],[المنصرف ]]</f>
        <v>742864.91941648605</v>
      </c>
      <c r="S302" s="226"/>
      <c r="T302" s="226"/>
    </row>
    <row r="303" spans="1:20">
      <c r="A303" s="237">
        <v>45688</v>
      </c>
      <c r="B303" s="160" t="str">
        <f>TEXT(Table1[[#This Row],[التاريخ ]],"DDD")</f>
        <v>Fri</v>
      </c>
      <c r="C303" s="160" t="str">
        <f>IF(Table1[[#This Row],[التاريخ ]]="","",TEXT(Table1[[#This Row],[التاريخ ]],"mmm"))</f>
        <v>Jan</v>
      </c>
      <c r="D303" s="161" t="s">
        <v>882</v>
      </c>
      <c r="G303" s="226">
        <v>365</v>
      </c>
      <c r="H303" s="227" t="str">
        <f>VLOOKUP(G:G,'قاعدة بيانات  '!K:L,2,0)</f>
        <v>محمد رضا سعد حسن الشرقاوى</v>
      </c>
      <c r="I303" s="226" t="s">
        <v>167</v>
      </c>
      <c r="J303" s="226" t="s">
        <v>301</v>
      </c>
      <c r="K303" s="226" t="s">
        <v>116</v>
      </c>
      <c r="L303" s="164">
        <v>153</v>
      </c>
      <c r="M303" s="165"/>
      <c r="N303" s="165"/>
      <c r="Q303" s="166">
        <v>20</v>
      </c>
      <c r="R303" s="163">
        <f>R302+Table1[[#This Row],[الوارد ]]-Table1[[#This Row],[المنصرف ]]</f>
        <v>742844.91941648605</v>
      </c>
      <c r="S303" s="226"/>
      <c r="T303" s="226"/>
    </row>
    <row r="304" spans="1:20">
      <c r="A304" s="237">
        <v>45688</v>
      </c>
      <c r="B304" s="160" t="str">
        <f>TEXT(Table1[[#This Row],[التاريخ ]],"DDD")</f>
        <v>Fri</v>
      </c>
      <c r="C304" s="160" t="str">
        <f>IF(Table1[[#This Row],[التاريخ ]]="","",TEXT(Table1[[#This Row],[التاريخ ]],"mmm"))</f>
        <v>Jan</v>
      </c>
      <c r="D304" s="161" t="s">
        <v>883</v>
      </c>
      <c r="G304" s="226">
        <v>151</v>
      </c>
      <c r="H304" s="227" t="str">
        <f>VLOOKUP(G:G,'قاعدة بيانات  '!K:L,2,0)</f>
        <v xml:space="preserve">احمد عبد الباسط عبد السلام محمد </v>
      </c>
      <c r="I304" s="226" t="s">
        <v>167</v>
      </c>
      <c r="J304" s="226" t="s">
        <v>301</v>
      </c>
      <c r="K304" s="226" t="s">
        <v>116</v>
      </c>
      <c r="L304" s="164">
        <v>154</v>
      </c>
      <c r="M304" s="165"/>
      <c r="N304" s="165"/>
      <c r="Q304" s="166">
        <v>30</v>
      </c>
      <c r="R304" s="163">
        <f>R303+Table1[[#This Row],[الوارد ]]-Table1[[#This Row],[المنصرف ]]</f>
        <v>742814.91941648605</v>
      </c>
      <c r="S304" s="226"/>
      <c r="T304" s="226"/>
    </row>
    <row r="305" spans="1:20">
      <c r="A305" s="237">
        <v>45658</v>
      </c>
      <c r="B305" s="160" t="str">
        <f>TEXT(Table1[[#This Row],[التاريخ ]],"DDD")</f>
        <v>Wed</v>
      </c>
      <c r="C305" s="160" t="str">
        <f>IF(Table1[[#This Row],[التاريخ ]]="","",TEXT(Table1[[#This Row],[التاريخ ]],"mmm"))</f>
        <v>Jan</v>
      </c>
      <c r="D305" s="161" t="s">
        <v>792</v>
      </c>
      <c r="G305" s="226">
        <v>294</v>
      </c>
      <c r="H305" s="227" t="str">
        <f>VLOOKUP(G:G,'[10]قاعدة بيانات  '!J:K,2,0)</f>
        <v>باسم ناجي سعد</v>
      </c>
      <c r="I305" s="226" t="s">
        <v>199</v>
      </c>
      <c r="J305" s="226" t="s">
        <v>111</v>
      </c>
      <c r="K305" s="226" t="s">
        <v>118</v>
      </c>
      <c r="L305" s="164">
        <v>155</v>
      </c>
      <c r="M305" s="165"/>
      <c r="N305" s="165"/>
      <c r="Q305" s="166">
        <v>5000</v>
      </c>
      <c r="R305" s="163">
        <f>R304+Table1[[#This Row],[الوارد ]]-Table1[[#This Row],[المنصرف ]]</f>
        <v>737814.91941648605</v>
      </c>
      <c r="S305" s="226"/>
      <c r="T305" s="226"/>
    </row>
    <row r="306" spans="1:20">
      <c r="A306" s="237">
        <v>45658</v>
      </c>
      <c r="B306" s="160" t="str">
        <f>TEXT(Table1[[#This Row],[التاريخ ]],"DDD")</f>
        <v>Wed</v>
      </c>
      <c r="C306" s="160" t="str">
        <f>IF(Table1[[#This Row],[التاريخ ]]="","",TEXT(Table1[[#This Row],[التاريخ ]],"mmm"))</f>
        <v>Jan</v>
      </c>
      <c r="D306" s="161" t="s">
        <v>793</v>
      </c>
      <c r="G306" s="226">
        <v>289</v>
      </c>
      <c r="H306" s="227" t="str">
        <f>VLOOKUP(G:G,'[10]قاعدة بيانات  '!J:K,2,0)</f>
        <v>صبري عبد الهادي عبد الهادي</v>
      </c>
      <c r="I306" s="226" t="s">
        <v>199</v>
      </c>
      <c r="J306" s="226" t="s">
        <v>111</v>
      </c>
      <c r="K306" s="226" t="s">
        <v>128</v>
      </c>
      <c r="L306" s="164">
        <v>156</v>
      </c>
      <c r="M306" s="165"/>
      <c r="N306" s="165"/>
      <c r="Q306" s="166">
        <v>72</v>
      </c>
      <c r="R306" s="163">
        <f>R305+Table1[[#This Row],[الوارد ]]-Table1[[#This Row],[المنصرف ]]</f>
        <v>737742.91941648605</v>
      </c>
      <c r="S306" s="226"/>
      <c r="T306" s="226"/>
    </row>
    <row r="307" spans="1:20">
      <c r="A307" s="237">
        <v>45293</v>
      </c>
      <c r="B307" s="160" t="str">
        <f>TEXT(Table1[[#This Row],[التاريخ ]],"DDD")</f>
        <v>Tue</v>
      </c>
      <c r="C307" s="160" t="str">
        <f>IF(Table1[[#This Row],[التاريخ ]]="","",TEXT(Table1[[#This Row],[التاريخ ]],"mmm"))</f>
        <v>Jan</v>
      </c>
      <c r="D307" s="161" t="s">
        <v>794</v>
      </c>
      <c r="G307" s="226">
        <v>294</v>
      </c>
      <c r="H307" s="227" t="str">
        <f>VLOOKUP(G:G,'[10]قاعدة بيانات  '!J:K,2,0)</f>
        <v>باسم ناجي سعد</v>
      </c>
      <c r="I307" s="226" t="s">
        <v>199</v>
      </c>
      <c r="J307" s="226" t="s">
        <v>111</v>
      </c>
      <c r="K307" s="226" t="s">
        <v>124</v>
      </c>
      <c r="L307" s="164">
        <v>157</v>
      </c>
      <c r="M307" s="165"/>
      <c r="N307" s="165"/>
      <c r="Q307" s="166">
        <v>100</v>
      </c>
      <c r="R307" s="163">
        <f>R306+Table1[[#This Row],[الوارد ]]-Table1[[#This Row],[المنصرف ]]</f>
        <v>737642.91941648605</v>
      </c>
      <c r="S307" s="226"/>
      <c r="T307" s="226"/>
    </row>
    <row r="308" spans="1:20">
      <c r="A308" s="237">
        <v>45293</v>
      </c>
      <c r="B308" s="160" t="str">
        <f>TEXT(Table1[[#This Row],[التاريخ ]],"DDD")</f>
        <v>Tue</v>
      </c>
      <c r="C308" s="160" t="str">
        <f>IF(Table1[[#This Row],[التاريخ ]]="","",TEXT(Table1[[#This Row],[التاريخ ]],"mmm"))</f>
        <v>Jan</v>
      </c>
      <c r="D308" s="161" t="s">
        <v>795</v>
      </c>
      <c r="G308" s="226">
        <v>337</v>
      </c>
      <c r="H308" s="227" t="str">
        <f>VLOOKUP(G:G,'[10]قاعدة بيانات  '!J:K,2,0)</f>
        <v>ندي جمال محمد محمد زاهر</v>
      </c>
      <c r="I308" s="226" t="s">
        <v>199</v>
      </c>
      <c r="J308" s="226" t="s">
        <v>111</v>
      </c>
      <c r="K308" s="226" t="s">
        <v>131</v>
      </c>
      <c r="L308" s="164">
        <v>158</v>
      </c>
      <c r="M308" s="165"/>
      <c r="N308" s="165"/>
      <c r="Q308" s="166">
        <v>100</v>
      </c>
      <c r="R308" s="163">
        <f>R307+Table1[[#This Row],[الوارد ]]-Table1[[#This Row],[المنصرف ]]</f>
        <v>737542.91941648605</v>
      </c>
      <c r="S308" s="226"/>
      <c r="T308" s="226"/>
    </row>
    <row r="309" spans="1:20">
      <c r="A309" s="237">
        <v>45293</v>
      </c>
      <c r="B309" s="160" t="str">
        <f>TEXT(Table1[[#This Row],[التاريخ ]],"DDD")</f>
        <v>Tue</v>
      </c>
      <c r="C309" s="160" t="str">
        <f>IF(Table1[[#This Row],[التاريخ ]]="","",TEXT(Table1[[#This Row],[التاريخ ]],"mmm"))</f>
        <v>Jan</v>
      </c>
      <c r="D309" s="161" t="s">
        <v>796</v>
      </c>
      <c r="G309" s="226">
        <v>289</v>
      </c>
      <c r="H309" s="227" t="str">
        <f>VLOOKUP(G:G,'[10]قاعدة بيانات  '!J:K,2,0)</f>
        <v>صبري عبد الهادي عبد الهادي</v>
      </c>
      <c r="I309" s="226" t="s">
        <v>199</v>
      </c>
      <c r="J309" s="226" t="s">
        <v>111</v>
      </c>
      <c r="K309" s="226" t="s">
        <v>141</v>
      </c>
      <c r="L309" s="164">
        <v>159</v>
      </c>
      <c r="M309" s="165"/>
      <c r="N309" s="165"/>
      <c r="Q309" s="166">
        <v>100</v>
      </c>
      <c r="R309" s="163">
        <f>R308+Table1[[#This Row],[الوارد ]]-Table1[[#This Row],[المنصرف ]]</f>
        <v>737442.91941648605</v>
      </c>
      <c r="S309" s="226"/>
      <c r="T309" s="226"/>
    </row>
    <row r="310" spans="1:20">
      <c r="A310" s="237">
        <v>45293</v>
      </c>
      <c r="B310" s="160" t="str">
        <f>TEXT(Table1[[#This Row],[التاريخ ]],"DDD")</f>
        <v>Tue</v>
      </c>
      <c r="C310" s="160" t="str">
        <f>IF(Table1[[#This Row],[التاريخ ]]="","",TEXT(Table1[[#This Row],[التاريخ ]],"mmm"))</f>
        <v>Jan</v>
      </c>
      <c r="D310" s="161" t="s">
        <v>796</v>
      </c>
      <c r="G310" s="226">
        <v>294</v>
      </c>
      <c r="H310" s="227" t="str">
        <f>VLOOKUP(G:G,'[10]قاعدة بيانات  '!J:K,2,0)</f>
        <v>باسم ناجي سعد</v>
      </c>
      <c r="I310" s="226" t="s">
        <v>199</v>
      </c>
      <c r="J310" s="226" t="s">
        <v>111</v>
      </c>
      <c r="K310" s="226" t="s">
        <v>141</v>
      </c>
      <c r="L310" s="164">
        <v>160</v>
      </c>
      <c r="M310" s="165"/>
      <c r="N310" s="165"/>
      <c r="Q310" s="166">
        <v>100</v>
      </c>
      <c r="R310" s="163">
        <f>R309+Table1[[#This Row],[الوارد ]]-Table1[[#This Row],[المنصرف ]]</f>
        <v>737342.91941648605</v>
      </c>
      <c r="S310" s="226"/>
      <c r="T310" s="226"/>
    </row>
    <row r="311" spans="1:20">
      <c r="A311" s="237">
        <v>45659</v>
      </c>
      <c r="B311" s="160" t="str">
        <f>TEXT(Table1[[#This Row],[التاريخ ]],"DDD")</f>
        <v>Thu</v>
      </c>
      <c r="C311" s="160" t="str">
        <f>IF(Table1[[#This Row],[التاريخ ]]="","",TEXT(Table1[[#This Row],[التاريخ ]],"mmm"))</f>
        <v>Jan</v>
      </c>
      <c r="D311" s="161" t="s">
        <v>797</v>
      </c>
      <c r="G311" s="226">
        <v>503</v>
      </c>
      <c r="H311" s="227" t="str">
        <f>VLOOKUP(G:G,'[10]قاعدة بيانات  '!J:K,2,0)</f>
        <v xml:space="preserve">اسلام احمد محمود </v>
      </c>
      <c r="I311" s="226" t="s">
        <v>798</v>
      </c>
      <c r="J311" s="226" t="s">
        <v>111</v>
      </c>
      <c r="K311" s="226" t="s">
        <v>116</v>
      </c>
      <c r="L311" s="164">
        <v>161</v>
      </c>
      <c r="M311" s="165"/>
      <c r="N311" s="165"/>
      <c r="Q311" s="166">
        <v>91</v>
      </c>
      <c r="R311" s="163">
        <f>R310+Table1[[#This Row],[الوارد ]]-Table1[[#This Row],[المنصرف ]]</f>
        <v>737251.91941648605</v>
      </c>
      <c r="S311" s="226"/>
      <c r="T311" s="226"/>
    </row>
    <row r="312" spans="1:20">
      <c r="A312" s="237">
        <v>45659</v>
      </c>
      <c r="B312" s="160" t="str">
        <f>TEXT(Table1[[#This Row],[التاريخ ]],"DDD")</f>
        <v>Thu</v>
      </c>
      <c r="C312" s="160" t="str">
        <f>IF(Table1[[#This Row],[التاريخ ]]="","",TEXT(Table1[[#This Row],[التاريخ ]],"mmm"))</f>
        <v>Jan</v>
      </c>
      <c r="D312" s="161" t="s">
        <v>799</v>
      </c>
      <c r="G312" s="226">
        <v>289</v>
      </c>
      <c r="H312" s="227" t="str">
        <f>VLOOKUP(G:G,'[10]قاعدة بيانات  '!J:K,2,0)</f>
        <v>صبري عبد الهادي عبد الهادي</v>
      </c>
      <c r="I312" s="226" t="s">
        <v>199</v>
      </c>
      <c r="J312" s="226" t="s">
        <v>111</v>
      </c>
      <c r="K312" s="226" t="s">
        <v>121</v>
      </c>
      <c r="L312" s="164">
        <v>162</v>
      </c>
      <c r="M312" s="165"/>
      <c r="N312" s="165"/>
      <c r="Q312" s="166">
        <v>110</v>
      </c>
      <c r="R312" s="163">
        <f>R311+Table1[[#This Row],[الوارد ]]-Table1[[#This Row],[المنصرف ]]</f>
        <v>737141.91941648605</v>
      </c>
      <c r="S312" s="226"/>
      <c r="T312" s="226"/>
    </row>
    <row r="313" spans="1:20">
      <c r="A313" s="237">
        <v>45295</v>
      </c>
      <c r="B313" s="160" t="str">
        <f>TEXT(Table1[[#This Row],[التاريخ ]],"DDD")</f>
        <v>Thu</v>
      </c>
      <c r="C313" s="160" t="str">
        <f>IF(Table1[[#This Row],[التاريخ ]]="","",TEXT(Table1[[#This Row],[التاريخ ]],"mmm"))</f>
        <v>Jan</v>
      </c>
      <c r="D313" s="161" t="s">
        <v>800</v>
      </c>
      <c r="E313" s="161" t="s">
        <v>67</v>
      </c>
      <c r="F313" s="162">
        <v>649426040125</v>
      </c>
      <c r="G313" s="226">
        <v>289</v>
      </c>
      <c r="H313" s="227" t="str">
        <f>VLOOKUP(G:G,'[10]قاعدة بيانات  '!J:K,2,0)</f>
        <v>صبري عبد الهادي عبد الهادي</v>
      </c>
      <c r="I313" s="226" t="s">
        <v>199</v>
      </c>
      <c r="J313" s="226" t="s">
        <v>111</v>
      </c>
      <c r="K313" s="226" t="s">
        <v>123</v>
      </c>
      <c r="L313" s="164">
        <v>163</v>
      </c>
      <c r="M313" s="165"/>
      <c r="N313" s="165"/>
      <c r="Q313" s="166">
        <f>1266.5-Q314</f>
        <v>1229.7807</v>
      </c>
      <c r="R313" s="163">
        <f>R312+Table1[[#This Row],[الوارد ]]-Table1[[#This Row],[المنصرف ]]</f>
        <v>735912.13871648605</v>
      </c>
      <c r="S313" s="226"/>
      <c r="T313" s="226"/>
    </row>
    <row r="314" spans="1:20">
      <c r="A314" s="237">
        <v>45295</v>
      </c>
      <c r="B314" s="160" t="str">
        <f>TEXT(Table1[[#This Row],[التاريخ ]],"DDD")</f>
        <v>Thu</v>
      </c>
      <c r="C314" s="160" t="str">
        <f>IF(Table1[[#This Row],[التاريخ ]]="","",TEXT(Table1[[#This Row],[التاريخ ]],"mmm"))</f>
        <v>Jan</v>
      </c>
      <c r="D314" s="161" t="s">
        <v>801</v>
      </c>
      <c r="E314" s="161" t="s">
        <v>67</v>
      </c>
      <c r="F314" s="162">
        <v>649426040125</v>
      </c>
      <c r="G314" s="226">
        <v>289</v>
      </c>
      <c r="H314" s="227" t="str">
        <f>VLOOKUP(G:G,'[10]قاعدة بيانات  '!J:K,2,0)</f>
        <v>صبري عبد الهادي عبد الهادي</v>
      </c>
      <c r="I314" s="226" t="s">
        <v>199</v>
      </c>
      <c r="J314" s="226" t="s">
        <v>111</v>
      </c>
      <c r="K314" s="226" t="s">
        <v>115</v>
      </c>
      <c r="L314" s="164">
        <v>163</v>
      </c>
      <c r="M314" s="165"/>
      <c r="N314" s="165"/>
      <c r="Q314" s="166">
        <v>36.719299999999997</v>
      </c>
      <c r="R314" s="163">
        <f>R313+Table1[[#This Row],[الوارد ]]-Table1[[#This Row],[المنصرف ]]</f>
        <v>735875.41941648605</v>
      </c>
      <c r="S314" s="226"/>
      <c r="T314" s="226"/>
    </row>
    <row r="315" spans="1:20">
      <c r="A315" s="237">
        <v>45295</v>
      </c>
      <c r="B315" s="160" t="str">
        <f>TEXT(Table1[[#This Row],[التاريخ ]],"DDD")</f>
        <v>Thu</v>
      </c>
      <c r="C315" s="160" t="str">
        <f>IF(Table1[[#This Row],[التاريخ ]]="","",TEXT(Table1[[#This Row],[التاريخ ]],"mmm"))</f>
        <v>Jan</v>
      </c>
      <c r="D315" s="161" t="s">
        <v>802</v>
      </c>
      <c r="G315" s="226">
        <v>289</v>
      </c>
      <c r="H315" s="227" t="str">
        <f>VLOOKUP(G:G,'[10]قاعدة بيانات  '!J:K,2,0)</f>
        <v>صبري عبد الهادي عبد الهادي</v>
      </c>
      <c r="I315" s="226" t="s">
        <v>199</v>
      </c>
      <c r="J315" s="226" t="s">
        <v>111</v>
      </c>
      <c r="K315" s="226" t="s">
        <v>116</v>
      </c>
      <c r="L315" s="164">
        <v>163</v>
      </c>
      <c r="M315" s="165"/>
      <c r="N315" s="165"/>
      <c r="Q315" s="166">
        <v>10.5</v>
      </c>
      <c r="R315" s="163">
        <f>R314+Table1[[#This Row],[الوارد ]]-Table1[[#This Row],[المنصرف ]]</f>
        <v>735864.91941648605</v>
      </c>
      <c r="S315" s="226"/>
      <c r="T315" s="226"/>
    </row>
    <row r="316" spans="1:20">
      <c r="A316" s="237">
        <v>45662</v>
      </c>
      <c r="B316" s="160" t="str">
        <f>TEXT(Table1[[#This Row],[التاريخ ]],"DDD")</f>
        <v>Sun</v>
      </c>
      <c r="C316" s="160" t="str">
        <f>IF(Table1[[#This Row],[التاريخ ]]="","",TEXT(Table1[[#This Row],[التاريخ ]],"mmm"))</f>
        <v>Jan</v>
      </c>
      <c r="D316" s="161" t="s">
        <v>803</v>
      </c>
      <c r="G316" s="226">
        <v>289</v>
      </c>
      <c r="H316" s="227" t="str">
        <f>VLOOKUP(G:G,'[10]قاعدة بيانات  '!J:K,2,0)</f>
        <v>صبري عبد الهادي عبد الهادي</v>
      </c>
      <c r="I316" s="226" t="s">
        <v>199</v>
      </c>
      <c r="J316" s="226" t="s">
        <v>111</v>
      </c>
      <c r="K316" s="226" t="s">
        <v>122</v>
      </c>
      <c r="L316" s="164">
        <v>164</v>
      </c>
      <c r="M316" s="165"/>
      <c r="N316" s="165"/>
      <c r="Q316" s="166">
        <v>360</v>
      </c>
      <c r="R316" s="163">
        <f>R315+Table1[[#This Row],[الوارد ]]-Table1[[#This Row],[المنصرف ]]</f>
        <v>735504.91941648605</v>
      </c>
      <c r="S316" s="226"/>
      <c r="T316" s="226"/>
    </row>
    <row r="317" spans="1:20">
      <c r="A317" s="237">
        <v>45662</v>
      </c>
      <c r="B317" s="160" t="str">
        <f>TEXT(Table1[[#This Row],[التاريخ ]],"DDD")</f>
        <v>Sun</v>
      </c>
      <c r="C317" s="160" t="str">
        <f>IF(Table1[[#This Row],[التاريخ ]]="","",TEXT(Table1[[#This Row],[التاريخ ]],"mmm"))</f>
        <v>Jan</v>
      </c>
      <c r="D317" s="161" t="s">
        <v>804</v>
      </c>
      <c r="G317" s="226">
        <v>289</v>
      </c>
      <c r="H317" s="227" t="str">
        <f>VLOOKUP(G:G,'[10]قاعدة بيانات  '!J:K,2,0)</f>
        <v>صبري عبد الهادي عبد الهادي</v>
      </c>
      <c r="I317" s="226" t="s">
        <v>199</v>
      </c>
      <c r="J317" s="226" t="s">
        <v>111</v>
      </c>
      <c r="K317" s="226" t="s">
        <v>116</v>
      </c>
      <c r="L317" s="164">
        <v>164</v>
      </c>
      <c r="M317" s="165"/>
      <c r="N317" s="165"/>
      <c r="Q317" s="166">
        <v>7</v>
      </c>
      <c r="R317" s="163">
        <f>R316+Table1[[#This Row],[الوارد ]]-Table1[[#This Row],[المنصرف ]]</f>
        <v>735497.91941648605</v>
      </c>
      <c r="S317" s="226"/>
      <c r="T317" s="226"/>
    </row>
    <row r="318" spans="1:20">
      <c r="A318" s="237">
        <v>45662</v>
      </c>
      <c r="B318" s="160" t="str">
        <f>TEXT(Table1[[#This Row],[التاريخ ]],"DDD")</f>
        <v>Sun</v>
      </c>
      <c r="C318" s="160" t="str">
        <f>IF(Table1[[#This Row],[التاريخ ]]="","",TEXT(Table1[[#This Row],[التاريخ ]],"mmm"))</f>
        <v>Jan</v>
      </c>
      <c r="D318" s="161" t="s">
        <v>805</v>
      </c>
      <c r="E318" s="161" t="s">
        <v>806</v>
      </c>
      <c r="F318" s="162">
        <v>5012025311811590</v>
      </c>
      <c r="G318" s="226">
        <v>289</v>
      </c>
      <c r="H318" s="227" t="str">
        <f>VLOOKUP(G:G,'[10]قاعدة بيانات  '!J:K,2,0)</f>
        <v>صبري عبد الهادي عبد الهادي</v>
      </c>
      <c r="I318" s="226" t="s">
        <v>199</v>
      </c>
      <c r="J318" s="226" t="s">
        <v>111</v>
      </c>
      <c r="K318" s="226" t="s">
        <v>129</v>
      </c>
      <c r="L318" s="164">
        <v>165</v>
      </c>
      <c r="M318" s="165"/>
      <c r="N318" s="165"/>
      <c r="Q318" s="166">
        <v>200</v>
      </c>
      <c r="R318" s="163">
        <f>R317+Table1[[#This Row],[الوارد ]]-Table1[[#This Row],[المنصرف ]]</f>
        <v>735297.91941648605</v>
      </c>
      <c r="S318" s="226"/>
      <c r="T318" s="226"/>
    </row>
    <row r="319" spans="1:20">
      <c r="A319" s="237">
        <v>45663</v>
      </c>
      <c r="B319" s="160" t="str">
        <f>TEXT(Table1[[#This Row],[التاريخ ]],"DDD")</f>
        <v>Mon</v>
      </c>
      <c r="C319" s="160" t="str">
        <f>IF(Table1[[#This Row],[التاريخ ]]="","",TEXT(Table1[[#This Row],[التاريخ ]],"mmm"))</f>
        <v>Jan</v>
      </c>
      <c r="D319" s="161" t="s">
        <v>807</v>
      </c>
      <c r="G319" s="226">
        <v>425</v>
      </c>
      <c r="H319" s="227" t="str">
        <f>VLOOKUP(G:G,'[10]قاعدة بيانات  '!J:K,2,0)</f>
        <v xml:space="preserve">احمد رزق طاهر أبو الفتوح </v>
      </c>
      <c r="I319" s="226" t="s">
        <v>199</v>
      </c>
      <c r="J319" s="226" t="s">
        <v>111</v>
      </c>
      <c r="K319" s="226" t="s">
        <v>131</v>
      </c>
      <c r="L319" s="164">
        <v>166</v>
      </c>
      <c r="M319" s="165"/>
      <c r="N319" s="165"/>
      <c r="Q319" s="166">
        <v>1710</v>
      </c>
      <c r="R319" s="163">
        <f>R318+Table1[[#This Row],[الوارد ]]-Table1[[#This Row],[المنصرف ]]</f>
        <v>733587.91941648605</v>
      </c>
      <c r="S319" s="226"/>
      <c r="T319" s="226"/>
    </row>
    <row r="320" spans="1:20">
      <c r="A320" s="237">
        <v>45665</v>
      </c>
      <c r="B320" s="160" t="str">
        <f>TEXT(Table1[[#This Row],[التاريخ ]],"DDD")</f>
        <v>Wed</v>
      </c>
      <c r="C320" s="160" t="str">
        <f>IF(Table1[[#This Row],[التاريخ ]]="","",TEXT(Table1[[#This Row],[التاريخ ]],"mmm"))</f>
        <v>Jan</v>
      </c>
      <c r="D320" s="161" t="s">
        <v>808</v>
      </c>
      <c r="G320" s="226">
        <v>136</v>
      </c>
      <c r="H320" s="227" t="str">
        <f>VLOOKUP(G:G,'[10]قاعدة بيانات  '!J:K,2,0)</f>
        <v>بهاء محمد السيد صالح أبو حسين</v>
      </c>
      <c r="I320" s="226" t="s">
        <v>107</v>
      </c>
      <c r="J320" s="226" t="s">
        <v>111</v>
      </c>
      <c r="K320" s="226" t="s">
        <v>116</v>
      </c>
      <c r="L320" s="164">
        <v>167</v>
      </c>
      <c r="M320" s="165"/>
      <c r="N320" s="165"/>
      <c r="Q320" s="166">
        <v>102</v>
      </c>
      <c r="R320" s="163">
        <f>R319+Table1[[#This Row],[الوارد ]]-Table1[[#This Row],[المنصرف ]]</f>
        <v>733485.91941648605</v>
      </c>
      <c r="S320" s="226"/>
      <c r="T320" s="226"/>
    </row>
    <row r="321" spans="1:20">
      <c r="A321" s="237">
        <v>45665</v>
      </c>
      <c r="B321" s="160" t="str">
        <f>TEXT(Table1[[#This Row],[التاريخ ]],"DDD")</f>
        <v>Wed</v>
      </c>
      <c r="C321" s="160" t="str">
        <f>IF(Table1[[#This Row],[التاريخ ]]="","",TEXT(Table1[[#This Row],[التاريخ ]],"mmm"))</f>
        <v>Jan</v>
      </c>
      <c r="D321" s="161" t="s">
        <v>808</v>
      </c>
      <c r="G321" s="226">
        <v>136</v>
      </c>
      <c r="H321" s="227" t="str">
        <f>VLOOKUP(G:G,'[10]قاعدة بيانات  '!J:K,2,0)</f>
        <v>بهاء محمد السيد صالح أبو حسين</v>
      </c>
      <c r="I321" s="226" t="s">
        <v>798</v>
      </c>
      <c r="J321" s="226" t="s">
        <v>111</v>
      </c>
      <c r="K321" s="226" t="s">
        <v>116</v>
      </c>
      <c r="L321" s="164">
        <v>168</v>
      </c>
      <c r="M321" s="165"/>
      <c r="N321" s="165"/>
      <c r="Q321" s="166">
        <v>46</v>
      </c>
      <c r="R321" s="163">
        <f>R320+Table1[[#This Row],[الوارد ]]-Table1[[#This Row],[المنصرف ]]</f>
        <v>733439.91941648605</v>
      </c>
      <c r="S321" s="226"/>
      <c r="T321" s="226"/>
    </row>
    <row r="322" spans="1:20">
      <c r="A322" s="237">
        <v>45665</v>
      </c>
      <c r="B322" s="160" t="str">
        <f>TEXT(Table1[[#This Row],[التاريخ ]],"DDD")</f>
        <v>Wed</v>
      </c>
      <c r="C322" s="160" t="str">
        <f>IF(Table1[[#This Row],[التاريخ ]]="","",TEXT(Table1[[#This Row],[التاريخ ]],"mmm"))</f>
        <v>Jan</v>
      </c>
      <c r="D322" s="161" t="s">
        <v>809</v>
      </c>
      <c r="G322" s="226">
        <v>356</v>
      </c>
      <c r="H322" s="227" t="str">
        <f>VLOOKUP(G:G,'[10]قاعدة بيانات  '!J:K,2,0)</f>
        <v>عبدالله عماد محمد</v>
      </c>
      <c r="I322" s="226" t="s">
        <v>798</v>
      </c>
      <c r="J322" s="226" t="s">
        <v>111</v>
      </c>
      <c r="K322" s="226" t="s">
        <v>116</v>
      </c>
      <c r="L322" s="164">
        <v>169</v>
      </c>
      <c r="M322" s="165"/>
      <c r="N322" s="165"/>
      <c r="Q322" s="166">
        <v>94</v>
      </c>
      <c r="R322" s="163">
        <f>R321+Table1[[#This Row],[الوارد ]]-Table1[[#This Row],[المنصرف ]]</f>
        <v>733345.91941648605</v>
      </c>
      <c r="S322" s="226"/>
      <c r="T322" s="226"/>
    </row>
    <row r="323" spans="1:20">
      <c r="A323" s="237">
        <v>45665</v>
      </c>
      <c r="B323" s="160" t="str">
        <f>TEXT(Table1[[#This Row],[التاريخ ]],"DDD")</f>
        <v>Wed</v>
      </c>
      <c r="C323" s="160" t="str">
        <f>IF(Table1[[#This Row],[التاريخ ]]="","",TEXT(Table1[[#This Row],[التاريخ ]],"mmm"))</f>
        <v>Jan</v>
      </c>
      <c r="D323" s="161" t="s">
        <v>810</v>
      </c>
      <c r="G323" s="226">
        <v>137</v>
      </c>
      <c r="H323" s="227" t="str">
        <f>VLOOKUP(G:G,'[10]قاعدة بيانات  '!J:K,2,0)</f>
        <v>محمد وفيق إبراهيم عبد المعطى</v>
      </c>
      <c r="I323" s="226" t="s">
        <v>106</v>
      </c>
      <c r="J323" s="226" t="s">
        <v>111</v>
      </c>
      <c r="K323" s="226" t="s">
        <v>116</v>
      </c>
      <c r="L323" s="164">
        <v>170</v>
      </c>
      <c r="M323" s="165"/>
      <c r="N323" s="165"/>
      <c r="Q323" s="166">
        <v>164</v>
      </c>
      <c r="R323" s="163">
        <f>R322+Table1[[#This Row],[الوارد ]]-Table1[[#This Row],[المنصرف ]]</f>
        <v>733181.91941648605</v>
      </c>
      <c r="S323" s="226"/>
      <c r="T323" s="226"/>
    </row>
    <row r="324" spans="1:20">
      <c r="A324" s="237">
        <v>45665</v>
      </c>
      <c r="B324" s="160" t="str">
        <f>TEXT(Table1[[#This Row],[التاريخ ]],"DDD")</f>
        <v>Wed</v>
      </c>
      <c r="C324" s="160" t="str">
        <f>IF(Table1[[#This Row],[التاريخ ]]="","",TEXT(Table1[[#This Row],[التاريخ ]],"mmm"))</f>
        <v>Jan</v>
      </c>
      <c r="D324" s="161" t="s">
        <v>811</v>
      </c>
      <c r="G324" s="226">
        <v>509</v>
      </c>
      <c r="H324" s="227" t="str">
        <f>VLOOKUP(G:G,'[10]قاعدة بيانات  '!J:K,2,0)</f>
        <v xml:space="preserve">كريم اشرف فاروق </v>
      </c>
      <c r="I324" s="226" t="s">
        <v>107</v>
      </c>
      <c r="J324" s="226" t="s">
        <v>111</v>
      </c>
      <c r="K324" s="226" t="s">
        <v>116</v>
      </c>
      <c r="L324" s="164">
        <v>171</v>
      </c>
      <c r="M324" s="165"/>
      <c r="N324" s="165"/>
      <c r="Q324" s="166">
        <v>165</v>
      </c>
      <c r="R324" s="163">
        <f>R323+Table1[[#This Row],[الوارد ]]-Table1[[#This Row],[المنصرف ]]</f>
        <v>733016.91941648605</v>
      </c>
      <c r="S324" s="226"/>
      <c r="T324" s="226"/>
    </row>
    <row r="325" spans="1:20">
      <c r="A325" s="237">
        <v>45665</v>
      </c>
      <c r="B325" s="160" t="str">
        <f>TEXT(Table1[[#This Row],[التاريخ ]],"DDD")</f>
        <v>Wed</v>
      </c>
      <c r="C325" s="160" t="str">
        <f>IF(Table1[[#This Row],[التاريخ ]]="","",TEXT(Table1[[#This Row],[التاريخ ]],"mmm"))</f>
        <v>Jan</v>
      </c>
      <c r="D325" s="161" t="s">
        <v>811</v>
      </c>
      <c r="G325" s="226">
        <v>509</v>
      </c>
      <c r="H325" s="227" t="str">
        <f>VLOOKUP(G:G,'[10]قاعدة بيانات  '!J:K,2,0)</f>
        <v xml:space="preserve">كريم اشرف فاروق </v>
      </c>
      <c r="I325" s="226" t="s">
        <v>107</v>
      </c>
      <c r="J325" s="226" t="s">
        <v>111</v>
      </c>
      <c r="K325" s="226" t="s">
        <v>116</v>
      </c>
      <c r="L325" s="164">
        <v>172</v>
      </c>
      <c r="M325" s="165"/>
      <c r="N325" s="165"/>
      <c r="Q325" s="166">
        <v>155</v>
      </c>
      <c r="R325" s="163">
        <f>R324+Table1[[#This Row],[الوارد ]]-Table1[[#This Row],[المنصرف ]]</f>
        <v>732861.91941648605</v>
      </c>
      <c r="S325" s="226"/>
      <c r="T325" s="226"/>
    </row>
    <row r="326" spans="1:20">
      <c r="A326" s="237">
        <v>45665</v>
      </c>
      <c r="B326" s="160" t="str">
        <f>TEXT(Table1[[#This Row],[التاريخ ]],"DDD")</f>
        <v>Wed</v>
      </c>
      <c r="C326" s="160" t="str">
        <f>IF(Table1[[#This Row],[التاريخ ]]="","",TEXT(Table1[[#This Row],[التاريخ ]],"mmm"))</f>
        <v>Jan</v>
      </c>
      <c r="D326" s="161" t="s">
        <v>812</v>
      </c>
      <c r="G326" s="226">
        <v>289</v>
      </c>
      <c r="H326" s="227" t="str">
        <f>VLOOKUP(G:G,'[10]قاعدة بيانات  '!J:K,2,0)</f>
        <v>صبري عبد الهادي عبد الهادي</v>
      </c>
      <c r="I326" s="226" t="s">
        <v>199</v>
      </c>
      <c r="J326" s="226" t="s">
        <v>111</v>
      </c>
      <c r="K326" s="226" t="s">
        <v>127</v>
      </c>
      <c r="L326" s="164">
        <v>173</v>
      </c>
      <c r="M326" s="165"/>
      <c r="N326" s="165"/>
      <c r="Q326" s="166">
        <v>140</v>
      </c>
      <c r="R326" s="163">
        <f>R325+Table1[[#This Row],[الوارد ]]-Table1[[#This Row],[المنصرف ]]</f>
        <v>732721.91941648605</v>
      </c>
      <c r="S326" s="226"/>
      <c r="T326" s="226"/>
    </row>
    <row r="327" spans="1:20">
      <c r="A327" s="237">
        <v>45668</v>
      </c>
      <c r="B327" s="160" t="str">
        <f>TEXT(Table1[[#This Row],[التاريخ ]],"DDD")</f>
        <v>Sat</v>
      </c>
      <c r="C327" s="160" t="str">
        <f>IF(Table1[[#This Row],[التاريخ ]]="","",TEXT(Table1[[#This Row],[التاريخ ]],"mmm"))</f>
        <v>Jan</v>
      </c>
      <c r="D327" s="161" t="s">
        <v>813</v>
      </c>
      <c r="G327" s="226">
        <v>494</v>
      </c>
      <c r="H327" s="227" t="str">
        <f>VLOOKUP(G:G,'[10]قاعدة بيانات  '!J:K,2,0)</f>
        <v xml:space="preserve">محمود عبدالمنعم محمد إبراهيم </v>
      </c>
      <c r="I327" s="226" t="s">
        <v>107</v>
      </c>
      <c r="J327" s="226" t="s">
        <v>111</v>
      </c>
      <c r="K327" s="226" t="s">
        <v>116</v>
      </c>
      <c r="L327" s="164">
        <v>174</v>
      </c>
      <c r="M327" s="165"/>
      <c r="N327" s="165"/>
      <c r="Q327" s="166">
        <v>130.5</v>
      </c>
      <c r="R327" s="163">
        <f>R326+Table1[[#This Row],[الوارد ]]-Table1[[#This Row],[المنصرف ]]</f>
        <v>732591.41941648605</v>
      </c>
      <c r="S327" s="226"/>
      <c r="T327" s="226"/>
    </row>
    <row r="328" spans="1:20">
      <c r="A328" s="237">
        <v>45668</v>
      </c>
      <c r="B328" s="160" t="str">
        <f>TEXT(Table1[[#This Row],[التاريخ ]],"DDD")</f>
        <v>Sat</v>
      </c>
      <c r="C328" s="160" t="str">
        <f>IF(Table1[[#This Row],[التاريخ ]]="","",TEXT(Table1[[#This Row],[التاريخ ]],"mmm"))</f>
        <v>Jan</v>
      </c>
      <c r="D328" s="161" t="s">
        <v>814</v>
      </c>
      <c r="G328" s="226">
        <v>507</v>
      </c>
      <c r="H328" s="227" t="str">
        <f>VLOOKUP(G:G,'[10]قاعدة بيانات  '!J:K,2,0)</f>
        <v xml:space="preserve">محمد حسن علي عباس </v>
      </c>
      <c r="I328" s="226" t="s">
        <v>98</v>
      </c>
      <c r="J328" s="226" t="s">
        <v>111</v>
      </c>
      <c r="K328" s="226" t="s">
        <v>815</v>
      </c>
      <c r="L328" s="164">
        <v>175</v>
      </c>
      <c r="M328" s="165"/>
      <c r="N328" s="165"/>
      <c r="Q328" s="166">
        <v>42.5</v>
      </c>
      <c r="R328" s="163">
        <f>R327+Table1[[#This Row],[الوارد ]]-Table1[[#This Row],[المنصرف ]]</f>
        <v>732548.91941648605</v>
      </c>
      <c r="S328" s="226"/>
      <c r="T328" s="226"/>
    </row>
    <row r="329" spans="1:20">
      <c r="A329" s="237">
        <v>45668</v>
      </c>
      <c r="B329" s="160" t="str">
        <f>TEXT(Table1[[#This Row],[التاريخ ]],"DDD")</f>
        <v>Sat</v>
      </c>
      <c r="C329" s="160" t="str">
        <f>IF(Table1[[#This Row],[التاريخ ]]="","",TEXT(Table1[[#This Row],[التاريخ ]],"mmm"))</f>
        <v>Jan</v>
      </c>
      <c r="D329" s="161" t="s">
        <v>814</v>
      </c>
      <c r="G329" s="226">
        <v>507</v>
      </c>
      <c r="H329" s="227" t="str">
        <f>VLOOKUP(G:G,'[10]قاعدة بيانات  '!J:K,2,0)</f>
        <v xml:space="preserve">محمد حسن علي عباس </v>
      </c>
      <c r="I329" s="226" t="s">
        <v>98</v>
      </c>
      <c r="J329" s="226" t="s">
        <v>111</v>
      </c>
      <c r="K329" s="226" t="s">
        <v>815</v>
      </c>
      <c r="L329" s="164">
        <v>176</v>
      </c>
      <c r="M329" s="165"/>
      <c r="N329" s="165"/>
      <c r="Q329" s="166">
        <v>83</v>
      </c>
      <c r="R329" s="163">
        <f>R328+Table1[[#This Row],[الوارد ]]-Table1[[#This Row],[المنصرف ]]</f>
        <v>732465.91941648605</v>
      </c>
      <c r="S329" s="226"/>
      <c r="T329" s="226"/>
    </row>
    <row r="330" spans="1:20">
      <c r="A330" s="237">
        <v>45668</v>
      </c>
      <c r="B330" s="160" t="str">
        <f>TEXT(Table1[[#This Row],[التاريخ ]],"DDD")</f>
        <v>Sat</v>
      </c>
      <c r="C330" s="160" t="str">
        <f>IF(Table1[[#This Row],[التاريخ ]]="","",TEXT(Table1[[#This Row],[التاريخ ]],"mmm"))</f>
        <v>Jan</v>
      </c>
      <c r="D330" s="161" t="s">
        <v>816</v>
      </c>
      <c r="G330" s="226">
        <v>503</v>
      </c>
      <c r="H330" s="227" t="str">
        <f>VLOOKUP(G:G,'[10]قاعدة بيانات  '!J:K,2,0)</f>
        <v xml:space="preserve">اسلام احمد محمود </v>
      </c>
      <c r="I330" s="226" t="s">
        <v>798</v>
      </c>
      <c r="J330" s="226" t="s">
        <v>111</v>
      </c>
      <c r="K330" s="226" t="s">
        <v>116</v>
      </c>
      <c r="L330" s="164">
        <v>177</v>
      </c>
      <c r="M330" s="165"/>
      <c r="N330" s="165"/>
      <c r="Q330" s="166">
        <v>74</v>
      </c>
      <c r="R330" s="163">
        <f>R329+Table1[[#This Row],[الوارد ]]-Table1[[#This Row],[المنصرف ]]</f>
        <v>732391.91941648605</v>
      </c>
      <c r="S330" s="226"/>
      <c r="T330" s="226"/>
    </row>
    <row r="331" spans="1:20">
      <c r="A331" s="237">
        <v>45668</v>
      </c>
      <c r="B331" s="160" t="str">
        <f>TEXT(Table1[[#This Row],[التاريخ ]],"DDD")</f>
        <v>Sat</v>
      </c>
      <c r="C331" s="160" t="str">
        <f>IF(Table1[[#This Row],[التاريخ ]]="","",TEXT(Table1[[#This Row],[التاريخ ]],"mmm"))</f>
        <v>Jan</v>
      </c>
      <c r="D331" s="161" t="s">
        <v>816</v>
      </c>
      <c r="G331" s="226">
        <v>503</v>
      </c>
      <c r="H331" s="227" t="str">
        <f>VLOOKUP(G:G,'[10]قاعدة بيانات  '!J:K,2,0)</f>
        <v xml:space="preserve">اسلام احمد محمود </v>
      </c>
      <c r="I331" s="226" t="s">
        <v>798</v>
      </c>
      <c r="J331" s="226" t="s">
        <v>111</v>
      </c>
      <c r="K331" s="226" t="s">
        <v>116</v>
      </c>
      <c r="L331" s="164">
        <v>178</v>
      </c>
      <c r="M331" s="165"/>
      <c r="N331" s="165"/>
      <c r="Q331" s="166">
        <v>52.5</v>
      </c>
      <c r="R331" s="163">
        <f>R330+Table1[[#This Row],[الوارد ]]-Table1[[#This Row],[المنصرف ]]</f>
        <v>732339.41941648605</v>
      </c>
      <c r="S331" s="226"/>
      <c r="T331" s="226"/>
    </row>
    <row r="332" spans="1:20">
      <c r="A332" s="237">
        <v>45668</v>
      </c>
      <c r="B332" s="160" t="str">
        <f>TEXT(Table1[[#This Row],[التاريخ ]],"DDD")</f>
        <v>Sat</v>
      </c>
      <c r="C332" s="160" t="str">
        <f>IF(Table1[[#This Row],[التاريخ ]]="","",TEXT(Table1[[#This Row],[التاريخ ]],"mmm"))</f>
        <v>Jan</v>
      </c>
      <c r="D332" s="161" t="s">
        <v>816</v>
      </c>
      <c r="G332" s="226">
        <v>503</v>
      </c>
      <c r="H332" s="227" t="str">
        <f>VLOOKUP(G:G,'[10]قاعدة بيانات  '!J:K,2,0)</f>
        <v xml:space="preserve">اسلام احمد محمود </v>
      </c>
      <c r="I332" s="226" t="s">
        <v>798</v>
      </c>
      <c r="J332" s="226" t="s">
        <v>111</v>
      </c>
      <c r="K332" s="226" t="s">
        <v>116</v>
      </c>
      <c r="L332" s="164">
        <v>179</v>
      </c>
      <c r="M332" s="165"/>
      <c r="N332" s="165"/>
      <c r="Q332" s="166">
        <v>10.5</v>
      </c>
      <c r="R332" s="163">
        <f>R331+Table1[[#This Row],[الوارد ]]-Table1[[#This Row],[المنصرف ]]</f>
        <v>732328.91941648605</v>
      </c>
      <c r="S332" s="226"/>
      <c r="T332" s="226"/>
    </row>
    <row r="333" spans="1:20">
      <c r="A333" s="237">
        <v>45668</v>
      </c>
      <c r="B333" s="160" t="str">
        <f>TEXT(Table1[[#This Row],[التاريخ ]],"DDD")</f>
        <v>Sat</v>
      </c>
      <c r="C333" s="160" t="str">
        <f>IF(Table1[[#This Row],[التاريخ ]]="","",TEXT(Table1[[#This Row],[التاريخ ]],"mmm"))</f>
        <v>Jan</v>
      </c>
      <c r="D333" s="161" t="s">
        <v>116</v>
      </c>
      <c r="G333" s="226">
        <v>503</v>
      </c>
      <c r="H333" s="227" t="str">
        <f>VLOOKUP(G:G,'[10]قاعدة بيانات  '!J:K,2,0)</f>
        <v xml:space="preserve">اسلام احمد محمود </v>
      </c>
      <c r="I333" s="226" t="s">
        <v>199</v>
      </c>
      <c r="J333" s="226" t="s">
        <v>111</v>
      </c>
      <c r="K333" s="226" t="s">
        <v>116</v>
      </c>
      <c r="L333" s="164">
        <v>180</v>
      </c>
      <c r="M333" s="165"/>
      <c r="N333" s="165"/>
      <c r="Q333" s="166">
        <v>56</v>
      </c>
      <c r="R333" s="163">
        <f>R332+Table1[[#This Row],[الوارد ]]-Table1[[#This Row],[المنصرف ]]</f>
        <v>732272.91941648605</v>
      </c>
      <c r="S333" s="226"/>
      <c r="T333" s="226"/>
    </row>
    <row r="334" spans="1:20">
      <c r="A334" s="237">
        <v>45668</v>
      </c>
      <c r="B334" s="160" t="str">
        <f>TEXT(Table1[[#This Row],[التاريخ ]],"DDD")</f>
        <v>Sat</v>
      </c>
      <c r="C334" s="160" t="str">
        <f>IF(Table1[[#This Row],[التاريخ ]]="","",TEXT(Table1[[#This Row],[التاريخ ]],"mmm"))</f>
        <v>Jan</v>
      </c>
      <c r="D334" s="161" t="s">
        <v>816</v>
      </c>
      <c r="G334" s="226">
        <v>127</v>
      </c>
      <c r="H334" s="227" t="str">
        <f>VLOOKUP(G:G,'[10]قاعدة بيانات  '!J:K,2,0)</f>
        <v>احمد عوض عباس عوض كشك</v>
      </c>
      <c r="I334" s="226" t="s">
        <v>199</v>
      </c>
      <c r="J334" s="226" t="s">
        <v>111</v>
      </c>
      <c r="K334" s="226" t="s">
        <v>116</v>
      </c>
      <c r="L334" s="164">
        <v>181</v>
      </c>
      <c r="M334" s="165"/>
      <c r="N334" s="165"/>
      <c r="Q334" s="166">
        <v>129</v>
      </c>
      <c r="R334" s="163">
        <f>R333+Table1[[#This Row],[الوارد ]]-Table1[[#This Row],[المنصرف ]]</f>
        <v>732143.91941648605</v>
      </c>
      <c r="S334" s="226"/>
      <c r="T334" s="226"/>
    </row>
    <row r="335" spans="1:20">
      <c r="A335" s="237">
        <v>45668</v>
      </c>
      <c r="B335" s="160" t="str">
        <f>TEXT(Table1[[#This Row],[التاريخ ]],"DDD")</f>
        <v>Sat</v>
      </c>
      <c r="C335" s="160" t="str">
        <f>IF(Table1[[#This Row],[التاريخ ]]="","",TEXT(Table1[[#This Row],[التاريخ ]],"mmm"))</f>
        <v>Jan</v>
      </c>
      <c r="D335" s="161" t="s">
        <v>817</v>
      </c>
      <c r="G335" s="226">
        <v>129</v>
      </c>
      <c r="H335" s="227" t="str">
        <f>VLOOKUP(G:G,'[10]قاعدة بيانات  '!J:K,2,0)</f>
        <v>نانسى يوسف عزيز يوسف</v>
      </c>
      <c r="I335" s="226" t="s">
        <v>199</v>
      </c>
      <c r="J335" s="226" t="s">
        <v>111</v>
      </c>
      <c r="K335" s="226" t="s">
        <v>128</v>
      </c>
      <c r="L335" s="164">
        <v>182</v>
      </c>
      <c r="M335" s="165"/>
      <c r="N335" s="165"/>
      <c r="Q335" s="166">
        <v>400</v>
      </c>
      <c r="R335" s="163">
        <f>R334+Table1[[#This Row],[الوارد ]]-Table1[[#This Row],[المنصرف ]]</f>
        <v>731743.91941648605</v>
      </c>
      <c r="S335" s="226"/>
      <c r="T335" s="226"/>
    </row>
    <row r="336" spans="1:20">
      <c r="A336" s="237">
        <v>45668</v>
      </c>
      <c r="B336" s="160" t="str">
        <f>TEXT(Table1[[#This Row],[التاريخ ]],"DDD")</f>
        <v>Sat</v>
      </c>
      <c r="C336" s="160" t="str">
        <f>IF(Table1[[#This Row],[التاريخ ]]="","",TEXT(Table1[[#This Row],[التاريخ ]],"mmm"))</f>
        <v>Jan</v>
      </c>
      <c r="D336" s="161" t="s">
        <v>818</v>
      </c>
      <c r="G336" s="226">
        <v>294</v>
      </c>
      <c r="H336" s="227" t="str">
        <f>VLOOKUP(G:G,'[10]قاعدة بيانات  '!J:K,2,0)</f>
        <v>باسم ناجي سعد</v>
      </c>
      <c r="I336" s="226" t="s">
        <v>199</v>
      </c>
      <c r="J336" s="226" t="s">
        <v>111</v>
      </c>
      <c r="K336" s="226" t="s">
        <v>116</v>
      </c>
      <c r="L336" s="164">
        <v>183</v>
      </c>
      <c r="M336" s="165"/>
      <c r="N336" s="165"/>
      <c r="Q336" s="166">
        <v>14</v>
      </c>
      <c r="R336" s="163">
        <f>R335+Table1[[#This Row],[الوارد ]]-Table1[[#This Row],[المنصرف ]]</f>
        <v>731729.91941648605</v>
      </c>
      <c r="S336" s="226"/>
      <c r="T336" s="226"/>
    </row>
    <row r="337" spans="1:20">
      <c r="A337" s="237">
        <v>45668</v>
      </c>
      <c r="B337" s="160" t="str">
        <f>TEXT(Table1[[#This Row],[التاريخ ]],"DDD")</f>
        <v>Sat</v>
      </c>
      <c r="C337" s="160" t="str">
        <f>IF(Table1[[#This Row],[التاريخ ]]="","",TEXT(Table1[[#This Row],[التاريخ ]],"mmm"))</f>
        <v>Jan</v>
      </c>
      <c r="D337" s="161" t="s">
        <v>819</v>
      </c>
      <c r="G337" s="226">
        <v>294</v>
      </c>
      <c r="H337" s="227" t="str">
        <f>VLOOKUP(G:G,'[10]قاعدة بيانات  '!J:K,2,0)</f>
        <v>باسم ناجي سعد</v>
      </c>
      <c r="I337" s="226" t="s">
        <v>199</v>
      </c>
      <c r="J337" s="226" t="s">
        <v>111</v>
      </c>
      <c r="K337" s="226" t="s">
        <v>133</v>
      </c>
      <c r="L337" s="164">
        <v>184</v>
      </c>
      <c r="M337" s="165"/>
      <c r="N337" s="165"/>
      <c r="Q337" s="166">
        <v>15971.74</v>
      </c>
      <c r="R337" s="163">
        <f>R336+Table1[[#This Row],[الوارد ]]-Table1[[#This Row],[المنصرف ]]</f>
        <v>715758.17941648606</v>
      </c>
      <c r="S337" s="226"/>
      <c r="T337" s="226"/>
    </row>
    <row r="338" spans="1:20">
      <c r="A338" s="237">
        <v>45669</v>
      </c>
      <c r="B338" s="160" t="str">
        <f>TEXT(Table1[[#This Row],[التاريخ ]],"DDD")</f>
        <v>Sun</v>
      </c>
      <c r="C338" s="160" t="str">
        <f>IF(Table1[[#This Row],[التاريخ ]]="","",TEXT(Table1[[#This Row],[التاريخ ]],"mmm"))</f>
        <v>Jan</v>
      </c>
      <c r="D338" s="161" t="s">
        <v>820</v>
      </c>
      <c r="G338" s="226">
        <v>402</v>
      </c>
      <c r="H338" s="227" t="str">
        <f>VLOOKUP(G:G,'[10]قاعدة بيانات  '!J:K,2,0)</f>
        <v xml:space="preserve">ياسر عبد الحكيم حمزه </v>
      </c>
      <c r="I338" s="226" t="s">
        <v>199</v>
      </c>
      <c r="J338" s="226" t="s">
        <v>111</v>
      </c>
      <c r="K338" s="226" t="s">
        <v>131</v>
      </c>
      <c r="L338" s="164">
        <v>185</v>
      </c>
      <c r="M338" s="165"/>
      <c r="N338" s="165"/>
      <c r="Q338" s="166">
        <v>3300</v>
      </c>
      <c r="R338" s="163">
        <f>R337+Table1[[#This Row],[الوارد ]]-Table1[[#This Row],[المنصرف ]]</f>
        <v>712458.17941648606</v>
      </c>
      <c r="S338" s="226"/>
      <c r="T338" s="226"/>
    </row>
    <row r="339" spans="1:20">
      <c r="A339" s="237">
        <v>45669</v>
      </c>
      <c r="B339" s="160" t="str">
        <f>TEXT(Table1[[#This Row],[التاريخ ]],"DDD")</f>
        <v>Sun</v>
      </c>
      <c r="C339" s="160" t="str">
        <f>IF(Table1[[#This Row],[التاريخ ]]="","",TEXT(Table1[[#This Row],[التاريخ ]],"mmm"))</f>
        <v>Jan</v>
      </c>
      <c r="D339" s="161" t="s">
        <v>821</v>
      </c>
      <c r="G339" s="226">
        <v>402</v>
      </c>
      <c r="H339" s="227" t="str">
        <f>VLOOKUP(G:G,'[10]قاعدة بيانات  '!J:K,2,0)</f>
        <v xml:space="preserve">ياسر عبد الحكيم حمزه </v>
      </c>
      <c r="I339" s="226" t="s">
        <v>199</v>
      </c>
      <c r="J339" s="226" t="s">
        <v>111</v>
      </c>
      <c r="K339" s="226" t="s">
        <v>133</v>
      </c>
      <c r="L339" s="164">
        <v>186</v>
      </c>
      <c r="M339" s="165"/>
      <c r="N339" s="165"/>
      <c r="Q339" s="166">
        <v>512.04999999999995</v>
      </c>
      <c r="R339" s="163">
        <f>R338+Table1[[#This Row],[الوارد ]]-Table1[[#This Row],[المنصرف ]]</f>
        <v>711946.12941648602</v>
      </c>
      <c r="S339" s="226"/>
      <c r="T339" s="226"/>
    </row>
    <row r="340" spans="1:20">
      <c r="A340" s="237">
        <v>45669</v>
      </c>
      <c r="B340" s="160" t="str">
        <f>TEXT(Table1[[#This Row],[التاريخ ]],"DDD")</f>
        <v>Sun</v>
      </c>
      <c r="C340" s="160" t="str">
        <f>IF(Table1[[#This Row],[التاريخ ]]="","",TEXT(Table1[[#This Row],[التاريخ ]],"mmm"))</f>
        <v>Jan</v>
      </c>
      <c r="D340" s="161" t="s">
        <v>822</v>
      </c>
      <c r="G340" s="226">
        <v>494</v>
      </c>
      <c r="H340" s="227" t="str">
        <f>VLOOKUP(G:G,'[10]قاعدة بيانات  '!J:K,2,0)</f>
        <v xml:space="preserve">محمود عبدالمنعم محمد إبراهيم </v>
      </c>
      <c r="I340" s="226" t="s">
        <v>199</v>
      </c>
      <c r="J340" s="226" t="s">
        <v>111</v>
      </c>
      <c r="K340" s="226" t="s">
        <v>133</v>
      </c>
      <c r="L340" s="164">
        <v>187</v>
      </c>
      <c r="M340" s="165"/>
      <c r="N340" s="165"/>
      <c r="Q340" s="166">
        <v>526.98</v>
      </c>
      <c r="R340" s="163">
        <f>R339+Table1[[#This Row],[الوارد ]]-Table1[[#This Row],[المنصرف ]]</f>
        <v>711419.14941648603</v>
      </c>
      <c r="S340" s="226"/>
      <c r="T340" s="226"/>
    </row>
    <row r="341" spans="1:20">
      <c r="A341" s="237">
        <v>45669</v>
      </c>
      <c r="B341" s="160" t="str">
        <f>TEXT(Table1[[#This Row],[التاريخ ]],"DDD")</f>
        <v>Sun</v>
      </c>
      <c r="C341" s="160" t="str">
        <f>IF(Table1[[#This Row],[التاريخ ]]="","",TEXT(Table1[[#This Row],[التاريخ ]],"mmm"))</f>
        <v>Jan</v>
      </c>
      <c r="D341" s="161" t="s">
        <v>823</v>
      </c>
      <c r="G341" s="226">
        <v>345</v>
      </c>
      <c r="H341" s="227" t="str">
        <f>VLOOKUP(G:G,'[10]قاعدة بيانات  '!J:K,2,0)</f>
        <v>دعاء محمد عثمان</v>
      </c>
      <c r="I341" s="226" t="s">
        <v>199</v>
      </c>
      <c r="J341" s="226" t="s">
        <v>111</v>
      </c>
      <c r="K341" s="226" t="s">
        <v>133</v>
      </c>
      <c r="L341" s="164">
        <v>188</v>
      </c>
      <c r="M341" s="165"/>
      <c r="N341" s="165"/>
      <c r="Q341" s="166">
        <v>1365.57</v>
      </c>
      <c r="R341" s="163">
        <f>R340+Table1[[#This Row],[الوارد ]]-Table1[[#This Row],[المنصرف ]]</f>
        <v>710053.57941648609</v>
      </c>
      <c r="S341" s="226"/>
      <c r="T341" s="226"/>
    </row>
    <row r="342" spans="1:20">
      <c r="A342" s="237">
        <v>45669</v>
      </c>
      <c r="B342" s="160" t="str">
        <f>TEXT(Table1[[#This Row],[التاريخ ]],"DDD")</f>
        <v>Sun</v>
      </c>
      <c r="C342" s="160" t="str">
        <f>IF(Table1[[#This Row],[التاريخ ]]="","",TEXT(Table1[[#This Row],[التاريخ ]],"mmm"))</f>
        <v>Jan</v>
      </c>
      <c r="D342" s="161" t="s">
        <v>824</v>
      </c>
      <c r="G342" s="226">
        <v>466</v>
      </c>
      <c r="H342" s="227" t="str">
        <f>VLOOKUP(G:G,'[10]قاعدة بيانات  '!J:K,2,0)</f>
        <v xml:space="preserve">فاطمة محمود سلامه </v>
      </c>
      <c r="I342" s="226" t="s">
        <v>199</v>
      </c>
      <c r="J342" s="226" t="s">
        <v>111</v>
      </c>
      <c r="K342" s="226" t="s">
        <v>133</v>
      </c>
      <c r="L342" s="164">
        <v>189</v>
      </c>
      <c r="M342" s="165"/>
      <c r="N342" s="165"/>
      <c r="Q342" s="166">
        <v>988.88</v>
      </c>
      <c r="R342" s="163">
        <f>R341+Table1[[#This Row],[الوارد ]]-Table1[[#This Row],[المنصرف ]]</f>
        <v>709064.69941648608</v>
      </c>
      <c r="S342" s="226"/>
      <c r="T342" s="226"/>
    </row>
    <row r="343" spans="1:20">
      <c r="A343" s="237">
        <v>45669</v>
      </c>
      <c r="B343" s="160" t="str">
        <f>TEXT(Table1[[#This Row],[التاريخ ]],"DDD")</f>
        <v>Sun</v>
      </c>
      <c r="C343" s="160" t="str">
        <f>IF(Table1[[#This Row],[التاريخ ]]="","",TEXT(Table1[[#This Row],[التاريخ ]],"mmm"))</f>
        <v>Jan</v>
      </c>
      <c r="D343" s="161" t="s">
        <v>825</v>
      </c>
      <c r="G343" s="226">
        <v>294</v>
      </c>
      <c r="H343" s="227" t="str">
        <f>VLOOKUP(G:G,'[10]قاعدة بيانات  '!J:K,2,0)</f>
        <v>باسم ناجي سعد</v>
      </c>
      <c r="I343" s="226" t="s">
        <v>199</v>
      </c>
      <c r="J343" s="226" t="s">
        <v>111</v>
      </c>
      <c r="K343" s="226" t="s">
        <v>319</v>
      </c>
      <c r="L343" s="164">
        <v>190</v>
      </c>
      <c r="M343" s="165"/>
      <c r="N343" s="165"/>
      <c r="Q343" s="166">
        <v>50.5</v>
      </c>
      <c r="R343" s="163">
        <f>R342+Table1[[#This Row],[الوارد ]]-Table1[[#This Row],[المنصرف ]]</f>
        <v>709014.19941648608</v>
      </c>
      <c r="S343" s="226"/>
      <c r="T343" s="226"/>
    </row>
    <row r="344" spans="1:20">
      <c r="A344" s="237">
        <v>45670</v>
      </c>
      <c r="B344" s="160" t="str">
        <f>TEXT(Table1[[#This Row],[التاريخ ]],"DDD")</f>
        <v>Mon</v>
      </c>
      <c r="C344" s="160" t="str">
        <f>IF(Table1[[#This Row],[التاريخ ]]="","",TEXT(Table1[[#This Row],[التاريخ ]],"mmm"))</f>
        <v>Jan</v>
      </c>
      <c r="D344" s="161" t="s">
        <v>826</v>
      </c>
      <c r="G344" s="226">
        <v>302</v>
      </c>
      <c r="H344" s="227" t="str">
        <f>VLOOKUP(G:G,'[10]قاعدة بيانات  '!J:K,2,0)</f>
        <v>مي سيد إبراهيم</v>
      </c>
      <c r="I344" s="226" t="s">
        <v>199</v>
      </c>
      <c r="J344" s="226" t="s">
        <v>111</v>
      </c>
      <c r="K344" s="226" t="s">
        <v>133</v>
      </c>
      <c r="L344" s="164">
        <v>191</v>
      </c>
      <c r="M344" s="165"/>
      <c r="N344" s="165"/>
      <c r="Q344" s="166">
        <v>703.57</v>
      </c>
      <c r="R344" s="163">
        <f>R343+Table1[[#This Row],[الوارد ]]-Table1[[#This Row],[المنصرف ]]</f>
        <v>708310.62941648613</v>
      </c>
      <c r="S344" s="226"/>
      <c r="T344" s="226"/>
    </row>
    <row r="345" spans="1:20">
      <c r="A345" s="237">
        <v>45670</v>
      </c>
      <c r="B345" s="160" t="str">
        <f>TEXT(Table1[[#This Row],[التاريخ ]],"DDD")</f>
        <v>Mon</v>
      </c>
      <c r="C345" s="160" t="str">
        <f>IF(Table1[[#This Row],[التاريخ ]]="","",TEXT(Table1[[#This Row],[التاريخ ]],"mmm"))</f>
        <v>Jan</v>
      </c>
      <c r="D345" s="161" t="s">
        <v>827</v>
      </c>
      <c r="G345" s="226">
        <v>289</v>
      </c>
      <c r="H345" s="227" t="str">
        <f>VLOOKUP(G:G,'[10]قاعدة بيانات  '!J:K,2,0)</f>
        <v>صبري عبد الهادي عبد الهادي</v>
      </c>
      <c r="I345" s="226" t="s">
        <v>199</v>
      </c>
      <c r="J345" s="226" t="s">
        <v>111</v>
      </c>
      <c r="K345" s="226" t="s">
        <v>116</v>
      </c>
      <c r="L345" s="164">
        <v>192</v>
      </c>
      <c r="M345" s="165"/>
      <c r="N345" s="165"/>
      <c r="Q345" s="166">
        <v>10.5</v>
      </c>
      <c r="R345" s="163">
        <f>R344+Table1[[#This Row],[الوارد ]]-Table1[[#This Row],[المنصرف ]]</f>
        <v>708300.12941648613</v>
      </c>
      <c r="S345" s="226"/>
      <c r="T345" s="226"/>
    </row>
    <row r="346" spans="1:20">
      <c r="A346" s="237">
        <v>45671</v>
      </c>
      <c r="B346" s="160" t="str">
        <f>TEXT(Table1[[#This Row],[التاريخ ]],"DDD")</f>
        <v>Tue</v>
      </c>
      <c r="C346" s="160" t="str">
        <f>IF(Table1[[#This Row],[التاريخ ]]="","",TEXT(Table1[[#This Row],[التاريخ ]],"mmm"))</f>
        <v>Jan</v>
      </c>
      <c r="D346" s="161" t="s">
        <v>828</v>
      </c>
      <c r="G346" s="226">
        <v>478</v>
      </c>
      <c r="H346" s="227" t="str">
        <f>VLOOKUP(G:G,'[10]قاعدة بيانات  '!J:K,2,0)</f>
        <v xml:space="preserve">محمد السيد محمد الدسوقي </v>
      </c>
      <c r="I346" s="226" t="s">
        <v>199</v>
      </c>
      <c r="J346" s="226" t="s">
        <v>111</v>
      </c>
      <c r="K346" s="226" t="s">
        <v>133</v>
      </c>
      <c r="L346" s="164">
        <v>193</v>
      </c>
      <c r="M346" s="165"/>
      <c r="N346" s="165"/>
      <c r="Q346" s="166">
        <v>2420.6</v>
      </c>
      <c r="R346" s="163">
        <f>R345+Table1[[#This Row],[الوارد ]]-Table1[[#This Row],[المنصرف ]]</f>
        <v>705879.52941648616</v>
      </c>
      <c r="S346" s="226"/>
      <c r="T346" s="226"/>
    </row>
    <row r="347" spans="1:20">
      <c r="A347" s="237">
        <v>45671</v>
      </c>
      <c r="B347" s="160" t="str">
        <f>TEXT(Table1[[#This Row],[التاريخ ]],"DDD")</f>
        <v>Tue</v>
      </c>
      <c r="C347" s="160" t="str">
        <f>IF(Table1[[#This Row],[التاريخ ]]="","",TEXT(Table1[[#This Row],[التاريخ ]],"mmm"))</f>
        <v>Jan</v>
      </c>
      <c r="D347" s="161" t="s">
        <v>829</v>
      </c>
      <c r="G347" s="226">
        <v>312</v>
      </c>
      <c r="H347" s="227" t="str">
        <f>VLOOKUP(G:G,'[10]قاعدة بيانات  '!J:K,2,0)</f>
        <v>نيره محمد يوسف</v>
      </c>
      <c r="I347" s="226" t="s">
        <v>199</v>
      </c>
      <c r="J347" s="226" t="s">
        <v>111</v>
      </c>
      <c r="K347" s="226" t="s">
        <v>133</v>
      </c>
      <c r="L347" s="164">
        <v>194</v>
      </c>
      <c r="M347" s="165"/>
      <c r="N347" s="165"/>
      <c r="Q347" s="166">
        <v>2173.27</v>
      </c>
      <c r="R347" s="163">
        <f>R346+Table1[[#This Row],[الوارد ]]-Table1[[#This Row],[المنصرف ]]</f>
        <v>703706.25941648614</v>
      </c>
      <c r="S347" s="226"/>
      <c r="T347" s="226"/>
    </row>
    <row r="348" spans="1:20">
      <c r="A348" s="237">
        <v>45671</v>
      </c>
      <c r="B348" s="160" t="str">
        <f>TEXT(Table1[[#This Row],[التاريخ ]],"DDD")</f>
        <v>Tue</v>
      </c>
      <c r="C348" s="160" t="str">
        <f>IF(Table1[[#This Row],[التاريخ ]]="","",TEXT(Table1[[#This Row],[التاريخ ]],"mmm"))</f>
        <v>Jan</v>
      </c>
      <c r="D348" s="161" t="s">
        <v>830</v>
      </c>
      <c r="G348" s="226">
        <v>426</v>
      </c>
      <c r="H348" s="227" t="str">
        <f>VLOOKUP(G:G,'[10]قاعدة بيانات  '!J:K,2,0)</f>
        <v xml:space="preserve">هدير رمضان مصطفي عبد العال </v>
      </c>
      <c r="I348" s="226" t="s">
        <v>199</v>
      </c>
      <c r="J348" s="226" t="s">
        <v>111</v>
      </c>
      <c r="K348" s="226" t="s">
        <v>133</v>
      </c>
      <c r="L348" s="164">
        <v>195</v>
      </c>
      <c r="M348" s="165"/>
      <c r="N348" s="165"/>
      <c r="Q348" s="166">
        <v>2029.31</v>
      </c>
      <c r="R348" s="163">
        <f>R347+Table1[[#This Row],[الوارد ]]-Table1[[#This Row],[المنصرف ]]</f>
        <v>701676.94941648608</v>
      </c>
      <c r="S348" s="226"/>
      <c r="T348" s="226"/>
    </row>
    <row r="349" spans="1:20">
      <c r="A349" s="237">
        <v>45671</v>
      </c>
      <c r="B349" s="160" t="str">
        <f>TEXT(Table1[[#This Row],[التاريخ ]],"DDD")</f>
        <v>Tue</v>
      </c>
      <c r="C349" s="160" t="str">
        <f>IF(Table1[[#This Row],[التاريخ ]]="","",TEXT(Table1[[#This Row],[التاريخ ]],"mmm"))</f>
        <v>Jan</v>
      </c>
      <c r="D349" s="161" t="s">
        <v>831</v>
      </c>
      <c r="G349" s="226">
        <v>130</v>
      </c>
      <c r="H349" s="227" t="str">
        <f>VLOOKUP(G:G,'[10]قاعدة بيانات  '!J:K,2,0)</f>
        <v>عبد الرحمن عوض عباس عوض كشك</v>
      </c>
      <c r="I349" s="226" t="s">
        <v>199</v>
      </c>
      <c r="J349" s="226" t="s">
        <v>111</v>
      </c>
      <c r="K349" s="226" t="s">
        <v>131</v>
      </c>
      <c r="L349" s="164">
        <v>196</v>
      </c>
      <c r="M349" s="165"/>
      <c r="N349" s="165"/>
      <c r="Q349" s="166">
        <v>1866.66</v>
      </c>
      <c r="R349" s="163">
        <f>R348+Table1[[#This Row],[الوارد ]]-Table1[[#This Row],[المنصرف ]]</f>
        <v>699810.28941648605</v>
      </c>
      <c r="S349" s="226"/>
      <c r="T349" s="226"/>
    </row>
    <row r="350" spans="1:20">
      <c r="A350" s="237">
        <v>45671</v>
      </c>
      <c r="B350" s="160" t="str">
        <f>TEXT(Table1[[#This Row],[التاريخ ]],"DDD")</f>
        <v>Tue</v>
      </c>
      <c r="C350" s="160" t="str">
        <f>IF(Table1[[#This Row],[التاريخ ]]="","",TEXT(Table1[[#This Row],[التاريخ ]],"mmm"))</f>
        <v>Jan</v>
      </c>
      <c r="D350" s="161" t="s">
        <v>832</v>
      </c>
      <c r="G350" s="226">
        <v>130</v>
      </c>
      <c r="H350" s="227" t="str">
        <f>VLOOKUP(G:G,'[10]قاعدة بيانات  '!J:K,2,0)</f>
        <v>عبد الرحمن عوض عباس عوض كشك</v>
      </c>
      <c r="I350" s="226" t="s">
        <v>199</v>
      </c>
      <c r="J350" s="226" t="s">
        <v>111</v>
      </c>
      <c r="K350" s="226" t="s">
        <v>133</v>
      </c>
      <c r="L350" s="164">
        <v>197</v>
      </c>
      <c r="M350" s="165"/>
      <c r="N350" s="165"/>
      <c r="Q350" s="166">
        <v>3230.75</v>
      </c>
      <c r="R350" s="163">
        <f>R349+Table1[[#This Row],[الوارد ]]-Table1[[#This Row],[المنصرف ]]</f>
        <v>696579.53941648605</v>
      </c>
      <c r="S350" s="226"/>
      <c r="T350" s="226"/>
    </row>
    <row r="351" spans="1:20">
      <c r="A351" s="237">
        <v>45671</v>
      </c>
      <c r="B351" s="160" t="str">
        <f>TEXT(Table1[[#This Row],[التاريخ ]],"DDD")</f>
        <v>Tue</v>
      </c>
      <c r="C351" s="160" t="str">
        <f>IF(Table1[[#This Row],[التاريخ ]]="","",TEXT(Table1[[#This Row],[التاريخ ]],"mmm"))</f>
        <v>Jan</v>
      </c>
      <c r="D351" s="161" t="s">
        <v>833</v>
      </c>
      <c r="G351" s="226">
        <v>294</v>
      </c>
      <c r="H351" s="227" t="str">
        <f>VLOOKUP(G:G,'[10]قاعدة بيانات  '!J:K,2,0)</f>
        <v>باسم ناجي سعد</v>
      </c>
      <c r="I351" s="226" t="s">
        <v>199</v>
      </c>
      <c r="J351" s="226" t="s">
        <v>111</v>
      </c>
      <c r="K351" s="226" t="s">
        <v>116</v>
      </c>
      <c r="L351" s="164">
        <v>198</v>
      </c>
      <c r="M351" s="165"/>
      <c r="N351" s="165"/>
      <c r="Q351" s="166">
        <v>143</v>
      </c>
      <c r="R351" s="163">
        <f>R350+Table1[[#This Row],[الوارد ]]-Table1[[#This Row],[المنصرف ]]</f>
        <v>696436.53941648605</v>
      </c>
      <c r="S351" s="226"/>
      <c r="T351" s="226"/>
    </row>
    <row r="352" spans="1:20">
      <c r="A352" s="237">
        <v>45671</v>
      </c>
      <c r="B352" s="160" t="str">
        <f>TEXT(Table1[[#This Row],[التاريخ ]],"DDD")</f>
        <v>Tue</v>
      </c>
      <c r="C352" s="160" t="str">
        <f>IF(Table1[[#This Row],[التاريخ ]]="","",TEXT(Table1[[#This Row],[التاريخ ]],"mmm"))</f>
        <v>Jan</v>
      </c>
      <c r="D352" s="161" t="s">
        <v>834</v>
      </c>
      <c r="G352" s="226">
        <v>137</v>
      </c>
      <c r="H352" s="227" t="str">
        <f>VLOOKUP(G:G,'[10]قاعدة بيانات  '!J:K,2,0)</f>
        <v>محمد وفيق إبراهيم عبد المعطى</v>
      </c>
      <c r="I352" s="226" t="s">
        <v>199</v>
      </c>
      <c r="J352" s="226" t="s">
        <v>111</v>
      </c>
      <c r="K352" s="226" t="s">
        <v>116</v>
      </c>
      <c r="L352" s="164">
        <v>199</v>
      </c>
      <c r="M352" s="165"/>
      <c r="N352" s="165"/>
      <c r="Q352" s="166">
        <v>167</v>
      </c>
      <c r="R352" s="163">
        <f>R351+Table1[[#This Row],[الوارد ]]-Table1[[#This Row],[المنصرف ]]</f>
        <v>696269.53941648605</v>
      </c>
      <c r="S352" s="226"/>
      <c r="T352" s="226"/>
    </row>
    <row r="353" spans="1:20">
      <c r="A353" s="237">
        <v>45672</v>
      </c>
      <c r="B353" s="160" t="str">
        <f>TEXT(Table1[[#This Row],[التاريخ ]],"DDD")</f>
        <v>Wed</v>
      </c>
      <c r="C353" s="160" t="str">
        <f>IF(Table1[[#This Row],[التاريخ ]]="","",TEXT(Table1[[#This Row],[التاريخ ]],"mmm"))</f>
        <v>Jan</v>
      </c>
      <c r="D353" s="161" t="s">
        <v>835</v>
      </c>
      <c r="G353" s="226">
        <v>4444</v>
      </c>
      <c r="H353" s="227" t="e">
        <f>VLOOKUP(G:G,'[10]قاعدة بيانات  '!J:K,2,0)</f>
        <v>#N/A</v>
      </c>
      <c r="I353" s="226" t="s">
        <v>199</v>
      </c>
      <c r="J353" s="226" t="s">
        <v>111</v>
      </c>
      <c r="K353" s="226" t="s">
        <v>133</v>
      </c>
      <c r="L353" s="164">
        <v>200</v>
      </c>
      <c r="M353" s="165"/>
      <c r="N353" s="165"/>
      <c r="Q353" s="166">
        <v>480</v>
      </c>
      <c r="R353" s="163">
        <f>R352+Table1[[#This Row],[الوارد ]]-Table1[[#This Row],[المنصرف ]]</f>
        <v>695789.53941648605</v>
      </c>
      <c r="S353" s="226"/>
      <c r="T353" s="226"/>
    </row>
    <row r="354" spans="1:20">
      <c r="A354" s="237">
        <v>45675</v>
      </c>
      <c r="B354" s="160" t="str">
        <f>TEXT(Table1[[#This Row],[التاريخ ]],"DDD")</f>
        <v>Sat</v>
      </c>
      <c r="C354" s="160" t="str">
        <f>IF(Table1[[#This Row],[التاريخ ]]="","",TEXT(Table1[[#This Row],[التاريخ ]],"mmm"))</f>
        <v>Jan</v>
      </c>
      <c r="D354" s="161" t="s">
        <v>836</v>
      </c>
      <c r="G354" s="226">
        <v>416</v>
      </c>
      <c r="H354" s="227" t="str">
        <f>VLOOKUP(G:G,'[10]قاعدة بيانات  '!J:K,2,0)</f>
        <v>هاني جمعه علي</v>
      </c>
      <c r="I354" s="226" t="s">
        <v>199</v>
      </c>
      <c r="J354" s="226" t="s">
        <v>111</v>
      </c>
      <c r="K354" s="226" t="s">
        <v>133</v>
      </c>
      <c r="L354" s="164">
        <v>201</v>
      </c>
      <c r="M354" s="165"/>
      <c r="N354" s="165"/>
      <c r="Q354" s="166">
        <v>2679.03</v>
      </c>
      <c r="R354" s="163">
        <f>R353+Table1[[#This Row],[الوارد ]]-Table1[[#This Row],[المنصرف ]]</f>
        <v>693110.50941648602</v>
      </c>
      <c r="S354" s="226"/>
      <c r="T354" s="226"/>
    </row>
    <row r="355" spans="1:20">
      <c r="A355" s="237">
        <v>45676</v>
      </c>
      <c r="B355" s="160" t="str">
        <f>TEXT(Table1[[#This Row],[التاريخ ]],"DDD")</f>
        <v>Sun</v>
      </c>
      <c r="C355" s="160" t="str">
        <f>IF(Table1[[#This Row],[التاريخ ]]="","",TEXT(Table1[[#This Row],[التاريخ ]],"mmm"))</f>
        <v>Jan</v>
      </c>
      <c r="D355" s="161" t="s">
        <v>837</v>
      </c>
      <c r="G355" s="226">
        <v>2</v>
      </c>
      <c r="H355" s="227" t="str">
        <f>VLOOKUP(G:G,'[10]قاعدة بيانات  '!J:K,2,0)</f>
        <v>علاء محمد عوض جاد الله</v>
      </c>
      <c r="I355" s="226" t="s">
        <v>199</v>
      </c>
      <c r="J355" s="226" t="s">
        <v>111</v>
      </c>
      <c r="K355" s="226" t="s">
        <v>116</v>
      </c>
      <c r="L355" s="164">
        <v>202</v>
      </c>
      <c r="M355" s="165"/>
      <c r="N355" s="165"/>
      <c r="Q355" s="166">
        <v>600</v>
      </c>
      <c r="R355" s="163">
        <f>R354+Table1[[#This Row],[الوارد ]]-Table1[[#This Row],[المنصرف ]]</f>
        <v>692510.50941648602</v>
      </c>
      <c r="S355" s="226"/>
      <c r="T355" s="226"/>
    </row>
    <row r="356" spans="1:20">
      <c r="A356" s="237">
        <v>45676</v>
      </c>
      <c r="B356" s="160" t="str">
        <f>TEXT(Table1[[#This Row],[التاريخ ]],"DDD")</f>
        <v>Sun</v>
      </c>
      <c r="C356" s="160" t="str">
        <f>IF(Table1[[#This Row],[التاريخ ]]="","",TEXT(Table1[[#This Row],[التاريخ ]],"mmm"))</f>
        <v>Jan</v>
      </c>
      <c r="D356" s="161" t="s">
        <v>838</v>
      </c>
      <c r="G356" s="226">
        <v>2</v>
      </c>
      <c r="H356" s="227" t="str">
        <f>VLOOKUP(G:G,'[10]قاعدة بيانات  '!J:K,2,0)</f>
        <v>علاء محمد عوض جاد الله</v>
      </c>
      <c r="I356" s="226" t="s">
        <v>199</v>
      </c>
      <c r="J356" s="226" t="s">
        <v>111</v>
      </c>
      <c r="K356" s="226" t="s">
        <v>128</v>
      </c>
      <c r="L356" s="164">
        <v>203</v>
      </c>
      <c r="M356" s="165"/>
      <c r="N356" s="165"/>
      <c r="Q356" s="166">
        <v>130</v>
      </c>
      <c r="R356" s="163">
        <f>R355+Table1[[#This Row],[الوارد ]]-Table1[[#This Row],[المنصرف ]]</f>
        <v>692380.50941648602</v>
      </c>
      <c r="S356" s="226"/>
      <c r="T356" s="226"/>
    </row>
    <row r="357" spans="1:20">
      <c r="A357" s="237">
        <v>45677</v>
      </c>
      <c r="B357" s="160" t="str">
        <f>TEXT(Table1[[#This Row],[التاريخ ]],"DDD")</f>
        <v>Mon</v>
      </c>
      <c r="C357" s="160" t="str">
        <f>IF(Table1[[#This Row],[التاريخ ]]="","",TEXT(Table1[[#This Row],[التاريخ ]],"mmm"))</f>
        <v>Jan</v>
      </c>
      <c r="D357" s="161" t="s">
        <v>839</v>
      </c>
      <c r="G357" s="226">
        <v>425</v>
      </c>
      <c r="H357" s="227" t="str">
        <f>VLOOKUP(G:G,'[10]قاعدة بيانات  '!J:K,2,0)</f>
        <v xml:space="preserve">احمد رزق طاهر أبو الفتوح </v>
      </c>
      <c r="I357" s="226" t="s">
        <v>199</v>
      </c>
      <c r="J357" s="226" t="s">
        <v>111</v>
      </c>
      <c r="K357" s="226" t="s">
        <v>133</v>
      </c>
      <c r="L357" s="164">
        <v>204</v>
      </c>
      <c r="M357" s="165"/>
      <c r="N357" s="165"/>
      <c r="Q357" s="166">
        <v>1987.98</v>
      </c>
      <c r="R357" s="163">
        <f>R356+Table1[[#This Row],[الوارد ]]-Table1[[#This Row],[المنصرف ]]</f>
        <v>690392.52941648604</v>
      </c>
      <c r="S357" s="226"/>
      <c r="T357" s="226"/>
    </row>
    <row r="358" spans="1:20">
      <c r="A358" s="237">
        <v>45677</v>
      </c>
      <c r="B358" s="160" t="str">
        <f>TEXT(Table1[[#This Row],[التاريخ ]],"DDD")</f>
        <v>Mon</v>
      </c>
      <c r="C358" s="160" t="str">
        <f>IF(Table1[[#This Row],[التاريخ ]]="","",TEXT(Table1[[#This Row],[التاريخ ]],"mmm"))</f>
        <v>Jan</v>
      </c>
      <c r="D358" s="161" t="s">
        <v>840</v>
      </c>
      <c r="G358" s="226">
        <v>503</v>
      </c>
      <c r="H358" s="227" t="str">
        <f>VLOOKUP(G:G,'[10]قاعدة بيانات  '!J:K,2,0)</f>
        <v xml:space="preserve">اسلام احمد محمود </v>
      </c>
      <c r="I358" s="226" t="s">
        <v>103</v>
      </c>
      <c r="J358" s="226" t="s">
        <v>111</v>
      </c>
      <c r="K358" s="226" t="s">
        <v>815</v>
      </c>
      <c r="L358" s="164">
        <v>205</v>
      </c>
      <c r="M358" s="165"/>
      <c r="N358" s="165"/>
      <c r="Q358" s="166">
        <v>62</v>
      </c>
      <c r="R358" s="163">
        <f>R357+Table1[[#This Row],[الوارد ]]-Table1[[#This Row],[المنصرف ]]</f>
        <v>690330.52941648604</v>
      </c>
      <c r="S358" s="226"/>
      <c r="T358" s="226"/>
    </row>
    <row r="359" spans="1:20">
      <c r="A359" s="237">
        <v>45677</v>
      </c>
      <c r="B359" s="160" t="str">
        <f>TEXT(Table1[[#This Row],[التاريخ ]],"DDD")</f>
        <v>Mon</v>
      </c>
      <c r="C359" s="160" t="str">
        <f>IF(Table1[[#This Row],[التاريخ ]]="","",TEXT(Table1[[#This Row],[التاريخ ]],"mmm"))</f>
        <v>Jan</v>
      </c>
      <c r="D359" s="161" t="s">
        <v>841</v>
      </c>
      <c r="G359" s="226">
        <v>503</v>
      </c>
      <c r="H359" s="227" t="str">
        <f>VLOOKUP(G:G,'[10]قاعدة بيانات  '!J:K,2,0)</f>
        <v xml:space="preserve">اسلام احمد محمود </v>
      </c>
      <c r="I359" s="226" t="s">
        <v>103</v>
      </c>
      <c r="J359" s="226" t="s">
        <v>111</v>
      </c>
      <c r="K359" s="226" t="s">
        <v>815</v>
      </c>
      <c r="L359" s="164">
        <v>206</v>
      </c>
      <c r="M359" s="165"/>
      <c r="N359" s="165"/>
      <c r="Q359" s="166">
        <v>102</v>
      </c>
      <c r="R359" s="163">
        <f>R358+Table1[[#This Row],[الوارد ]]-Table1[[#This Row],[المنصرف ]]</f>
        <v>690228.52941648604</v>
      </c>
      <c r="S359" s="226"/>
      <c r="T359" s="226"/>
    </row>
    <row r="360" spans="1:20">
      <c r="A360" s="237">
        <v>45677</v>
      </c>
      <c r="B360" s="160" t="str">
        <f>TEXT(Table1[[#This Row],[التاريخ ]],"DDD")</f>
        <v>Mon</v>
      </c>
      <c r="C360" s="160" t="str">
        <f>IF(Table1[[#This Row],[التاريخ ]]="","",TEXT(Table1[[#This Row],[التاريخ ]],"mmm"))</f>
        <v>Jan</v>
      </c>
      <c r="D360" s="161" t="s">
        <v>842</v>
      </c>
      <c r="G360" s="226">
        <v>503</v>
      </c>
      <c r="H360" s="227" t="str">
        <f>VLOOKUP(G:G,'[10]قاعدة بيانات  '!J:K,2,0)</f>
        <v xml:space="preserve">اسلام احمد محمود </v>
      </c>
      <c r="I360" s="226" t="s">
        <v>103</v>
      </c>
      <c r="J360" s="226" t="s">
        <v>111</v>
      </c>
      <c r="K360" s="226" t="s">
        <v>815</v>
      </c>
      <c r="L360" s="164">
        <v>207</v>
      </c>
      <c r="M360" s="165"/>
      <c r="N360" s="165"/>
      <c r="Q360" s="166">
        <v>89.5</v>
      </c>
      <c r="R360" s="163">
        <f>R359+Table1[[#This Row],[الوارد ]]-Table1[[#This Row],[المنصرف ]]</f>
        <v>690139.02941648604</v>
      </c>
      <c r="S360" s="226"/>
      <c r="T360" s="226"/>
    </row>
    <row r="361" spans="1:20">
      <c r="A361" s="237">
        <v>45677</v>
      </c>
      <c r="B361" s="160" t="str">
        <f>TEXT(Table1[[#This Row],[التاريخ ]],"DDD")</f>
        <v>Mon</v>
      </c>
      <c r="C361" s="160" t="str">
        <f>IF(Table1[[#This Row],[التاريخ ]]="","",TEXT(Table1[[#This Row],[التاريخ ]],"mmm"))</f>
        <v>Jan</v>
      </c>
      <c r="D361" s="161" t="s">
        <v>814</v>
      </c>
      <c r="G361" s="226">
        <v>503</v>
      </c>
      <c r="H361" s="227" t="str">
        <f>VLOOKUP(G:G,'[10]قاعدة بيانات  '!J:K,2,0)</f>
        <v xml:space="preserve">اسلام احمد محمود </v>
      </c>
      <c r="I361" s="226" t="s">
        <v>98</v>
      </c>
      <c r="J361" s="226" t="s">
        <v>111</v>
      </c>
      <c r="K361" s="226" t="s">
        <v>815</v>
      </c>
      <c r="L361" s="164">
        <v>208</v>
      </c>
      <c r="M361" s="165"/>
      <c r="N361" s="165"/>
      <c r="Q361" s="166">
        <v>68</v>
      </c>
      <c r="R361" s="163">
        <f>R360+Table1[[#This Row],[الوارد ]]-Table1[[#This Row],[المنصرف ]]</f>
        <v>690071.02941648604</v>
      </c>
      <c r="S361" s="226"/>
      <c r="T361" s="226"/>
    </row>
    <row r="362" spans="1:20">
      <c r="A362" s="237">
        <v>45677</v>
      </c>
      <c r="B362" s="160" t="str">
        <f>TEXT(Table1[[#This Row],[التاريخ ]],"DDD")</f>
        <v>Mon</v>
      </c>
      <c r="C362" s="160" t="str">
        <f>IF(Table1[[#This Row],[التاريخ ]]="","",TEXT(Table1[[#This Row],[التاريخ ]],"mmm"))</f>
        <v>Jan</v>
      </c>
      <c r="D362" s="161" t="s">
        <v>843</v>
      </c>
      <c r="G362" s="226">
        <v>503</v>
      </c>
      <c r="H362" s="227" t="str">
        <f>VLOOKUP(G:G,'[10]قاعدة بيانات  '!J:K,2,0)</f>
        <v xml:space="preserve">اسلام احمد محمود </v>
      </c>
      <c r="I362" s="226" t="s">
        <v>106</v>
      </c>
      <c r="J362" s="226" t="s">
        <v>111</v>
      </c>
      <c r="K362" s="226" t="s">
        <v>815</v>
      </c>
      <c r="L362" s="164">
        <v>209</v>
      </c>
      <c r="M362" s="165"/>
      <c r="N362" s="165"/>
      <c r="Q362" s="166">
        <v>27.5</v>
      </c>
      <c r="R362" s="163">
        <f>R361+Table1[[#This Row],[الوارد ]]-Table1[[#This Row],[المنصرف ]]</f>
        <v>690043.52941648604</v>
      </c>
      <c r="S362" s="226"/>
      <c r="T362" s="226"/>
    </row>
    <row r="363" spans="1:20">
      <c r="A363" s="237">
        <v>45677</v>
      </c>
      <c r="B363" s="160" t="str">
        <f>TEXT(Table1[[#This Row],[التاريخ ]],"DDD")</f>
        <v>Mon</v>
      </c>
      <c r="C363" s="160" t="str">
        <f>IF(Table1[[#This Row],[التاريخ ]]="","",TEXT(Table1[[#This Row],[التاريخ ]],"mmm"))</f>
        <v>Jan</v>
      </c>
      <c r="D363" s="161" t="s">
        <v>844</v>
      </c>
      <c r="G363" s="226">
        <v>503</v>
      </c>
      <c r="H363" s="227" t="str">
        <f>VLOOKUP(G:G,'[10]قاعدة بيانات  '!J:K,2,0)</f>
        <v xml:space="preserve">اسلام احمد محمود </v>
      </c>
      <c r="I363" s="226" t="s">
        <v>98</v>
      </c>
      <c r="J363" s="226" t="s">
        <v>111</v>
      </c>
      <c r="K363" s="226" t="s">
        <v>815</v>
      </c>
      <c r="L363" s="164">
        <v>210</v>
      </c>
      <c r="M363" s="165"/>
      <c r="N363" s="165"/>
      <c r="Q363" s="166">
        <v>48.5</v>
      </c>
      <c r="R363" s="163">
        <f>R362+Table1[[#This Row],[الوارد ]]-Table1[[#This Row],[المنصرف ]]</f>
        <v>689995.02941648604</v>
      </c>
      <c r="S363" s="226"/>
      <c r="T363" s="226"/>
    </row>
    <row r="364" spans="1:20">
      <c r="A364" s="237">
        <v>45677</v>
      </c>
      <c r="B364" s="160" t="str">
        <f>TEXT(Table1[[#This Row],[التاريخ ]],"DDD")</f>
        <v>Mon</v>
      </c>
      <c r="C364" s="160" t="str">
        <f>IF(Table1[[#This Row],[التاريخ ]]="","",TEXT(Table1[[#This Row],[التاريخ ]],"mmm"))</f>
        <v>Jan</v>
      </c>
      <c r="D364" s="161" t="s">
        <v>845</v>
      </c>
      <c r="G364" s="226">
        <v>507</v>
      </c>
      <c r="H364" s="227" t="str">
        <f>VLOOKUP(G:G,'[10]قاعدة بيانات  '!J:K,2,0)</f>
        <v xml:space="preserve">محمد حسن علي عباس </v>
      </c>
      <c r="I364" s="226" t="s">
        <v>106</v>
      </c>
      <c r="J364" s="226" t="s">
        <v>111</v>
      </c>
      <c r="K364" s="226" t="s">
        <v>815</v>
      </c>
      <c r="L364" s="164">
        <v>211</v>
      </c>
      <c r="M364" s="165"/>
      <c r="N364" s="165"/>
      <c r="Q364" s="166">
        <v>46.5</v>
      </c>
      <c r="R364" s="163">
        <f>R363+Table1[[#This Row],[الوارد ]]-Table1[[#This Row],[المنصرف ]]</f>
        <v>689948.52941648604</v>
      </c>
      <c r="S364" s="226"/>
      <c r="T364" s="226"/>
    </row>
    <row r="365" spans="1:20">
      <c r="A365" s="237">
        <v>45677</v>
      </c>
      <c r="B365" s="160" t="str">
        <f>TEXT(Table1[[#This Row],[التاريخ ]],"DDD")</f>
        <v>Mon</v>
      </c>
      <c r="C365" s="160" t="str">
        <f>IF(Table1[[#This Row],[التاريخ ]]="","",TEXT(Table1[[#This Row],[التاريخ ]],"mmm"))</f>
        <v>Jan</v>
      </c>
      <c r="D365" s="161" t="s">
        <v>846</v>
      </c>
      <c r="G365" s="226">
        <v>507</v>
      </c>
      <c r="H365" s="227" t="str">
        <f>VLOOKUP(G:G,'[10]قاعدة بيانات  '!J:K,2,0)</f>
        <v xml:space="preserve">محمد حسن علي عباس </v>
      </c>
      <c r="I365" s="226" t="s">
        <v>106</v>
      </c>
      <c r="J365" s="226" t="s">
        <v>111</v>
      </c>
      <c r="K365" s="226" t="s">
        <v>815</v>
      </c>
      <c r="L365" s="164">
        <v>212</v>
      </c>
      <c r="M365" s="165"/>
      <c r="N365" s="165"/>
      <c r="Q365" s="166">
        <v>28</v>
      </c>
      <c r="R365" s="163">
        <f>R364+Table1[[#This Row],[الوارد ]]-Table1[[#This Row],[المنصرف ]]</f>
        <v>689920.52941648604</v>
      </c>
      <c r="S365" s="226"/>
      <c r="T365" s="226"/>
    </row>
    <row r="366" spans="1:20">
      <c r="A366" s="237">
        <v>45677</v>
      </c>
      <c r="B366" s="160" t="str">
        <f>TEXT(Table1[[#This Row],[التاريخ ]],"DDD")</f>
        <v>Mon</v>
      </c>
      <c r="C366" s="160" t="str">
        <f>IF(Table1[[#This Row],[التاريخ ]]="","",TEXT(Table1[[#This Row],[التاريخ ]],"mmm"))</f>
        <v>Jan</v>
      </c>
      <c r="D366" s="161" t="s">
        <v>814</v>
      </c>
      <c r="G366" s="226">
        <v>129</v>
      </c>
      <c r="H366" s="227" t="str">
        <f>VLOOKUP(G:G,'[10]قاعدة بيانات  '!J:K,2,0)</f>
        <v>نانسى يوسف عزيز يوسف</v>
      </c>
      <c r="I366" s="226" t="s">
        <v>106</v>
      </c>
      <c r="J366" s="226" t="s">
        <v>111</v>
      </c>
      <c r="K366" s="226" t="s">
        <v>815</v>
      </c>
      <c r="L366" s="164">
        <v>213</v>
      </c>
      <c r="M366" s="165"/>
      <c r="N366" s="165"/>
      <c r="Q366" s="166">
        <v>60.26</v>
      </c>
      <c r="R366" s="163">
        <f>R365+Table1[[#This Row],[الوارد ]]-Table1[[#This Row],[المنصرف ]]</f>
        <v>689860.26941648603</v>
      </c>
      <c r="S366" s="226"/>
      <c r="T366" s="226"/>
    </row>
    <row r="367" spans="1:20">
      <c r="A367" s="237">
        <v>45678</v>
      </c>
      <c r="B367" s="160" t="str">
        <f>TEXT(Table1[[#This Row],[التاريخ ]],"DDD")</f>
        <v>Tue</v>
      </c>
      <c r="C367" s="160" t="str">
        <f>IF(Table1[[#This Row],[التاريخ ]]="","",TEXT(Table1[[#This Row],[التاريخ ]],"mmm"))</f>
        <v>Jan</v>
      </c>
      <c r="D367" s="161" t="s">
        <v>847</v>
      </c>
      <c r="G367" s="226">
        <v>494</v>
      </c>
      <c r="H367" s="227" t="str">
        <f>VLOOKUP(G:G,'[10]قاعدة بيانات  '!J:K,2,0)</f>
        <v xml:space="preserve">محمود عبدالمنعم محمد إبراهيم </v>
      </c>
      <c r="I367" s="226" t="s">
        <v>107</v>
      </c>
      <c r="J367" s="226" t="s">
        <v>111</v>
      </c>
      <c r="K367" s="226" t="s">
        <v>116</v>
      </c>
      <c r="L367" s="164">
        <v>214</v>
      </c>
      <c r="M367" s="165"/>
      <c r="N367" s="165"/>
      <c r="Q367" s="166">
        <v>215</v>
      </c>
      <c r="R367" s="163">
        <f>R366+Table1[[#This Row],[الوارد ]]-Table1[[#This Row],[المنصرف ]]</f>
        <v>689645.26941648603</v>
      </c>
      <c r="S367" s="226"/>
      <c r="T367" s="226"/>
    </row>
    <row r="368" spans="1:20">
      <c r="A368" s="237">
        <v>45678</v>
      </c>
      <c r="B368" s="160" t="str">
        <f>TEXT(Table1[[#This Row],[التاريخ ]],"DDD")</f>
        <v>Tue</v>
      </c>
      <c r="C368" s="160" t="str">
        <f>IF(Table1[[#This Row],[التاريخ ]]="","",TEXT(Table1[[#This Row],[التاريخ ]],"mmm"))</f>
        <v>Jan</v>
      </c>
      <c r="D368" s="161" t="s">
        <v>847</v>
      </c>
      <c r="G368" s="226">
        <v>494</v>
      </c>
      <c r="H368" s="227" t="str">
        <f>VLOOKUP(G:G,'[10]قاعدة بيانات  '!J:K,2,0)</f>
        <v xml:space="preserve">محمود عبدالمنعم محمد إبراهيم </v>
      </c>
      <c r="I368" s="226" t="s">
        <v>107</v>
      </c>
      <c r="J368" s="226" t="s">
        <v>111</v>
      </c>
      <c r="K368" s="226" t="s">
        <v>116</v>
      </c>
      <c r="L368" s="164">
        <v>215</v>
      </c>
      <c r="M368" s="165"/>
      <c r="N368" s="165"/>
      <c r="Q368" s="166">
        <v>62</v>
      </c>
      <c r="R368" s="163">
        <f>R367+Table1[[#This Row],[الوارد ]]-Table1[[#This Row],[المنصرف ]]</f>
        <v>689583.26941648603</v>
      </c>
      <c r="S368" s="226"/>
      <c r="T368" s="226"/>
    </row>
    <row r="369" spans="1:20">
      <c r="A369" s="237">
        <v>45678</v>
      </c>
      <c r="B369" s="160" t="str">
        <f>TEXT(Table1[[#This Row],[التاريخ ]],"DDD")</f>
        <v>Tue</v>
      </c>
      <c r="C369" s="160" t="str">
        <f>IF(Table1[[#This Row],[التاريخ ]]="","",TEXT(Table1[[#This Row],[التاريخ ]],"mmm"))</f>
        <v>Jan</v>
      </c>
      <c r="D369" s="161" t="s">
        <v>847</v>
      </c>
      <c r="G369" s="226">
        <v>494</v>
      </c>
      <c r="H369" s="227" t="str">
        <f>VLOOKUP(G:G,'[10]قاعدة بيانات  '!J:K,2,0)</f>
        <v xml:space="preserve">محمود عبدالمنعم محمد إبراهيم </v>
      </c>
      <c r="I369" s="226" t="s">
        <v>107</v>
      </c>
      <c r="J369" s="226" t="s">
        <v>111</v>
      </c>
      <c r="K369" s="226" t="s">
        <v>116</v>
      </c>
      <c r="L369" s="164">
        <v>216</v>
      </c>
      <c r="M369" s="165"/>
      <c r="N369" s="165"/>
      <c r="Q369" s="166">
        <v>90</v>
      </c>
      <c r="R369" s="163">
        <f>R368+Table1[[#This Row],[الوارد ]]-Table1[[#This Row],[المنصرف ]]</f>
        <v>689493.26941648603</v>
      </c>
      <c r="S369" s="226"/>
      <c r="T369" s="226"/>
    </row>
    <row r="370" spans="1:20">
      <c r="A370" s="237">
        <v>45679</v>
      </c>
      <c r="B370" s="160" t="str">
        <f>TEXT(Table1[[#This Row],[التاريخ ]],"DDD")</f>
        <v>Wed</v>
      </c>
      <c r="C370" s="160" t="str">
        <f>IF(Table1[[#This Row],[التاريخ ]]="","",TEXT(Table1[[#This Row],[التاريخ ]],"mmm"))</f>
        <v>Jan</v>
      </c>
      <c r="D370" s="161" t="s">
        <v>811</v>
      </c>
      <c r="G370" s="226">
        <v>509</v>
      </c>
      <c r="H370" s="227" t="str">
        <f>VLOOKUP(G:G,'[10]قاعدة بيانات  '!J:K,2,0)</f>
        <v xml:space="preserve">كريم اشرف فاروق </v>
      </c>
      <c r="I370" s="226" t="s">
        <v>107</v>
      </c>
      <c r="J370" s="226" t="s">
        <v>111</v>
      </c>
      <c r="K370" s="226" t="s">
        <v>116</v>
      </c>
      <c r="L370" s="164">
        <v>217</v>
      </c>
      <c r="M370" s="165"/>
      <c r="N370" s="165"/>
      <c r="Q370" s="166">
        <v>149</v>
      </c>
      <c r="R370" s="163">
        <f>R369+Table1[[#This Row],[الوارد ]]-Table1[[#This Row],[المنصرف ]]</f>
        <v>689344.26941648603</v>
      </c>
      <c r="S370" s="226"/>
      <c r="T370" s="226"/>
    </row>
    <row r="371" spans="1:20">
      <c r="A371" s="237">
        <v>45679</v>
      </c>
      <c r="B371" s="160" t="str">
        <f>TEXT(Table1[[#This Row],[التاريخ ]],"DDD")</f>
        <v>Wed</v>
      </c>
      <c r="C371" s="160" t="str">
        <f>IF(Table1[[#This Row],[التاريخ ]]="","",TEXT(Table1[[#This Row],[التاريخ ]],"mmm"))</f>
        <v>Jan</v>
      </c>
      <c r="D371" s="161" t="s">
        <v>848</v>
      </c>
      <c r="G371" s="226">
        <v>507</v>
      </c>
      <c r="H371" s="227" t="str">
        <f>VLOOKUP(G:G,'[10]قاعدة بيانات  '!J:K,2,0)</f>
        <v xml:space="preserve">محمد حسن علي عباس </v>
      </c>
      <c r="I371" s="226" t="s">
        <v>103</v>
      </c>
      <c r="J371" s="226" t="s">
        <v>111</v>
      </c>
      <c r="K371" s="226" t="s">
        <v>815</v>
      </c>
      <c r="L371" s="164">
        <v>218</v>
      </c>
      <c r="M371" s="165"/>
      <c r="N371" s="165"/>
      <c r="Q371" s="166">
        <v>41.5</v>
      </c>
      <c r="R371" s="163">
        <f>R370+Table1[[#This Row],[الوارد ]]-Table1[[#This Row],[المنصرف ]]</f>
        <v>689302.76941648603</v>
      </c>
      <c r="S371" s="226"/>
      <c r="T371" s="226"/>
    </row>
    <row r="372" spans="1:20">
      <c r="A372" s="237">
        <v>45679</v>
      </c>
      <c r="B372" s="160" t="str">
        <f>TEXT(Table1[[#This Row],[التاريخ ]],"DDD")</f>
        <v>Wed</v>
      </c>
      <c r="C372" s="160" t="str">
        <f>IF(Table1[[#This Row],[التاريخ ]]="","",TEXT(Table1[[#This Row],[التاريخ ]],"mmm"))</f>
        <v>Jan</v>
      </c>
      <c r="D372" s="161" t="s">
        <v>849</v>
      </c>
      <c r="G372" s="226">
        <v>503</v>
      </c>
      <c r="H372" s="227" t="str">
        <f>VLOOKUP(G:G,'[10]قاعدة بيانات  '!J:K,2,0)</f>
        <v xml:space="preserve">اسلام احمد محمود </v>
      </c>
      <c r="I372" s="226" t="s">
        <v>98</v>
      </c>
      <c r="J372" s="226" t="s">
        <v>111</v>
      </c>
      <c r="K372" s="226" t="s">
        <v>141</v>
      </c>
      <c r="L372" s="164">
        <v>219</v>
      </c>
      <c r="M372" s="165"/>
      <c r="N372" s="165"/>
      <c r="Q372" s="166">
        <v>100</v>
      </c>
      <c r="R372" s="163">
        <f>R371+Table1[[#This Row],[الوارد ]]-Table1[[#This Row],[المنصرف ]]</f>
        <v>689202.76941648603</v>
      </c>
      <c r="S372" s="226"/>
      <c r="T372" s="226"/>
    </row>
    <row r="373" spans="1:20">
      <c r="A373" s="237">
        <v>45679</v>
      </c>
      <c r="B373" s="160" t="str">
        <f>TEXT(Table1[[#This Row],[التاريخ ]],"DDD")</f>
        <v>Wed</v>
      </c>
      <c r="C373" s="160" t="str">
        <f>IF(Table1[[#This Row],[التاريخ ]]="","",TEXT(Table1[[#This Row],[التاريخ ]],"mmm"))</f>
        <v>Jan</v>
      </c>
      <c r="D373" s="161" t="s">
        <v>850</v>
      </c>
      <c r="G373" s="226">
        <v>541</v>
      </c>
      <c r="H373" s="227" t="str">
        <f>VLOOKUP(G:G,'[10]قاعدة بيانات  '!J:K,2,0)</f>
        <v xml:space="preserve">شيماء السيد السيد شلبي </v>
      </c>
      <c r="I373" s="226" t="s">
        <v>798</v>
      </c>
      <c r="J373" s="226" t="s">
        <v>111</v>
      </c>
      <c r="K373" s="226" t="s">
        <v>116</v>
      </c>
      <c r="L373" s="164">
        <v>220</v>
      </c>
      <c r="M373" s="165"/>
      <c r="N373" s="165"/>
      <c r="Q373" s="166">
        <v>112</v>
      </c>
      <c r="R373" s="163">
        <f>R372+Table1[[#This Row],[الوارد ]]-Table1[[#This Row],[المنصرف ]]</f>
        <v>689090.76941648603</v>
      </c>
      <c r="S373" s="226"/>
      <c r="T373" s="226"/>
    </row>
    <row r="374" spans="1:20">
      <c r="A374" s="237">
        <v>45679</v>
      </c>
      <c r="B374" s="160" t="str">
        <f>TEXT(Table1[[#This Row],[التاريخ ]],"DDD")</f>
        <v>Wed</v>
      </c>
      <c r="C374" s="160" t="str">
        <f>IF(Table1[[#This Row],[التاريخ ]]="","",TEXT(Table1[[#This Row],[التاريخ ]],"mmm"))</f>
        <v>Jan</v>
      </c>
      <c r="D374" s="161" t="s">
        <v>850</v>
      </c>
      <c r="G374" s="226">
        <v>466</v>
      </c>
      <c r="H374" s="227" t="str">
        <f>VLOOKUP(G:G,'[10]قاعدة بيانات  '!J:K,2,0)</f>
        <v xml:space="preserve">فاطمة محمود سلامه </v>
      </c>
      <c r="I374" s="226" t="s">
        <v>798</v>
      </c>
      <c r="J374" s="226" t="s">
        <v>111</v>
      </c>
      <c r="K374" s="226" t="s">
        <v>116</v>
      </c>
      <c r="L374" s="164">
        <v>221</v>
      </c>
      <c r="M374" s="165"/>
      <c r="N374" s="165"/>
      <c r="Q374" s="166">
        <v>112</v>
      </c>
      <c r="R374" s="163">
        <f>R373+Table1[[#This Row],[الوارد ]]-Table1[[#This Row],[المنصرف ]]</f>
        <v>688978.76941648603</v>
      </c>
      <c r="S374" s="226"/>
      <c r="T374" s="226"/>
    </row>
    <row r="375" spans="1:20">
      <c r="A375" s="237">
        <v>45680</v>
      </c>
      <c r="B375" s="160" t="str">
        <f>TEXT(Table1[[#This Row],[التاريخ ]],"DDD")</f>
        <v>Thu</v>
      </c>
      <c r="C375" s="160" t="str">
        <f>IF(Table1[[#This Row],[التاريخ ]]="","",TEXT(Table1[[#This Row],[التاريخ ]],"mmm"))</f>
        <v>Jan</v>
      </c>
      <c r="D375" s="161" t="s">
        <v>814</v>
      </c>
      <c r="G375" s="226">
        <v>503</v>
      </c>
      <c r="H375" s="227" t="str">
        <f>VLOOKUP(G:G,'[10]قاعدة بيانات  '!J:K,2,0)</f>
        <v xml:space="preserve">اسلام احمد محمود </v>
      </c>
      <c r="I375" s="226" t="s">
        <v>103</v>
      </c>
      <c r="J375" s="226" t="s">
        <v>111</v>
      </c>
      <c r="K375" s="226" t="s">
        <v>815</v>
      </c>
      <c r="L375" s="164">
        <v>222</v>
      </c>
      <c r="M375" s="165"/>
      <c r="N375" s="165"/>
      <c r="Q375" s="166">
        <f>467.5-Q376</f>
        <v>192.5</v>
      </c>
      <c r="R375" s="163">
        <f>R374+Table1[[#This Row],[الوارد ]]-Table1[[#This Row],[المنصرف ]]</f>
        <v>688786.26941648603</v>
      </c>
      <c r="S375" s="226"/>
      <c r="T375" s="226"/>
    </row>
    <row r="376" spans="1:20">
      <c r="A376" s="237">
        <v>45680</v>
      </c>
      <c r="B376" s="160" t="str">
        <f>TEXT(Table1[[#This Row],[التاريخ ]],"DDD")</f>
        <v>Thu</v>
      </c>
      <c r="C376" s="160" t="str">
        <f>IF(Table1[[#This Row],[التاريخ ]]="","",TEXT(Table1[[#This Row],[التاريخ ]],"mmm"))</f>
        <v>Jan</v>
      </c>
      <c r="D376" s="161" t="s">
        <v>851</v>
      </c>
      <c r="G376" s="226">
        <v>503</v>
      </c>
      <c r="H376" s="227" t="str">
        <f>VLOOKUP(G:G,'[10]قاعدة بيانات  '!J:K,2,0)</f>
        <v xml:space="preserve">اسلام احمد محمود </v>
      </c>
      <c r="I376" s="226" t="s">
        <v>103</v>
      </c>
      <c r="J376" s="226" t="s">
        <v>112</v>
      </c>
      <c r="K376" s="226" t="s">
        <v>120</v>
      </c>
      <c r="L376" s="164">
        <v>222</v>
      </c>
      <c r="M376" s="165"/>
      <c r="N376" s="165"/>
      <c r="Q376" s="166">
        <f>137.5+137.5</f>
        <v>275</v>
      </c>
      <c r="R376" s="163">
        <f>R375+Table1[[#This Row],[الوارد ]]-Table1[[#This Row],[المنصرف ]]</f>
        <v>688511.26941648603</v>
      </c>
      <c r="S376" s="226"/>
      <c r="T376" s="226"/>
    </row>
    <row r="377" spans="1:20">
      <c r="A377" s="237">
        <v>45680</v>
      </c>
      <c r="B377" s="160" t="str">
        <f>TEXT(Table1[[#This Row],[التاريخ ]],"DDD")</f>
        <v>Thu</v>
      </c>
      <c r="C377" s="160" t="str">
        <f>IF(Table1[[#This Row],[التاريخ ]]="","",TEXT(Table1[[#This Row],[التاريخ ]],"mmm"))</f>
        <v>Jan</v>
      </c>
      <c r="D377" s="161" t="s">
        <v>814</v>
      </c>
      <c r="G377" s="226">
        <v>503</v>
      </c>
      <c r="H377" s="227" t="str">
        <f>VLOOKUP(G:G,'[10]قاعدة بيانات  '!J:K,2,0)</f>
        <v xml:space="preserve">اسلام احمد محمود </v>
      </c>
      <c r="I377" s="226" t="s">
        <v>103</v>
      </c>
      <c r="J377" s="226" t="s">
        <v>111</v>
      </c>
      <c r="K377" s="226" t="s">
        <v>815</v>
      </c>
      <c r="L377" s="164">
        <v>223</v>
      </c>
      <c r="M377" s="165"/>
      <c r="N377" s="165"/>
      <c r="Q377" s="166">
        <v>127.5</v>
      </c>
      <c r="R377" s="163">
        <f>R376+Table1[[#This Row],[الوارد ]]-Table1[[#This Row],[المنصرف ]]</f>
        <v>688383.76941648603</v>
      </c>
      <c r="S377" s="226"/>
      <c r="T377" s="226"/>
    </row>
    <row r="378" spans="1:20">
      <c r="A378" s="237">
        <v>45680</v>
      </c>
      <c r="B378" s="160" t="str">
        <f>TEXT(Table1[[#This Row],[التاريخ ]],"DDD")</f>
        <v>Thu</v>
      </c>
      <c r="C378" s="160" t="str">
        <f>IF(Table1[[#This Row],[التاريخ ]]="","",TEXT(Table1[[#This Row],[التاريخ ]],"mmm"))</f>
        <v>Jan</v>
      </c>
      <c r="D378" s="161" t="s">
        <v>852</v>
      </c>
      <c r="G378" s="226">
        <v>494</v>
      </c>
      <c r="H378" s="227" t="str">
        <f>VLOOKUP(G:G,'[10]قاعدة بيانات  '!J:K,2,0)</f>
        <v xml:space="preserve">محمود عبدالمنعم محمد إبراهيم </v>
      </c>
      <c r="I378" s="226" t="s">
        <v>107</v>
      </c>
      <c r="J378" s="226" t="s">
        <v>111</v>
      </c>
      <c r="K378" s="226" t="s">
        <v>116</v>
      </c>
      <c r="L378" s="164">
        <v>224</v>
      </c>
      <c r="M378" s="165"/>
      <c r="N378" s="165"/>
      <c r="Q378" s="166">
        <v>100</v>
      </c>
      <c r="R378" s="163">
        <f>R377+Table1[[#This Row],[الوارد ]]-Table1[[#This Row],[المنصرف ]]</f>
        <v>688283.76941648603</v>
      </c>
      <c r="S378" s="226"/>
      <c r="T378" s="226"/>
    </row>
    <row r="379" spans="1:20">
      <c r="A379" s="237">
        <v>45680</v>
      </c>
      <c r="B379" s="160" t="str">
        <f>TEXT(Table1[[#This Row],[التاريخ ]],"DDD")</f>
        <v>Thu</v>
      </c>
      <c r="C379" s="160" t="str">
        <f>IF(Table1[[#This Row],[التاريخ ]]="","",TEXT(Table1[[#This Row],[التاريخ ]],"mmm"))</f>
        <v>Jan</v>
      </c>
      <c r="D379" s="161" t="s">
        <v>853</v>
      </c>
      <c r="G379" s="226">
        <v>289</v>
      </c>
      <c r="H379" s="227" t="str">
        <f>VLOOKUP(G:G,'[10]قاعدة بيانات  '!J:K,2,0)</f>
        <v>صبري عبد الهادي عبد الهادي</v>
      </c>
      <c r="I379" s="226" t="s">
        <v>798</v>
      </c>
      <c r="J379" s="226" t="s">
        <v>111</v>
      </c>
      <c r="K379" s="226" t="s">
        <v>128</v>
      </c>
      <c r="L379" s="164">
        <v>225</v>
      </c>
      <c r="M379" s="165"/>
      <c r="N379" s="165"/>
      <c r="Q379" s="166">
        <v>200</v>
      </c>
      <c r="R379" s="163">
        <f>R378+Table1[[#This Row],[الوارد ]]-Table1[[#This Row],[المنصرف ]]</f>
        <v>688083.76941648603</v>
      </c>
      <c r="S379" s="226"/>
      <c r="T379" s="226"/>
    </row>
    <row r="380" spans="1:20">
      <c r="A380" s="237">
        <v>45682</v>
      </c>
      <c r="B380" s="160" t="str">
        <f>TEXT(Table1[[#This Row],[التاريخ ]],"DDD")</f>
        <v>Sat</v>
      </c>
      <c r="C380" s="160" t="str">
        <f>IF(Table1[[#This Row],[التاريخ ]]="","",TEXT(Table1[[#This Row],[التاريخ ]],"mmm"))</f>
        <v>Jan</v>
      </c>
      <c r="D380" s="161" t="s">
        <v>854</v>
      </c>
      <c r="G380" s="226">
        <v>294</v>
      </c>
      <c r="H380" s="227" t="str">
        <f>VLOOKUP(G:G,'[10]قاعدة بيانات  '!J:K,2,0)</f>
        <v>باسم ناجي سعد</v>
      </c>
      <c r="I380" s="226" t="s">
        <v>199</v>
      </c>
      <c r="J380" s="226" t="s">
        <v>111</v>
      </c>
      <c r="K380" s="226" t="s">
        <v>116</v>
      </c>
      <c r="L380" s="164">
        <v>226</v>
      </c>
      <c r="M380" s="165"/>
      <c r="N380" s="165"/>
      <c r="Q380" s="166">
        <v>7</v>
      </c>
      <c r="R380" s="163">
        <f>R379+Table1[[#This Row],[الوارد ]]-Table1[[#This Row],[المنصرف ]]</f>
        <v>688076.76941648603</v>
      </c>
      <c r="S380" s="226"/>
      <c r="T380" s="226"/>
    </row>
    <row r="381" spans="1:20">
      <c r="A381" s="237">
        <v>45682</v>
      </c>
      <c r="B381" s="160" t="str">
        <f>TEXT(Table1[[#This Row],[التاريخ ]],"DDD")</f>
        <v>Sat</v>
      </c>
      <c r="C381" s="160" t="str">
        <f>IF(Table1[[#This Row],[التاريخ ]]="","",TEXT(Table1[[#This Row],[التاريخ ]],"mmm"))</f>
        <v>Jan</v>
      </c>
      <c r="D381" s="161" t="s">
        <v>855</v>
      </c>
      <c r="G381" s="226">
        <v>136</v>
      </c>
      <c r="H381" s="227" t="str">
        <f>VLOOKUP(G:G,'[10]قاعدة بيانات  '!J:K,2,0)</f>
        <v>بهاء محمد السيد صالح أبو حسين</v>
      </c>
      <c r="I381" s="226" t="s">
        <v>108</v>
      </c>
      <c r="J381" s="226" t="s">
        <v>111</v>
      </c>
      <c r="K381" s="226" t="s">
        <v>116</v>
      </c>
      <c r="L381" s="164">
        <v>227</v>
      </c>
      <c r="M381" s="165"/>
      <c r="N381" s="165"/>
      <c r="Q381" s="166">
        <v>150</v>
      </c>
      <c r="R381" s="163">
        <f>R380+Table1[[#This Row],[الوارد ]]-Table1[[#This Row],[المنصرف ]]</f>
        <v>687926.76941648603</v>
      </c>
      <c r="S381" s="226"/>
      <c r="T381" s="226"/>
    </row>
    <row r="382" spans="1:20">
      <c r="A382" s="237">
        <v>45682</v>
      </c>
      <c r="B382" s="160" t="str">
        <f>TEXT(Table1[[#This Row],[التاريخ ]],"DDD")</f>
        <v>Sat</v>
      </c>
      <c r="C382" s="160" t="str">
        <f>IF(Table1[[#This Row],[التاريخ ]]="","",TEXT(Table1[[#This Row],[التاريخ ]],"mmm"))</f>
        <v>Jan</v>
      </c>
      <c r="D382" s="161" t="s">
        <v>856</v>
      </c>
      <c r="G382" s="226">
        <v>136</v>
      </c>
      <c r="H382" s="227" t="str">
        <f>VLOOKUP(G:G,'[10]قاعدة بيانات  '!J:K,2,0)</f>
        <v>بهاء محمد السيد صالح أبو حسين</v>
      </c>
      <c r="I382" s="226" t="s">
        <v>108</v>
      </c>
      <c r="J382" s="226" t="s">
        <v>111</v>
      </c>
      <c r="K382" s="226" t="s">
        <v>116</v>
      </c>
      <c r="L382" s="164">
        <v>228</v>
      </c>
      <c r="M382" s="165"/>
      <c r="N382" s="165"/>
      <c r="Q382" s="166">
        <v>79</v>
      </c>
      <c r="R382" s="163">
        <f>R381+Table1[[#This Row],[الوارد ]]-Table1[[#This Row],[المنصرف ]]</f>
        <v>687847.76941648603</v>
      </c>
      <c r="S382" s="226"/>
      <c r="T382" s="226"/>
    </row>
    <row r="383" spans="1:20">
      <c r="A383" s="237">
        <v>45682</v>
      </c>
      <c r="B383" s="160" t="str">
        <f>TEXT(Table1[[#This Row],[التاريخ ]],"DDD")</f>
        <v>Sat</v>
      </c>
      <c r="C383" s="160" t="str">
        <f>IF(Table1[[#This Row],[التاريخ ]]="","",TEXT(Table1[[#This Row],[التاريخ ]],"mmm"))</f>
        <v>Jan</v>
      </c>
      <c r="D383" s="161" t="s">
        <v>808</v>
      </c>
      <c r="G383" s="226">
        <v>136</v>
      </c>
      <c r="H383" s="227" t="str">
        <f>VLOOKUP(G:G,'[10]قاعدة بيانات  '!J:K,2,0)</f>
        <v>بهاء محمد السيد صالح أبو حسين</v>
      </c>
      <c r="I383" s="226" t="s">
        <v>100</v>
      </c>
      <c r="J383" s="226" t="s">
        <v>111</v>
      </c>
      <c r="K383" s="226" t="s">
        <v>116</v>
      </c>
      <c r="L383" s="164">
        <v>229</v>
      </c>
      <c r="M383" s="165"/>
      <c r="N383" s="165"/>
      <c r="Q383" s="166">
        <v>100</v>
      </c>
      <c r="R383" s="163">
        <f>R382+Table1[[#This Row],[الوارد ]]-Table1[[#This Row],[المنصرف ]]</f>
        <v>687747.76941648603</v>
      </c>
      <c r="S383" s="226"/>
      <c r="T383" s="226"/>
    </row>
    <row r="384" spans="1:20">
      <c r="A384" s="237">
        <v>45682</v>
      </c>
      <c r="B384" s="160" t="str">
        <f>TEXT(Table1[[#This Row],[التاريخ ]],"DDD")</f>
        <v>Sat</v>
      </c>
      <c r="C384" s="160" t="str">
        <f>IF(Table1[[#This Row],[التاريخ ]]="","",TEXT(Table1[[#This Row],[التاريخ ]],"mmm"))</f>
        <v>Jan</v>
      </c>
      <c r="D384" s="161" t="s">
        <v>808</v>
      </c>
      <c r="G384" s="226">
        <v>136</v>
      </c>
      <c r="H384" s="227" t="str">
        <f>VLOOKUP(G:G,'[10]قاعدة بيانات  '!J:K,2,0)</f>
        <v>بهاء محمد السيد صالح أبو حسين</v>
      </c>
      <c r="I384" s="226" t="s">
        <v>107</v>
      </c>
      <c r="J384" s="226" t="s">
        <v>111</v>
      </c>
      <c r="K384" s="226" t="s">
        <v>116</v>
      </c>
      <c r="L384" s="164">
        <v>230</v>
      </c>
      <c r="M384" s="165"/>
      <c r="N384" s="165"/>
      <c r="Q384" s="166">
        <v>56</v>
      </c>
      <c r="R384" s="163">
        <f>R383+Table1[[#This Row],[الوارد ]]-Table1[[#This Row],[المنصرف ]]</f>
        <v>687691.76941648603</v>
      </c>
      <c r="S384" s="226"/>
      <c r="T384" s="226"/>
    </row>
    <row r="385" spans="1:20">
      <c r="A385" s="237">
        <v>45682</v>
      </c>
      <c r="B385" s="160" t="str">
        <f>TEXT(Table1[[#This Row],[التاريخ ]],"DDD")</f>
        <v>Sat</v>
      </c>
      <c r="C385" s="160" t="str">
        <f>IF(Table1[[#This Row],[التاريخ ]]="","",TEXT(Table1[[#This Row],[التاريخ ]],"mmm"))</f>
        <v>Jan</v>
      </c>
      <c r="D385" s="161" t="s">
        <v>808</v>
      </c>
      <c r="G385" s="226">
        <v>136</v>
      </c>
      <c r="H385" s="227" t="str">
        <f>VLOOKUP(G:G,'[10]قاعدة بيانات  '!J:K,2,0)</f>
        <v>بهاء محمد السيد صالح أبو حسين</v>
      </c>
      <c r="I385" s="226" t="s">
        <v>107</v>
      </c>
      <c r="J385" s="226" t="s">
        <v>111</v>
      </c>
      <c r="K385" s="226" t="s">
        <v>116</v>
      </c>
      <c r="L385" s="164">
        <v>231</v>
      </c>
      <c r="M385" s="165"/>
      <c r="N385" s="165"/>
      <c r="Q385" s="166">
        <v>52</v>
      </c>
      <c r="R385" s="163">
        <f>R384+Table1[[#This Row],[الوارد ]]-Table1[[#This Row],[المنصرف ]]</f>
        <v>687639.76941648603</v>
      </c>
      <c r="S385" s="226"/>
      <c r="T385" s="226"/>
    </row>
    <row r="386" spans="1:20">
      <c r="A386" s="237">
        <v>45682</v>
      </c>
      <c r="B386" s="160" t="str">
        <f>TEXT(Table1[[#This Row],[التاريخ ]],"DDD")</f>
        <v>Sat</v>
      </c>
      <c r="C386" s="160" t="str">
        <f>IF(Table1[[#This Row],[التاريخ ]]="","",TEXT(Table1[[#This Row],[التاريخ ]],"mmm"))</f>
        <v>Jan</v>
      </c>
      <c r="D386" s="161" t="s">
        <v>808</v>
      </c>
      <c r="G386" s="226">
        <v>136</v>
      </c>
      <c r="H386" s="227" t="str">
        <f>VLOOKUP(G:G,'[10]قاعدة بيانات  '!J:K,2,0)</f>
        <v>بهاء محمد السيد صالح أبو حسين</v>
      </c>
      <c r="I386" s="226" t="s">
        <v>107</v>
      </c>
      <c r="J386" s="226" t="s">
        <v>111</v>
      </c>
      <c r="K386" s="226" t="s">
        <v>116</v>
      </c>
      <c r="L386" s="164">
        <v>232</v>
      </c>
      <c r="M386" s="165"/>
      <c r="N386" s="165"/>
      <c r="Q386" s="166">
        <v>16</v>
      </c>
      <c r="R386" s="163">
        <f>R385+Table1[[#This Row],[الوارد ]]-Table1[[#This Row],[المنصرف ]]</f>
        <v>687623.76941648603</v>
      </c>
      <c r="S386" s="226"/>
      <c r="T386" s="226"/>
    </row>
    <row r="387" spans="1:20">
      <c r="A387" s="237">
        <v>45682</v>
      </c>
      <c r="B387" s="160" t="str">
        <f>TEXT(Table1[[#This Row],[التاريخ ]],"DDD")</f>
        <v>Sat</v>
      </c>
      <c r="C387" s="160" t="str">
        <f>IF(Table1[[#This Row],[التاريخ ]]="","",TEXT(Table1[[#This Row],[التاريخ ]],"mmm"))</f>
        <v>Jan</v>
      </c>
      <c r="D387" s="161" t="s">
        <v>857</v>
      </c>
      <c r="G387" s="226">
        <v>137</v>
      </c>
      <c r="H387" s="227" t="str">
        <f>VLOOKUP(G:G,'[10]قاعدة بيانات  '!J:K,2,0)</f>
        <v>محمد وفيق إبراهيم عبد المعطى</v>
      </c>
      <c r="I387" s="226" t="s">
        <v>858</v>
      </c>
      <c r="J387" s="226" t="s">
        <v>111</v>
      </c>
      <c r="K387" s="226" t="s">
        <v>116</v>
      </c>
      <c r="L387" s="164">
        <v>233</v>
      </c>
      <c r="M387" s="165"/>
      <c r="N387" s="165"/>
      <c r="Q387" s="166">
        <v>170</v>
      </c>
      <c r="R387" s="163">
        <f>R386+Table1[[#This Row],[الوارد ]]-Table1[[#This Row],[المنصرف ]]</f>
        <v>687453.76941648603</v>
      </c>
      <c r="S387" s="226"/>
      <c r="T387" s="226"/>
    </row>
    <row r="388" spans="1:20">
      <c r="A388" s="237">
        <v>45682</v>
      </c>
      <c r="B388" s="160" t="str">
        <f>TEXT(Table1[[#This Row],[التاريخ ]],"DDD")</f>
        <v>Sat</v>
      </c>
      <c r="C388" s="160" t="str">
        <f>IF(Table1[[#This Row],[التاريخ ]]="","",TEXT(Table1[[#This Row],[التاريخ ]],"mmm"))</f>
        <v>Jan</v>
      </c>
      <c r="D388" s="161" t="s">
        <v>857</v>
      </c>
      <c r="G388" s="226">
        <v>137</v>
      </c>
      <c r="H388" s="227" t="str">
        <f>VLOOKUP(G:G,'[10]قاعدة بيانات  '!J:K,2,0)</f>
        <v>محمد وفيق إبراهيم عبد المعطى</v>
      </c>
      <c r="I388" s="226" t="s">
        <v>858</v>
      </c>
      <c r="J388" s="226" t="s">
        <v>111</v>
      </c>
      <c r="K388" s="226" t="s">
        <v>116</v>
      </c>
      <c r="L388" s="164">
        <v>234</v>
      </c>
      <c r="M388" s="165"/>
      <c r="N388" s="165"/>
      <c r="Q388" s="166">
        <v>58</v>
      </c>
      <c r="R388" s="163">
        <f>R387+Table1[[#This Row],[الوارد ]]-Table1[[#This Row],[المنصرف ]]</f>
        <v>687395.76941648603</v>
      </c>
      <c r="S388" s="226"/>
      <c r="T388" s="226"/>
    </row>
    <row r="389" spans="1:20">
      <c r="A389" s="237">
        <v>45683</v>
      </c>
      <c r="B389" s="160" t="str">
        <f>TEXT(Table1[[#This Row],[التاريخ ]],"DDD")</f>
        <v>Sun</v>
      </c>
      <c r="C389" s="160" t="str">
        <f>IF(Table1[[#This Row],[التاريخ ]]="","",TEXT(Table1[[#This Row],[التاريخ ]],"mmm"))</f>
        <v>Jan</v>
      </c>
      <c r="D389" s="161" t="s">
        <v>859</v>
      </c>
      <c r="G389" s="226">
        <v>466</v>
      </c>
      <c r="H389" s="227" t="str">
        <f>VLOOKUP(G:G,'[10]قاعدة بيانات  '!J:K,2,0)</f>
        <v xml:space="preserve">فاطمة محمود سلامه </v>
      </c>
      <c r="I389" s="226" t="s">
        <v>798</v>
      </c>
      <c r="J389" s="226" t="s">
        <v>111</v>
      </c>
      <c r="K389" s="226" t="s">
        <v>116</v>
      </c>
      <c r="L389" s="164">
        <v>235</v>
      </c>
      <c r="M389" s="165"/>
      <c r="N389" s="165"/>
      <c r="Q389" s="166">
        <v>168</v>
      </c>
      <c r="R389" s="163">
        <f>R388+Table1[[#This Row],[الوارد ]]-Table1[[#This Row],[المنصرف ]]</f>
        <v>687227.76941648603</v>
      </c>
      <c r="S389" s="226"/>
      <c r="T389" s="226"/>
    </row>
    <row r="390" spans="1:20">
      <c r="A390" s="237">
        <v>45683</v>
      </c>
      <c r="B390" s="160" t="str">
        <f>TEXT(Table1[[#This Row],[التاريخ ]],"DDD")</f>
        <v>Sun</v>
      </c>
      <c r="C390" s="160" t="str">
        <f>IF(Table1[[#This Row],[التاريخ ]]="","",TEXT(Table1[[#This Row],[التاريخ ]],"mmm"))</f>
        <v>Jan</v>
      </c>
      <c r="D390" s="161" t="s">
        <v>860</v>
      </c>
      <c r="G390" s="226">
        <v>541</v>
      </c>
      <c r="H390" s="227" t="str">
        <f>VLOOKUP(G:G,'[10]قاعدة بيانات  '!J:K,2,0)</f>
        <v xml:space="preserve">شيماء السيد السيد شلبي </v>
      </c>
      <c r="I390" s="226" t="s">
        <v>798</v>
      </c>
      <c r="J390" s="226" t="s">
        <v>111</v>
      </c>
      <c r="K390" s="226" t="s">
        <v>116</v>
      </c>
      <c r="L390" s="164">
        <v>236</v>
      </c>
      <c r="M390" s="165"/>
      <c r="N390" s="165"/>
      <c r="Q390" s="166">
        <v>168</v>
      </c>
      <c r="R390" s="163">
        <f>R389+Table1[[#This Row],[الوارد ]]-Table1[[#This Row],[المنصرف ]]</f>
        <v>687059.76941648603</v>
      </c>
      <c r="S390" s="226"/>
      <c r="T390" s="226"/>
    </row>
    <row r="391" spans="1:20">
      <c r="A391" s="237">
        <v>45684</v>
      </c>
      <c r="B391" s="160" t="str">
        <f>TEXT(Table1[[#This Row],[التاريخ ]],"DDD")</f>
        <v>Mon</v>
      </c>
      <c r="C391" s="160" t="str">
        <f>IF(Table1[[#This Row],[التاريخ ]]="","",TEXT(Table1[[#This Row],[التاريخ ]],"mmm"))</f>
        <v>Jan</v>
      </c>
      <c r="D391" s="161" t="s">
        <v>861</v>
      </c>
      <c r="G391" s="226">
        <v>2</v>
      </c>
      <c r="H391" s="227" t="str">
        <f>VLOOKUP(G:G,'[10]قاعدة بيانات  '!J:K,2,0)</f>
        <v>علاء محمد عوض جاد الله</v>
      </c>
      <c r="I391" s="226" t="s">
        <v>199</v>
      </c>
      <c r="J391" s="226" t="s">
        <v>111</v>
      </c>
      <c r="K391" s="226" t="s">
        <v>116</v>
      </c>
      <c r="L391" s="164">
        <v>237</v>
      </c>
      <c r="M391" s="165"/>
      <c r="N391" s="165"/>
      <c r="Q391" s="166">
        <v>675</v>
      </c>
      <c r="R391" s="163">
        <f>R390+Table1[[#This Row],[الوارد ]]-Table1[[#This Row],[المنصرف ]]</f>
        <v>686384.76941648603</v>
      </c>
      <c r="S391" s="226"/>
      <c r="T391" s="226"/>
    </row>
    <row r="392" spans="1:20">
      <c r="A392" s="237">
        <v>45684</v>
      </c>
      <c r="B392" s="160" t="str">
        <f>TEXT(Table1[[#This Row],[التاريخ ]],"DDD")</f>
        <v>Mon</v>
      </c>
      <c r="C392" s="160" t="str">
        <f>IF(Table1[[#This Row],[التاريخ ]]="","",TEXT(Table1[[#This Row],[التاريخ ]],"mmm"))</f>
        <v>Jan</v>
      </c>
      <c r="D392" s="161" t="s">
        <v>862</v>
      </c>
      <c r="G392" s="226">
        <v>289</v>
      </c>
      <c r="H392" s="227" t="str">
        <f>VLOOKUP(G:G,'[10]قاعدة بيانات  '!J:K,2,0)</f>
        <v>صبري عبد الهادي عبد الهادي</v>
      </c>
      <c r="I392" s="226" t="s">
        <v>199</v>
      </c>
      <c r="J392" s="226" t="s">
        <v>111</v>
      </c>
      <c r="K392" s="226" t="s">
        <v>314</v>
      </c>
      <c r="L392" s="164">
        <v>238</v>
      </c>
      <c r="M392" s="165"/>
      <c r="N392" s="165"/>
      <c r="Q392" s="166">
        <v>17</v>
      </c>
      <c r="R392" s="163">
        <f>R391+Table1[[#This Row],[الوارد ]]-Table1[[#This Row],[المنصرف ]]</f>
        <v>686367.76941648603</v>
      </c>
      <c r="S392" s="226"/>
      <c r="T392" s="226"/>
    </row>
    <row r="393" spans="1:20">
      <c r="A393" s="237">
        <v>45684</v>
      </c>
      <c r="B393" s="160" t="str">
        <f>TEXT(Table1[[#This Row],[التاريخ ]],"DDD")</f>
        <v>Mon</v>
      </c>
      <c r="C393" s="160" t="str">
        <f>IF(Table1[[#This Row],[التاريخ ]]="","",TEXT(Table1[[#This Row],[التاريخ ]],"mmm"))</f>
        <v>Jan</v>
      </c>
      <c r="D393" s="161" t="s">
        <v>863</v>
      </c>
      <c r="G393" s="226">
        <v>289</v>
      </c>
      <c r="H393" s="227" t="str">
        <f>VLOOKUP(G:G,'[10]قاعدة بيانات  '!J:K,2,0)</f>
        <v>صبري عبد الهادي عبد الهادي</v>
      </c>
      <c r="I393" s="226" t="s">
        <v>199</v>
      </c>
      <c r="J393" s="226" t="s">
        <v>111</v>
      </c>
      <c r="K393" s="226" t="s">
        <v>116</v>
      </c>
      <c r="L393" s="164">
        <v>239</v>
      </c>
      <c r="M393" s="165"/>
      <c r="N393" s="165"/>
      <c r="Q393" s="166">
        <v>7</v>
      </c>
      <c r="R393" s="163">
        <f>R392+Table1[[#This Row],[الوارد ]]-Table1[[#This Row],[المنصرف ]]</f>
        <v>686360.76941648603</v>
      </c>
      <c r="S393" s="226"/>
      <c r="T393" s="226"/>
    </row>
    <row r="394" spans="1:20">
      <c r="A394" s="237">
        <v>45684</v>
      </c>
      <c r="B394" s="160" t="str">
        <f>TEXT(Table1[[#This Row],[التاريخ ]],"DDD")</f>
        <v>Mon</v>
      </c>
      <c r="C394" s="160" t="str">
        <f>IF(Table1[[#This Row],[التاريخ ]]="","",TEXT(Table1[[#This Row],[التاريخ ]],"mmm"))</f>
        <v>Jan</v>
      </c>
      <c r="D394" s="161" t="s">
        <v>805</v>
      </c>
      <c r="E394" s="161" t="s">
        <v>806</v>
      </c>
      <c r="F394" s="162">
        <v>2.70120253153297E+16</v>
      </c>
      <c r="G394" s="226">
        <v>289</v>
      </c>
      <c r="H394" s="227" t="str">
        <f>VLOOKUP(G:G,'[10]قاعدة بيانات  '!J:K,2,0)</f>
        <v>صبري عبد الهادي عبد الهادي</v>
      </c>
      <c r="I394" s="226" t="s">
        <v>199</v>
      </c>
      <c r="J394" s="226" t="s">
        <v>111</v>
      </c>
      <c r="K394" s="226" t="s">
        <v>129</v>
      </c>
      <c r="L394" s="164">
        <v>239</v>
      </c>
      <c r="M394" s="165"/>
      <c r="N394" s="165"/>
      <c r="Q394" s="166">
        <v>200</v>
      </c>
      <c r="R394" s="163">
        <f>R393+Table1[[#This Row],[الوارد ]]-Table1[[#This Row],[المنصرف ]]</f>
        <v>686160.76941648603</v>
      </c>
      <c r="S394" s="226"/>
      <c r="T394" s="226"/>
    </row>
    <row r="395" spans="1:20">
      <c r="A395" s="237">
        <v>45685</v>
      </c>
      <c r="B395" s="160" t="str">
        <f>TEXT(Table1[[#This Row],[التاريخ ]],"DDD")</f>
        <v>Tue</v>
      </c>
      <c r="C395" s="160" t="str">
        <f>IF(Table1[[#This Row],[التاريخ ]]="","",TEXT(Table1[[#This Row],[التاريخ ]],"mmm"))</f>
        <v>Jan</v>
      </c>
      <c r="D395" s="161" t="s">
        <v>864</v>
      </c>
      <c r="G395" s="226">
        <v>494</v>
      </c>
      <c r="H395" s="227" t="str">
        <f>VLOOKUP(G:G,'[10]قاعدة بيانات  '!J:K,2,0)</f>
        <v xml:space="preserve">محمود عبدالمنعم محمد إبراهيم </v>
      </c>
      <c r="I395" s="226" t="s">
        <v>106</v>
      </c>
      <c r="J395" s="226" t="s">
        <v>111</v>
      </c>
      <c r="K395" s="226" t="s">
        <v>116</v>
      </c>
      <c r="L395" s="164">
        <v>240</v>
      </c>
      <c r="M395" s="165"/>
      <c r="N395" s="165"/>
      <c r="Q395" s="166">
        <v>148</v>
      </c>
      <c r="R395" s="163">
        <f>R394+Table1[[#This Row],[الوارد ]]-Table1[[#This Row],[المنصرف ]]</f>
        <v>686012.76941648603</v>
      </c>
      <c r="S395" s="226"/>
      <c r="T395" s="226"/>
    </row>
    <row r="396" spans="1:20">
      <c r="A396" s="237">
        <v>45685</v>
      </c>
      <c r="B396" s="160" t="str">
        <f>TEXT(Table1[[#This Row],[التاريخ ]],"DDD")</f>
        <v>Tue</v>
      </c>
      <c r="C396" s="160" t="str">
        <f>IF(Table1[[#This Row],[التاريخ ]]="","",TEXT(Table1[[#This Row],[التاريخ ]],"mmm"))</f>
        <v>Jan</v>
      </c>
      <c r="D396" s="161" t="s">
        <v>859</v>
      </c>
      <c r="G396" s="226">
        <v>466</v>
      </c>
      <c r="H396" s="227" t="str">
        <f>VLOOKUP(G:G,'[10]قاعدة بيانات  '!J:K,2,0)</f>
        <v xml:space="preserve">فاطمة محمود سلامه </v>
      </c>
      <c r="I396" s="226" t="s">
        <v>798</v>
      </c>
      <c r="J396" s="226" t="s">
        <v>111</v>
      </c>
      <c r="K396" s="226" t="s">
        <v>116</v>
      </c>
      <c r="L396" s="164">
        <v>241</v>
      </c>
      <c r="M396" s="165"/>
      <c r="N396" s="165"/>
      <c r="Q396" s="166">
        <v>147.5</v>
      </c>
      <c r="R396" s="163">
        <f>R395+Table1[[#This Row],[الوارد ]]-Table1[[#This Row],[المنصرف ]]</f>
        <v>685865.26941648603</v>
      </c>
      <c r="S396" s="226"/>
      <c r="T396" s="226"/>
    </row>
    <row r="397" spans="1:20">
      <c r="A397" s="237">
        <v>45685</v>
      </c>
      <c r="B397" s="160" t="str">
        <f>TEXT(Table1[[#This Row],[التاريخ ]],"DDD")</f>
        <v>Tue</v>
      </c>
      <c r="C397" s="160" t="str">
        <f>IF(Table1[[#This Row],[التاريخ ]]="","",TEXT(Table1[[#This Row],[التاريخ ]],"mmm"))</f>
        <v>Jan</v>
      </c>
      <c r="D397" s="161" t="s">
        <v>865</v>
      </c>
      <c r="G397" s="226">
        <v>503</v>
      </c>
      <c r="H397" s="227" t="str">
        <f>VLOOKUP(G:G,'[10]قاعدة بيانات  '!J:K,2,0)</f>
        <v xml:space="preserve">اسلام احمد محمود </v>
      </c>
      <c r="I397" s="226" t="s">
        <v>866</v>
      </c>
      <c r="J397" s="226" t="s">
        <v>111</v>
      </c>
      <c r="K397" s="226" t="s">
        <v>815</v>
      </c>
      <c r="L397" s="164">
        <v>242</v>
      </c>
      <c r="M397" s="165"/>
      <c r="N397" s="165"/>
      <c r="Q397" s="166">
        <v>125.5</v>
      </c>
      <c r="R397" s="163">
        <f>R396+Table1[[#This Row],[الوارد ]]-Table1[[#This Row],[المنصرف ]]</f>
        <v>685739.76941648603</v>
      </c>
      <c r="S397" s="226"/>
      <c r="T397" s="226"/>
    </row>
    <row r="398" spans="1:20">
      <c r="A398" s="237">
        <v>45685</v>
      </c>
      <c r="B398" s="160" t="str">
        <f>TEXT(Table1[[#This Row],[التاريخ ]],"DDD")</f>
        <v>Tue</v>
      </c>
      <c r="C398" s="160" t="str">
        <f>IF(Table1[[#This Row],[التاريخ ]]="","",TEXT(Table1[[#This Row],[التاريخ ]],"mmm"))</f>
        <v>Jan</v>
      </c>
      <c r="D398" s="161" t="s">
        <v>865</v>
      </c>
      <c r="G398" s="226">
        <v>503</v>
      </c>
      <c r="H398" s="227" t="str">
        <f>VLOOKUP(G:G,'[10]قاعدة بيانات  '!J:K,2,0)</f>
        <v xml:space="preserve">اسلام احمد محمود </v>
      </c>
      <c r="I398" s="226" t="s">
        <v>866</v>
      </c>
      <c r="J398" s="226" t="s">
        <v>111</v>
      </c>
      <c r="K398" s="226" t="s">
        <v>815</v>
      </c>
      <c r="L398" s="164">
        <v>243</v>
      </c>
      <c r="M398" s="165"/>
      <c r="N398" s="165"/>
      <c r="Q398" s="166">
        <v>127.5</v>
      </c>
      <c r="R398" s="163">
        <f>R397+Table1[[#This Row],[الوارد ]]-Table1[[#This Row],[المنصرف ]]</f>
        <v>685612.26941648603</v>
      </c>
      <c r="S398" s="226"/>
      <c r="T398" s="226"/>
    </row>
    <row r="399" spans="1:20">
      <c r="A399" s="237">
        <v>45685</v>
      </c>
      <c r="B399" s="160" t="str">
        <f>TEXT(Table1[[#This Row],[التاريخ ]],"DDD")</f>
        <v>Tue</v>
      </c>
      <c r="C399" s="160" t="str">
        <f>IF(Table1[[#This Row],[التاريخ ]]="","",TEXT(Table1[[#This Row],[التاريخ ]],"mmm"))</f>
        <v>Jan</v>
      </c>
      <c r="D399" s="161" t="s">
        <v>865</v>
      </c>
      <c r="G399" s="226">
        <v>503</v>
      </c>
      <c r="H399" s="227" t="str">
        <f>VLOOKUP(G:G,'[10]قاعدة بيانات  '!J:K,2,0)</f>
        <v xml:space="preserve">اسلام احمد محمود </v>
      </c>
      <c r="I399" s="226" t="s">
        <v>103</v>
      </c>
      <c r="J399" s="226" t="s">
        <v>111</v>
      </c>
      <c r="K399" s="226" t="s">
        <v>815</v>
      </c>
      <c r="L399" s="164">
        <v>244</v>
      </c>
      <c r="M399" s="165"/>
      <c r="N399" s="165"/>
      <c r="Q399" s="166">
        <f>236.5-Q400</f>
        <v>98.5</v>
      </c>
      <c r="R399" s="163">
        <f>R398+Table1[[#This Row],[الوارد ]]-Table1[[#This Row],[المنصرف ]]</f>
        <v>685513.76941648603</v>
      </c>
      <c r="S399" s="226"/>
      <c r="T399" s="226"/>
    </row>
    <row r="400" spans="1:20">
      <c r="A400" s="237">
        <v>45685</v>
      </c>
      <c r="B400" s="160" t="str">
        <f>TEXT(Table1[[#This Row],[التاريخ ]],"DDD")</f>
        <v>Tue</v>
      </c>
      <c r="C400" s="160" t="str">
        <f>IF(Table1[[#This Row],[التاريخ ]]="","",TEXT(Table1[[#This Row],[التاريخ ]],"mmm"))</f>
        <v>Jan</v>
      </c>
      <c r="D400" s="161" t="s">
        <v>851</v>
      </c>
      <c r="G400" s="226">
        <v>503</v>
      </c>
      <c r="H400" s="227" t="str">
        <f>VLOOKUP(G:G,'[10]قاعدة بيانات  '!J:K,2,0)</f>
        <v xml:space="preserve">اسلام احمد محمود </v>
      </c>
      <c r="I400" s="226" t="s">
        <v>103</v>
      </c>
      <c r="J400" s="226" t="s">
        <v>111</v>
      </c>
      <c r="K400" s="226" t="s">
        <v>120</v>
      </c>
      <c r="L400" s="164">
        <v>244</v>
      </c>
      <c r="M400" s="165"/>
      <c r="N400" s="165"/>
      <c r="Q400" s="166">
        <v>138</v>
      </c>
      <c r="R400" s="163">
        <f>R399+Table1[[#This Row],[الوارد ]]-Table1[[#This Row],[المنصرف ]]</f>
        <v>685375.76941648603</v>
      </c>
      <c r="S400" s="226"/>
      <c r="T400" s="226"/>
    </row>
    <row r="401" spans="1:20">
      <c r="A401" s="237">
        <v>45685</v>
      </c>
      <c r="B401" s="160" t="str">
        <f>TEXT(Table1[[#This Row],[التاريخ ]],"DDD")</f>
        <v>Tue</v>
      </c>
      <c r="C401" s="160" t="str">
        <f>IF(Table1[[#This Row],[التاريخ ]]="","",TEXT(Table1[[#This Row],[التاريخ ]],"mmm"))</f>
        <v>Jan</v>
      </c>
      <c r="D401" s="161" t="s">
        <v>867</v>
      </c>
      <c r="G401" s="226">
        <v>294</v>
      </c>
      <c r="H401" s="227" t="str">
        <f>VLOOKUP(G:G,'[10]قاعدة بيانات  '!J:K,2,0)</f>
        <v>باسم ناجي سعد</v>
      </c>
      <c r="I401" s="226" t="s">
        <v>199</v>
      </c>
      <c r="J401" s="226" t="s">
        <v>111</v>
      </c>
      <c r="K401" s="226" t="s">
        <v>141</v>
      </c>
      <c r="L401" s="164">
        <v>245</v>
      </c>
      <c r="M401" s="165"/>
      <c r="N401" s="165"/>
      <c r="Q401" s="166">
        <v>300</v>
      </c>
      <c r="R401" s="163">
        <f>R400+Table1[[#This Row],[الوارد ]]-Table1[[#This Row],[المنصرف ]]</f>
        <v>685075.76941648603</v>
      </c>
      <c r="S401" s="226"/>
      <c r="T401" s="226"/>
    </row>
    <row r="402" spans="1:20">
      <c r="A402" s="237">
        <v>45686</v>
      </c>
      <c r="B402" s="160" t="str">
        <f>TEXT(Table1[[#This Row],[التاريخ ]],"DDD")</f>
        <v>Wed</v>
      </c>
      <c r="C402" s="160" t="str">
        <f>IF(Table1[[#This Row],[التاريخ ]]="","",TEXT(Table1[[#This Row],[التاريخ ]],"mmm"))</f>
        <v>Jan</v>
      </c>
      <c r="D402" s="161" t="s">
        <v>868</v>
      </c>
      <c r="G402" s="226">
        <v>541</v>
      </c>
      <c r="H402" s="227" t="str">
        <f>VLOOKUP(G:G,'[10]قاعدة بيانات  '!J:K,2,0)</f>
        <v xml:space="preserve">شيماء السيد السيد شلبي </v>
      </c>
      <c r="I402" s="226" t="s">
        <v>798</v>
      </c>
      <c r="J402" s="226" t="s">
        <v>111</v>
      </c>
      <c r="K402" s="226" t="s">
        <v>116</v>
      </c>
      <c r="L402" s="164">
        <v>246</v>
      </c>
      <c r="M402" s="165"/>
      <c r="N402" s="165"/>
      <c r="Q402" s="166">
        <v>147.5</v>
      </c>
      <c r="R402" s="163">
        <f>R401+Table1[[#This Row],[الوارد ]]-Table1[[#This Row],[المنصرف ]]</f>
        <v>684928.26941648603</v>
      </c>
      <c r="S402" s="226"/>
      <c r="T402" s="226"/>
    </row>
    <row r="403" spans="1:20">
      <c r="A403" s="237">
        <v>45686</v>
      </c>
      <c r="B403" s="160" t="str">
        <f>TEXT(Table1[[#This Row],[التاريخ ]],"DDD")</f>
        <v>Wed</v>
      </c>
      <c r="C403" s="160" t="str">
        <f>IF(Table1[[#This Row],[التاريخ ]]="","",TEXT(Table1[[#This Row],[التاريخ ]],"mmm"))</f>
        <v>Jan</v>
      </c>
      <c r="D403" s="161" t="s">
        <v>869</v>
      </c>
      <c r="G403" s="226">
        <v>289</v>
      </c>
      <c r="H403" s="227" t="str">
        <f>VLOOKUP(G:G,'[10]قاعدة بيانات  '!J:K,2,0)</f>
        <v>صبري عبد الهادي عبد الهادي</v>
      </c>
      <c r="I403" s="226" t="s">
        <v>199</v>
      </c>
      <c r="J403" s="226" t="s">
        <v>111</v>
      </c>
      <c r="K403" s="226" t="s">
        <v>127</v>
      </c>
      <c r="L403" s="164">
        <v>247</v>
      </c>
      <c r="M403" s="165"/>
      <c r="N403" s="165"/>
      <c r="Q403" s="166">
        <v>45</v>
      </c>
      <c r="R403" s="163">
        <f>R402+Table1[[#This Row],[الوارد ]]-Table1[[#This Row],[المنصرف ]]</f>
        <v>684883.26941648603</v>
      </c>
      <c r="S403" s="226"/>
      <c r="T403" s="226"/>
    </row>
    <row r="404" spans="1:20">
      <c r="A404" s="237">
        <v>45686</v>
      </c>
      <c r="B404" s="160" t="str">
        <f>TEXT(Table1[[#This Row],[التاريخ ]],"DDD")</f>
        <v>Wed</v>
      </c>
      <c r="C404" s="160" t="str">
        <f>IF(Table1[[#This Row],[التاريخ ]]="","",TEXT(Table1[[#This Row],[التاريخ ]],"mmm"))</f>
        <v>Jan</v>
      </c>
      <c r="D404" s="161" t="s">
        <v>865</v>
      </c>
      <c r="G404" s="226">
        <v>129</v>
      </c>
      <c r="H404" s="227" t="str">
        <f>VLOOKUP(G:G,'[10]قاعدة بيانات  '!J:K,2,0)</f>
        <v>نانسى يوسف عزيز يوسف</v>
      </c>
      <c r="I404" s="226" t="s">
        <v>866</v>
      </c>
      <c r="J404" s="226" t="s">
        <v>111</v>
      </c>
      <c r="K404" s="226" t="s">
        <v>815</v>
      </c>
      <c r="L404" s="164">
        <v>248</v>
      </c>
      <c r="M404" s="165"/>
      <c r="N404" s="165"/>
      <c r="Q404" s="166">
        <v>67.5</v>
      </c>
      <c r="R404" s="163">
        <f>R403+Table1[[#This Row],[الوارد ]]-Table1[[#This Row],[المنصرف ]]</f>
        <v>684815.76941648603</v>
      </c>
      <c r="S404" s="226"/>
      <c r="T404" s="226"/>
    </row>
    <row r="405" spans="1:20">
      <c r="A405" s="237">
        <v>45686</v>
      </c>
      <c r="B405" s="160" t="str">
        <f>TEXT(Table1[[#This Row],[التاريخ ]],"DDD")</f>
        <v>Wed</v>
      </c>
      <c r="C405" s="160" t="str">
        <f>IF(Table1[[#This Row],[التاريخ ]]="","",TEXT(Table1[[#This Row],[التاريخ ]],"mmm"))</f>
        <v>Jan</v>
      </c>
      <c r="D405" s="161" t="s">
        <v>865</v>
      </c>
      <c r="G405" s="226">
        <v>129</v>
      </c>
      <c r="H405" s="227" t="str">
        <f>VLOOKUP(G:G,'[10]قاعدة بيانات  '!J:K,2,0)</f>
        <v>نانسى يوسف عزيز يوسف</v>
      </c>
      <c r="I405" s="226" t="s">
        <v>98</v>
      </c>
      <c r="J405" s="226" t="s">
        <v>111</v>
      </c>
      <c r="K405" s="226" t="s">
        <v>815</v>
      </c>
      <c r="L405" s="164">
        <v>249</v>
      </c>
      <c r="M405" s="165"/>
      <c r="N405" s="165"/>
      <c r="Q405" s="166">
        <v>56</v>
      </c>
      <c r="R405" s="163">
        <f>R404+Table1[[#This Row],[الوارد ]]-Table1[[#This Row],[المنصرف ]]</f>
        <v>684759.76941648603</v>
      </c>
      <c r="S405" s="226"/>
      <c r="T405" s="226"/>
    </row>
    <row r="406" spans="1:20">
      <c r="A406" s="237">
        <v>45686</v>
      </c>
      <c r="B406" s="160" t="str">
        <f>TEXT(Table1[[#This Row],[التاريخ ]],"DDD")</f>
        <v>Wed</v>
      </c>
      <c r="C406" s="160" t="str">
        <f>IF(Table1[[#This Row],[التاريخ ]]="","",TEXT(Table1[[#This Row],[التاريخ ]],"mmm"))</f>
        <v>Jan</v>
      </c>
      <c r="D406" s="161" t="s">
        <v>870</v>
      </c>
      <c r="G406" s="226">
        <v>141</v>
      </c>
      <c r="H406" s="227" t="str">
        <f>VLOOKUP(G:G,'[10]قاعدة بيانات  '!J:K,2,0)</f>
        <v xml:space="preserve">محمد جمال شحاته </v>
      </c>
      <c r="I406" s="226" t="s">
        <v>858</v>
      </c>
      <c r="J406" s="226" t="s">
        <v>111</v>
      </c>
      <c r="K406" s="226" t="s">
        <v>116</v>
      </c>
      <c r="L406" s="164">
        <v>250</v>
      </c>
      <c r="M406" s="165"/>
      <c r="N406" s="165"/>
      <c r="Q406" s="166">
        <v>135</v>
      </c>
      <c r="R406" s="163">
        <f>R405+Table1[[#This Row],[الوارد ]]-Table1[[#This Row],[المنصرف ]]</f>
        <v>684624.76941648603</v>
      </c>
      <c r="S406" s="226"/>
      <c r="T406" s="226"/>
    </row>
    <row r="407" spans="1:20">
      <c r="A407" s="237">
        <v>45686</v>
      </c>
      <c r="B407" s="160" t="str">
        <f>TEXT(Table1[[#This Row],[التاريخ ]],"DDD")</f>
        <v>Wed</v>
      </c>
      <c r="C407" s="160" t="str">
        <f>IF(Table1[[#This Row],[التاريخ ]]="","",TEXT(Table1[[#This Row],[التاريخ ]],"mmm"))</f>
        <v>Jan</v>
      </c>
      <c r="D407" s="161" t="s">
        <v>870</v>
      </c>
      <c r="G407" s="226">
        <v>141</v>
      </c>
      <c r="H407" s="227" t="str">
        <f>VLOOKUP(G:G,'[10]قاعدة بيانات  '!J:K,2,0)</f>
        <v xml:space="preserve">محمد جمال شحاته </v>
      </c>
      <c r="I407" s="226" t="s">
        <v>199</v>
      </c>
      <c r="J407" s="226" t="s">
        <v>111</v>
      </c>
      <c r="K407" s="226" t="s">
        <v>116</v>
      </c>
      <c r="L407" s="164">
        <v>251</v>
      </c>
      <c r="M407" s="165"/>
      <c r="N407" s="165"/>
      <c r="Q407" s="166">
        <v>160</v>
      </c>
      <c r="R407" s="163">
        <f>R406+Table1[[#This Row],[الوارد ]]-Table1[[#This Row],[المنصرف ]]</f>
        <v>684464.76941648603</v>
      </c>
      <c r="S407" s="226"/>
      <c r="T407" s="226"/>
    </row>
    <row r="408" spans="1:20">
      <c r="A408" s="237">
        <v>45687</v>
      </c>
      <c r="B408" s="160" t="str">
        <f>TEXT(Table1[[#This Row],[التاريخ ]],"DDD")</f>
        <v>Thu</v>
      </c>
      <c r="C408" s="160" t="str">
        <f>IF(Table1[[#This Row],[التاريخ ]]="","",TEXT(Table1[[#This Row],[التاريخ ]],"mmm"))</f>
        <v>Jan</v>
      </c>
      <c r="D408" s="161" t="s">
        <v>871</v>
      </c>
      <c r="G408" s="226">
        <v>418</v>
      </c>
      <c r="H408" s="227" t="str">
        <f>VLOOKUP(G:G,'[10]قاعدة بيانات  '!J:K,2,0)</f>
        <v>احمد حمدي</v>
      </c>
      <c r="I408" s="226" t="s">
        <v>199</v>
      </c>
      <c r="J408" s="226" t="s">
        <v>111</v>
      </c>
      <c r="K408" s="226" t="s">
        <v>133</v>
      </c>
      <c r="L408" s="164">
        <v>252</v>
      </c>
      <c r="M408" s="165"/>
      <c r="N408" s="165"/>
      <c r="Q408" s="166">
        <v>1858.66</v>
      </c>
      <c r="R408" s="163">
        <f>R407+Table1[[#This Row],[الوارد ]]-Table1[[#This Row],[المنصرف ]]</f>
        <v>682606.109416486</v>
      </c>
      <c r="S408" s="226"/>
      <c r="T408" s="226"/>
    </row>
    <row r="409" spans="1:20">
      <c r="A409" s="237">
        <v>45687</v>
      </c>
      <c r="B409" s="160" t="str">
        <f>TEXT(Table1[[#This Row],[التاريخ ]],"DDD")</f>
        <v>Thu</v>
      </c>
      <c r="C409" s="160" t="str">
        <f>IF(Table1[[#This Row],[التاريخ ]]="","",TEXT(Table1[[#This Row],[التاريخ ]],"mmm"))</f>
        <v>Jan</v>
      </c>
      <c r="D409" s="161" t="s">
        <v>872</v>
      </c>
      <c r="G409" s="226">
        <v>294</v>
      </c>
      <c r="H409" s="227" t="str">
        <f>VLOOKUP(G:G,'[10]قاعدة بيانات  '!J:K,2,0)</f>
        <v>باسم ناجي سعد</v>
      </c>
      <c r="I409" s="226" t="s">
        <v>199</v>
      </c>
      <c r="J409" s="226" t="s">
        <v>111</v>
      </c>
      <c r="K409" s="226" t="s">
        <v>131</v>
      </c>
      <c r="L409" s="164">
        <v>253</v>
      </c>
      <c r="M409" s="165"/>
      <c r="N409" s="165"/>
      <c r="Q409" s="166">
        <v>97296.84</v>
      </c>
      <c r="R409" s="163">
        <f>R408+Table1[[#This Row],[الوارد ]]-Table1[[#This Row],[المنصرف ]]</f>
        <v>585309.26941648603</v>
      </c>
      <c r="S409" s="226"/>
      <c r="T409" s="226"/>
    </row>
    <row r="410" spans="1:20">
      <c r="A410" s="237">
        <v>45321</v>
      </c>
      <c r="B410" s="160" t="str">
        <f>TEXT(Table1[[#This Row],[التاريخ ]],"DDD")</f>
        <v>Tue</v>
      </c>
      <c r="C410" s="160" t="str">
        <f>IF(Table1[[#This Row],[التاريخ ]]="","",TEXT(Table1[[#This Row],[التاريخ ]],"mmm"))</f>
        <v>Jan</v>
      </c>
      <c r="D410" s="161" t="s">
        <v>874</v>
      </c>
      <c r="G410" s="226">
        <v>294</v>
      </c>
      <c r="H410" s="227" t="str">
        <f>VLOOKUP(G:G,'[10]قاعدة بيانات  '!J:K,2,0)</f>
        <v>باسم ناجي سعد</v>
      </c>
      <c r="I410" s="226" t="s">
        <v>199</v>
      </c>
      <c r="J410" s="226" t="s">
        <v>111</v>
      </c>
      <c r="K410" s="226" t="s">
        <v>116</v>
      </c>
      <c r="L410" s="164">
        <v>254</v>
      </c>
      <c r="M410" s="165"/>
      <c r="N410" s="165"/>
      <c r="Q410" s="166">
        <v>14</v>
      </c>
      <c r="R410" s="163">
        <f>R409+Table1[[#This Row],[الوارد ]]-Table1[[#This Row],[المنصرف ]]</f>
        <v>585295.26941648603</v>
      </c>
      <c r="S410" s="226"/>
      <c r="T410" s="226"/>
    </row>
    <row r="411" spans="1:20">
      <c r="A411" s="237">
        <v>45687</v>
      </c>
      <c r="B411" s="160" t="str">
        <f>TEXT(Table1[[#This Row],[التاريخ ]],"DDD")</f>
        <v>Thu</v>
      </c>
      <c r="C411" s="160" t="str">
        <f>IF(Table1[[#This Row],[التاريخ ]]="","",TEXT(Table1[[#This Row],[التاريخ ]],"mmm"))</f>
        <v>Jan</v>
      </c>
      <c r="D411" s="161" t="s">
        <v>875</v>
      </c>
      <c r="G411" s="226">
        <v>294</v>
      </c>
      <c r="H411" s="227" t="str">
        <f>VLOOKUP(G:G,'[10]قاعدة بيانات  '!J:K,2,0)</f>
        <v>باسم ناجي سعد</v>
      </c>
      <c r="I411" s="226" t="s">
        <v>199</v>
      </c>
      <c r="J411" s="226" t="s">
        <v>111</v>
      </c>
      <c r="K411" s="226" t="s">
        <v>192</v>
      </c>
      <c r="L411" s="164">
        <v>255</v>
      </c>
      <c r="M411" s="165"/>
      <c r="N411" s="165"/>
      <c r="Q411" s="166">
        <v>4269.21</v>
      </c>
      <c r="R411" s="163">
        <f>R410+Table1[[#This Row],[الوارد ]]-Table1[[#This Row],[المنصرف ]]</f>
        <v>581026.05941648607</v>
      </c>
      <c r="S411" s="226"/>
      <c r="T411" s="226"/>
    </row>
    <row r="412" spans="1:20">
      <c r="A412" s="237">
        <v>45688</v>
      </c>
      <c r="B412" s="160" t="str">
        <f>TEXT(Table1[[#This Row],[التاريخ ]],"DDD")</f>
        <v>Fri</v>
      </c>
      <c r="C412" s="160" t="str">
        <f>IF(Table1[[#This Row],[التاريخ ]]="","",TEXT(Table1[[#This Row],[التاريخ ]],"mmm"))</f>
        <v>Jan</v>
      </c>
      <c r="D412" s="161" t="s">
        <v>876</v>
      </c>
      <c r="G412" s="226">
        <v>4444</v>
      </c>
      <c r="H412" s="227" t="e">
        <f>VLOOKUP(G:G,'[10]قاعدة بيانات  '!J:K,2,0)</f>
        <v>#N/A</v>
      </c>
      <c r="I412" s="226" t="s">
        <v>199</v>
      </c>
      <c r="J412" s="226" t="s">
        <v>111</v>
      </c>
      <c r="K412" s="226" t="s">
        <v>131</v>
      </c>
      <c r="L412" s="164">
        <v>256</v>
      </c>
      <c r="M412" s="165"/>
      <c r="N412" s="165"/>
      <c r="Q412" s="166">
        <v>1000</v>
      </c>
      <c r="R412" s="163">
        <f>R411+Table1[[#This Row],[الوارد ]]-Table1[[#This Row],[المنصرف ]]</f>
        <v>580026.05941648607</v>
      </c>
      <c r="S412" s="234">
        <v>8023</v>
      </c>
      <c r="T412" s="226"/>
    </row>
    <row r="413" spans="1:20">
      <c r="A413" s="237">
        <v>45687</v>
      </c>
      <c r="B413" s="160" t="str">
        <f>TEXT(Table1[[#This Row],[التاريخ ]],"DDD")</f>
        <v>Thu</v>
      </c>
      <c r="C413" s="160" t="str">
        <f>IF(Table1[[#This Row],[التاريخ ]]="","",TEXT(Table1[[#This Row],[التاريخ ]],"mmm"))</f>
        <v>Jan</v>
      </c>
      <c r="D413" s="161" t="s">
        <v>758</v>
      </c>
      <c r="G413" s="226">
        <v>151</v>
      </c>
      <c r="H413" s="227" t="str">
        <f>VLOOKUP(G:G,'قاعدة بيانات  '!K:L,2,0)</f>
        <v xml:space="preserve">احمد عبد الباسط عبد السلام محمد </v>
      </c>
      <c r="I413" s="226" t="s">
        <v>198</v>
      </c>
      <c r="J413" s="226" t="s">
        <v>301</v>
      </c>
      <c r="K413" s="226" t="s">
        <v>368</v>
      </c>
      <c r="L413" s="164">
        <v>257</v>
      </c>
      <c r="M413" s="165"/>
      <c r="N413" s="165"/>
      <c r="Q413" s="166">
        <f>447243.18-140000</f>
        <v>307243.18</v>
      </c>
      <c r="R413" s="163">
        <f>R412+Table1[[#This Row],[الوارد ]]-Table1[[#This Row],[المنصرف ]]</f>
        <v>272782.87941648607</v>
      </c>
      <c r="S413" s="234">
        <v>439220.18</v>
      </c>
      <c r="T413" s="226"/>
    </row>
    <row r="414" spans="1:20">
      <c r="A414" s="237">
        <v>45687</v>
      </c>
      <c r="B414" s="160" t="str">
        <f>TEXT(Table1[[#This Row],[التاريخ ]],"DDD")</f>
        <v>Thu</v>
      </c>
      <c r="C414" s="160" t="str">
        <f>IF(Table1[[#This Row],[التاريخ ]]="","",TEXT(Table1[[#This Row],[التاريخ ]],"mmm"))</f>
        <v>Jan</v>
      </c>
      <c r="D414" s="161" t="s">
        <v>1180</v>
      </c>
      <c r="G414" s="226">
        <v>151</v>
      </c>
      <c r="H414" s="227" t="str">
        <f>VLOOKUP(G:G,'قاعدة بيانات  '!K:L,2,0)</f>
        <v xml:space="preserve">احمد عبد الباسط عبد السلام محمد </v>
      </c>
      <c r="I414" s="226" t="s">
        <v>167</v>
      </c>
      <c r="J414" s="226" t="s">
        <v>301</v>
      </c>
      <c r="K414" s="226" t="s">
        <v>1179</v>
      </c>
      <c r="L414" s="164">
        <v>257</v>
      </c>
      <c r="M414" s="165"/>
      <c r="N414" s="165"/>
      <c r="Q414" s="166">
        <v>140000</v>
      </c>
      <c r="R414" s="163">
        <f>R413+Table1[[#This Row],[الوارد ]]-Table1[[#This Row],[المنصرف ]]</f>
        <v>132782.87941648607</v>
      </c>
      <c r="S414" s="234"/>
      <c r="T414" s="226"/>
    </row>
    <row r="415" spans="1:20">
      <c r="A415" s="237">
        <v>45687</v>
      </c>
      <c r="B415" s="160" t="str">
        <f>TEXT(Table1[[#This Row],[التاريخ ]],"DDD")</f>
        <v>Thu</v>
      </c>
      <c r="C415" s="160" t="str">
        <f>IF(Table1[[#This Row],[التاريخ ]]="","",TEXT(Table1[[#This Row],[التاريخ ]],"mmm"))</f>
        <v>Jan</v>
      </c>
      <c r="D415" s="161" t="s">
        <v>873</v>
      </c>
      <c r="G415" s="226">
        <v>151</v>
      </c>
      <c r="H415" s="227" t="str">
        <f>VLOOKUP(G:G,'[10]قاعدة بيانات  '!J:K,2,0)</f>
        <v xml:space="preserve">احمد عبد الباسط عبد السلام محمد </v>
      </c>
      <c r="I415" s="226" t="s">
        <v>198</v>
      </c>
      <c r="J415" s="226" t="s">
        <v>301</v>
      </c>
      <c r="K415" s="226" t="s">
        <v>126</v>
      </c>
      <c r="L415" s="164">
        <v>257</v>
      </c>
      <c r="M415" s="165"/>
      <c r="N415" s="165"/>
      <c r="Q415" s="166">
        <v>22743</v>
      </c>
      <c r="R415" s="163">
        <f>R414+Table1[[#This Row],[الوارد ]]-Table1[[#This Row],[المنصرف ]]</f>
        <v>110039.87941648607</v>
      </c>
      <c r="S415" s="234">
        <v>447243.18</v>
      </c>
      <c r="T415" s="226"/>
    </row>
    <row r="416" spans="1:20">
      <c r="A416" s="237"/>
      <c r="B416" s="160"/>
      <c r="H416" s="227" t="e">
        <f>VLOOKUP(G:G,'[10]قاعدة بيانات  '!J:K,2,0)</f>
        <v>#N/A</v>
      </c>
      <c r="L416" s="164"/>
      <c r="M416" s="165"/>
      <c r="N416" s="165"/>
      <c r="Q416" s="166"/>
      <c r="R416" s="163">
        <f>R415+Table1[[#This Row],[الوارد ]]-Table1[[#This Row],[المنصرف ]]</f>
        <v>110039.87941648607</v>
      </c>
      <c r="S416" s="240"/>
      <c r="T416" s="226"/>
    </row>
    <row r="417" spans="1:20">
      <c r="A417" s="237"/>
      <c r="B417" s="160" t="str">
        <f>TEXT(Table1[[#This Row],[التاريخ ]],"DDD")</f>
        <v>Sat</v>
      </c>
      <c r="C417" s="160" t="str">
        <f>IF(Table1[[#This Row],[التاريخ ]]="","",TEXT(Table1[[#This Row],[التاريخ ]],"mmm"))</f>
        <v/>
      </c>
      <c r="H417" s="227" t="e">
        <f>VLOOKUP(G:G,'قاعدة بيانات  '!K:L,2,0)</f>
        <v>#N/A</v>
      </c>
      <c r="L417" s="164"/>
      <c r="M417" s="165"/>
      <c r="N417" s="165"/>
      <c r="Q417" s="166"/>
      <c r="R417" s="163">
        <f>R416+Table1[[#This Row],[الوارد ]]-Table1[[#This Row],[المنصرف ]]</f>
        <v>110039.87941648607</v>
      </c>
      <c r="S417" s="226"/>
      <c r="T417" s="226"/>
    </row>
    <row r="418" spans="1:20" s="244" customFormat="1">
      <c r="A418" s="243">
        <v>45688</v>
      </c>
      <c r="B418" s="244" t="str">
        <f>TEXT(Table1[[#This Row],[التاريخ ]],"DDD")</f>
        <v>Fri</v>
      </c>
      <c r="C418" s="244" t="str">
        <f>IF(Table1[[#This Row],[التاريخ ]]="","",TEXT(Table1[[#This Row],[التاريخ ]],"mmm"))</f>
        <v>Jan</v>
      </c>
      <c r="D418" s="245" t="s">
        <v>894</v>
      </c>
      <c r="E418" s="245"/>
      <c r="F418" s="246"/>
      <c r="G418" s="248">
        <v>151</v>
      </c>
      <c r="H418" s="247" t="str">
        <f>VLOOKUP(G:G,'قاعدة بيانات  '!K:L,2,0)</f>
        <v xml:space="preserve">احمد عبد الباسط عبد السلام محمد </v>
      </c>
      <c r="I418" s="248"/>
      <c r="J418" s="248"/>
      <c r="K418" s="248"/>
      <c r="L418" s="249"/>
      <c r="M418" s="250"/>
      <c r="N418" s="250"/>
      <c r="P418" s="251"/>
      <c r="Q418" s="252"/>
      <c r="R418" s="163">
        <f>R417+Table1[[#This Row],[الوارد ]]-Table1[[#This Row],[المنصرف ]]</f>
        <v>110039.87941648607</v>
      </c>
      <c r="S418" s="248"/>
      <c r="T418" s="248"/>
    </row>
    <row r="419" spans="1:20">
      <c r="A419" s="237">
        <v>45689</v>
      </c>
      <c r="B419" s="160" t="str">
        <f>TEXT(Table1[[#This Row],[التاريخ ]],"DDD")</f>
        <v>Sat</v>
      </c>
      <c r="C419" s="160" t="str">
        <f>IF(Table1[[#This Row],[التاريخ ]]="","",TEXT(Table1[[#This Row],[التاريخ ]],"mmm"))</f>
        <v>Feb</v>
      </c>
      <c r="D419" s="161" t="s">
        <v>763</v>
      </c>
      <c r="G419" s="226">
        <v>151</v>
      </c>
      <c r="H419" s="227" t="str">
        <f>VLOOKUP(G:G,'قاعدة بيانات  '!K:L,2,0)</f>
        <v xml:space="preserve">احمد عبد الباسط عبد السلام محمد </v>
      </c>
      <c r="I419" s="226" t="s">
        <v>167</v>
      </c>
      <c r="J419" s="226" t="s">
        <v>301</v>
      </c>
      <c r="K419" s="226" t="s">
        <v>134</v>
      </c>
      <c r="L419" s="164">
        <v>258</v>
      </c>
      <c r="M419" s="165"/>
      <c r="N419" s="165"/>
      <c r="Q419" s="166">
        <v>4000</v>
      </c>
      <c r="R419" s="163">
        <f>R418+Table1[[#This Row],[الوارد ]]-Table1[[#This Row],[المنصرف ]]</f>
        <v>106039.87941648607</v>
      </c>
      <c r="S419" s="226"/>
      <c r="T419" s="226"/>
    </row>
    <row r="420" spans="1:20">
      <c r="A420" s="237">
        <v>45689</v>
      </c>
      <c r="B420" s="160" t="str">
        <f>TEXT(Table1[[#This Row],[التاريخ ]],"DDD")</f>
        <v>Sat</v>
      </c>
      <c r="C420" s="160" t="str">
        <f>IF(Table1[[#This Row],[التاريخ ]]="","",TEXT(Table1[[#This Row],[التاريخ ]],"mmm"))</f>
        <v>Feb</v>
      </c>
      <c r="D420" s="161" t="s">
        <v>764</v>
      </c>
      <c r="G420" s="226">
        <v>365</v>
      </c>
      <c r="H420" s="227" t="str">
        <f>VLOOKUP(G:G,'قاعدة بيانات  '!K:L,2,0)</f>
        <v>محمد رضا سعد حسن الشرقاوى</v>
      </c>
      <c r="I420" s="226" t="s">
        <v>198</v>
      </c>
      <c r="J420" s="226" t="s">
        <v>301</v>
      </c>
      <c r="K420" s="226" t="s">
        <v>302</v>
      </c>
      <c r="L420" s="164">
        <v>259</v>
      </c>
      <c r="M420" s="165"/>
      <c r="N420" s="165"/>
      <c r="Q420" s="166">
        <v>360</v>
      </c>
      <c r="R420" s="163">
        <f>R419+Table1[[#This Row],[الوارد ]]-Table1[[#This Row],[المنصرف ]]</f>
        <v>105679.87941648607</v>
      </c>
      <c r="S420" s="240"/>
      <c r="T420" s="226"/>
    </row>
    <row r="421" spans="1:20">
      <c r="A421" s="237">
        <v>45689</v>
      </c>
      <c r="B421" s="160" t="str">
        <f>TEXT(Table1[[#This Row],[التاريخ ]],"DDD")</f>
        <v>Sat</v>
      </c>
      <c r="C421" s="160" t="str">
        <f>IF(Table1[[#This Row],[التاريخ ]]="","",TEXT(Table1[[#This Row],[التاريخ ]],"mmm"))</f>
        <v>Feb</v>
      </c>
      <c r="D421" s="161" t="s">
        <v>765</v>
      </c>
      <c r="G421" s="226">
        <v>365</v>
      </c>
      <c r="H421" s="227" t="str">
        <f>VLOOKUP(G:G,'قاعدة بيانات  '!K:L,2,0)</f>
        <v>محمد رضا سعد حسن الشرقاوى</v>
      </c>
      <c r="I421" s="226" t="s">
        <v>167</v>
      </c>
      <c r="J421" s="226" t="s">
        <v>301</v>
      </c>
      <c r="K421" s="226" t="s">
        <v>116</v>
      </c>
      <c r="L421" s="164">
        <v>259</v>
      </c>
      <c r="M421" s="165"/>
      <c r="N421" s="165"/>
      <c r="Q421" s="166">
        <v>42</v>
      </c>
      <c r="R421" s="163">
        <f>R420+Table1[[#This Row],[الوارد ]]-Table1[[#This Row],[المنصرف ]]</f>
        <v>105637.87941648607</v>
      </c>
      <c r="S421" s="226"/>
      <c r="T421" s="226"/>
    </row>
    <row r="422" spans="1:20">
      <c r="A422" s="237">
        <v>45689</v>
      </c>
      <c r="B422" s="160" t="str">
        <f>TEXT(Table1[[#This Row],[التاريخ ]],"DDD")</f>
        <v>Sat</v>
      </c>
      <c r="C422" s="160" t="str">
        <f>IF(Table1[[#This Row],[التاريخ ]]="","",TEXT(Table1[[#This Row],[التاريخ ]],"mmm"))</f>
        <v>Feb</v>
      </c>
      <c r="D422" s="161" t="s">
        <v>720</v>
      </c>
      <c r="G422" s="226">
        <v>365</v>
      </c>
      <c r="H422" s="227" t="str">
        <f>VLOOKUP(G:G,'قاعدة بيانات  '!K:L,2,0)</f>
        <v>محمد رضا سعد حسن الشرقاوى</v>
      </c>
      <c r="I422" s="226" t="s">
        <v>198</v>
      </c>
      <c r="J422" s="226" t="s">
        <v>301</v>
      </c>
      <c r="K422" s="226" t="s">
        <v>123</v>
      </c>
      <c r="L422" s="164">
        <v>260</v>
      </c>
      <c r="M422" s="165"/>
      <c r="N422" s="165"/>
      <c r="Q422" s="166">
        <v>1742</v>
      </c>
      <c r="R422" s="163">
        <f>R421+Table1[[#This Row],[الوارد ]]-Table1[[#This Row],[المنصرف ]]</f>
        <v>103895.87941648607</v>
      </c>
      <c r="S422" s="226"/>
      <c r="T422" s="226"/>
    </row>
    <row r="423" spans="1:20">
      <c r="A423" s="237">
        <v>45691</v>
      </c>
      <c r="B423" s="160" t="str">
        <f>TEXT(Table1[[#This Row],[التاريخ ]],"DDD")</f>
        <v>Mon</v>
      </c>
      <c r="C423" s="160" t="str">
        <f>IF(Table1[[#This Row],[التاريخ ]]="","",TEXT(Table1[[#This Row],[التاريخ ]],"mmm"))</f>
        <v>Feb</v>
      </c>
      <c r="D423" s="161" t="s">
        <v>766</v>
      </c>
      <c r="G423" s="226">
        <v>515</v>
      </c>
      <c r="H423" s="227" t="str">
        <f>VLOOKUP(G:G,'قاعدة بيانات  '!K:L,2,0)</f>
        <v>محمد عبدالمنعم عبدالحليم إبراهيم</v>
      </c>
      <c r="I423" s="226" t="s">
        <v>167</v>
      </c>
      <c r="J423" s="226" t="s">
        <v>301</v>
      </c>
      <c r="K423" s="226" t="s">
        <v>117</v>
      </c>
      <c r="L423" s="164">
        <v>261</v>
      </c>
      <c r="M423" s="165"/>
      <c r="N423" s="165"/>
      <c r="Q423" s="166">
        <v>250</v>
      </c>
      <c r="R423" s="163">
        <f>R422+Table1[[#This Row],[الوارد ]]-Table1[[#This Row],[المنصرف ]]</f>
        <v>103645.87941648607</v>
      </c>
      <c r="S423" s="226"/>
      <c r="T423" s="226"/>
    </row>
    <row r="424" spans="1:20">
      <c r="A424" s="237">
        <v>45692</v>
      </c>
      <c r="B424" s="160" t="str">
        <f>TEXT(Table1[[#This Row],[التاريخ ]],"DDD")</f>
        <v>Tue</v>
      </c>
      <c r="C424" s="160" t="str">
        <f>IF(Table1[[#This Row],[التاريخ ]]="","",TEXT(Table1[[#This Row],[التاريخ ]],"mmm"))</f>
        <v>Feb</v>
      </c>
      <c r="D424" s="161" t="s">
        <v>890</v>
      </c>
      <c r="G424" s="226">
        <v>380</v>
      </c>
      <c r="H424" s="227" t="str">
        <f>VLOOKUP(G:G,'قاعدة بيانات  '!K:L,2,0)</f>
        <v>عمرو حسن محمد عصران احمد</v>
      </c>
      <c r="I424" s="226" t="s">
        <v>106</v>
      </c>
      <c r="J424" s="226" t="s">
        <v>1113</v>
      </c>
      <c r="K424" s="226" t="s">
        <v>131</v>
      </c>
      <c r="L424" s="164">
        <v>262</v>
      </c>
      <c r="M424" s="165"/>
      <c r="N424" s="165"/>
      <c r="Q424" s="166">
        <v>246</v>
      </c>
      <c r="R424" s="163">
        <f>R423+Table1[[#This Row],[الوارد ]]-Table1[[#This Row],[المنصرف ]]</f>
        <v>103399.87941648607</v>
      </c>
      <c r="S424" s="239"/>
      <c r="T424" s="226"/>
    </row>
    <row r="425" spans="1:20">
      <c r="A425" s="237">
        <v>45692</v>
      </c>
      <c r="B425" s="160" t="str">
        <f>TEXT(Table1[[#This Row],[التاريخ ]],"DDD")</f>
        <v>Tue</v>
      </c>
      <c r="C425" s="160" t="str">
        <f>IF(Table1[[#This Row],[التاريخ ]]="","",TEXT(Table1[[#This Row],[التاريخ ]],"mmm"))</f>
        <v>Feb</v>
      </c>
      <c r="D425" s="161" t="s">
        <v>611</v>
      </c>
      <c r="G425" s="226">
        <v>151</v>
      </c>
      <c r="H425" s="227" t="str">
        <f>VLOOKUP(G:G,'قاعدة بيانات  '!K:L,2,0)</f>
        <v xml:space="preserve">احمد عبد الباسط عبد السلام محمد </v>
      </c>
      <c r="I425" s="226" t="s">
        <v>198</v>
      </c>
      <c r="J425" s="226" t="s">
        <v>1114</v>
      </c>
      <c r="K425" s="226" t="s">
        <v>314</v>
      </c>
      <c r="L425" s="164">
        <v>263</v>
      </c>
      <c r="M425" s="165"/>
      <c r="N425" s="165"/>
      <c r="Q425" s="166">
        <v>200</v>
      </c>
      <c r="R425" s="163">
        <f>R424+Table1[[#This Row],[الوارد ]]-Table1[[#This Row],[المنصرف ]]</f>
        <v>103199.87941648607</v>
      </c>
      <c r="S425" s="226"/>
      <c r="T425" s="226"/>
    </row>
    <row r="426" spans="1:20">
      <c r="A426" s="237">
        <v>45692</v>
      </c>
      <c r="B426" s="160" t="str">
        <f>TEXT(Table1[[#This Row],[التاريخ ]],"DDD")</f>
        <v>Tue</v>
      </c>
      <c r="C426" s="160" t="str">
        <f>IF(Table1[[#This Row],[التاريخ ]]="","",TEXT(Table1[[#This Row],[التاريخ ]],"mmm"))</f>
        <v>Feb</v>
      </c>
      <c r="D426" s="161" t="s">
        <v>892</v>
      </c>
      <c r="G426" s="226">
        <v>515</v>
      </c>
      <c r="H426" s="227" t="str">
        <f>VLOOKUP(G:G,'قاعدة بيانات  '!K:L,2,0)</f>
        <v>محمد عبدالمنعم عبدالحليم إبراهيم</v>
      </c>
      <c r="I426" s="226" t="s">
        <v>198</v>
      </c>
      <c r="J426" s="226" t="s">
        <v>301</v>
      </c>
      <c r="K426" s="226" t="s">
        <v>117</v>
      </c>
      <c r="L426" s="164">
        <v>264</v>
      </c>
      <c r="M426" s="165"/>
      <c r="N426" s="165"/>
      <c r="Q426" s="166">
        <v>385</v>
      </c>
      <c r="R426" s="163">
        <f>R425+Table1[[#This Row],[الوارد ]]-Table1[[#This Row],[المنصرف ]]</f>
        <v>102814.87941648607</v>
      </c>
      <c r="S426" s="226"/>
      <c r="T426" s="226"/>
    </row>
    <row r="427" spans="1:20">
      <c r="A427" s="237">
        <v>45692</v>
      </c>
      <c r="B427" s="160" t="str">
        <f>TEXT(Table1[[#This Row],[التاريخ ]],"DDD")</f>
        <v>Tue</v>
      </c>
      <c r="C427" s="160" t="str">
        <f>IF(Table1[[#This Row],[التاريخ ]]="","",TEXT(Table1[[#This Row],[التاريخ ]],"mmm"))</f>
        <v>Feb</v>
      </c>
      <c r="D427" s="161" t="s">
        <v>891</v>
      </c>
      <c r="G427" s="226">
        <v>515</v>
      </c>
      <c r="H427" s="227" t="str">
        <f>VLOOKUP(G:G,'قاعدة بيانات  '!K:L,2,0)</f>
        <v>محمد عبدالمنعم عبدالحليم إبراهيم</v>
      </c>
      <c r="I427" s="226" t="s">
        <v>198</v>
      </c>
      <c r="J427" s="226" t="s">
        <v>301</v>
      </c>
      <c r="K427" s="226" t="s">
        <v>117</v>
      </c>
      <c r="L427" s="164">
        <v>264</v>
      </c>
      <c r="M427" s="165"/>
      <c r="N427" s="165"/>
      <c r="Q427" s="166">
        <v>40</v>
      </c>
      <c r="R427" s="163">
        <f>R426+Table1[[#This Row],[الوارد ]]-Table1[[#This Row],[المنصرف ]]</f>
        <v>102774.87941648607</v>
      </c>
      <c r="S427" s="226"/>
      <c r="T427" s="226"/>
    </row>
    <row r="428" spans="1:20">
      <c r="A428" s="237">
        <v>45692</v>
      </c>
      <c r="B428" s="160" t="str">
        <f>TEXT(Table1[[#This Row],[التاريخ ]],"DDD")</f>
        <v>Tue</v>
      </c>
      <c r="C428" s="160" t="str">
        <f>IF(Table1[[#This Row],[التاريخ ]]="","",TEXT(Table1[[#This Row],[التاريخ ]],"mmm"))</f>
        <v>Feb</v>
      </c>
      <c r="D428" s="161" t="s">
        <v>893</v>
      </c>
      <c r="G428" s="226">
        <v>515</v>
      </c>
      <c r="H428" s="227" t="str">
        <f>VLOOKUP(G:G,'قاعدة بيانات  '!K:L,2,0)</f>
        <v>محمد عبدالمنعم عبدالحليم إبراهيم</v>
      </c>
      <c r="I428" s="226" t="s">
        <v>198</v>
      </c>
      <c r="J428" s="226" t="s">
        <v>301</v>
      </c>
      <c r="K428" s="226" t="s">
        <v>124</v>
      </c>
      <c r="L428" s="164">
        <v>264</v>
      </c>
      <c r="M428" s="165"/>
      <c r="N428" s="165"/>
      <c r="Q428" s="166">
        <v>300</v>
      </c>
      <c r="R428" s="163">
        <f>R427+Table1[[#This Row],[الوارد ]]-Table1[[#This Row],[المنصرف ]]</f>
        <v>102474.87941648607</v>
      </c>
      <c r="S428" s="226"/>
      <c r="T428" s="226"/>
    </row>
    <row r="429" spans="1:20">
      <c r="A429" s="237">
        <v>45693</v>
      </c>
      <c r="B429" s="160" t="str">
        <f>TEXT(Table1[[#This Row],[التاريخ ]],"DDD")</f>
        <v>Wed</v>
      </c>
      <c r="C429" s="160" t="str">
        <f>IF(Table1[[#This Row],[التاريخ ]]="","",TEXT(Table1[[#This Row],[التاريخ ]],"mmm"))</f>
        <v>Feb</v>
      </c>
      <c r="D429" s="161" t="s">
        <v>193</v>
      </c>
      <c r="G429" s="226">
        <v>151</v>
      </c>
      <c r="H429" s="227" t="str">
        <f>VLOOKUP(G:G,'قاعدة بيانات  '!K:L,2,0)</f>
        <v xml:space="preserve">احمد عبد الباسط عبد السلام محمد </v>
      </c>
      <c r="I429" s="226" t="s">
        <v>167</v>
      </c>
      <c r="J429" s="226" t="s">
        <v>301</v>
      </c>
      <c r="K429" s="226" t="s">
        <v>140</v>
      </c>
      <c r="L429" s="164">
        <v>265</v>
      </c>
      <c r="M429" s="165"/>
      <c r="N429" s="165"/>
      <c r="P429" s="163">
        <v>60000</v>
      </c>
      <c r="Q429" s="166"/>
      <c r="R429" s="163">
        <f>R428+Table1[[#This Row],[الوارد ]]-Table1[[#This Row],[المنصرف ]]</f>
        <v>162474.87941648607</v>
      </c>
      <c r="S429" s="226"/>
      <c r="T429" s="226"/>
    </row>
    <row r="430" spans="1:20">
      <c r="A430" s="237">
        <v>45693</v>
      </c>
      <c r="B430" s="160" t="str">
        <f>TEXT(Table1[[#This Row],[التاريخ ]],"DDD")</f>
        <v>Wed</v>
      </c>
      <c r="C430" s="160" t="str">
        <f>IF(Table1[[#This Row],[التاريخ ]]="","",TEXT(Table1[[#This Row],[التاريخ ]],"mmm"))</f>
        <v>Feb</v>
      </c>
      <c r="D430" s="161" t="s">
        <v>908</v>
      </c>
      <c r="G430" s="226">
        <v>10</v>
      </c>
      <c r="H430" s="227" t="str">
        <f>VLOOKUP(G:G,'قاعدة بيانات  '!K:L,2,0)</f>
        <v>عبد المنعم مجدى عبدربه محمد هلهل</v>
      </c>
      <c r="I430" s="226" t="s">
        <v>167</v>
      </c>
      <c r="J430" s="226" t="s">
        <v>301</v>
      </c>
      <c r="K430" s="226" t="s">
        <v>403</v>
      </c>
      <c r="L430" s="164">
        <v>266</v>
      </c>
      <c r="M430" s="165"/>
      <c r="N430" s="165"/>
      <c r="Q430" s="166">
        <v>40000</v>
      </c>
      <c r="R430" s="163">
        <f>R429+Table1[[#This Row],[الوارد ]]-Table1[[#This Row],[المنصرف ]]</f>
        <v>122474.87941648607</v>
      </c>
      <c r="S430" s="226"/>
      <c r="T430" s="226"/>
    </row>
    <row r="431" spans="1:20">
      <c r="A431" s="237">
        <v>45693</v>
      </c>
      <c r="B431" s="160" t="str">
        <f>TEXT(Table1[[#This Row],[التاريخ ]],"DDD")</f>
        <v>Wed</v>
      </c>
      <c r="C431" s="160" t="str">
        <f>IF(Table1[[#This Row],[التاريخ ]]="","",TEXT(Table1[[#This Row],[التاريخ ]],"mmm"))</f>
        <v>Feb</v>
      </c>
      <c r="D431" s="161" t="s">
        <v>898</v>
      </c>
      <c r="G431" s="226">
        <v>151</v>
      </c>
      <c r="H431" s="227" t="str">
        <f>VLOOKUP(G:G,'قاعدة بيانات  '!K:L,2,0)</f>
        <v xml:space="preserve">احمد عبد الباسط عبد السلام محمد </v>
      </c>
      <c r="I431" s="226" t="s">
        <v>198</v>
      </c>
      <c r="J431" s="226" t="s">
        <v>301</v>
      </c>
      <c r="K431" s="226" t="s">
        <v>118</v>
      </c>
      <c r="L431" s="164">
        <v>267</v>
      </c>
      <c r="M431" s="165"/>
      <c r="N431" s="165"/>
      <c r="Q431" s="166">
        <v>6000</v>
      </c>
      <c r="R431" s="163">
        <f>R430+Table1[[#This Row],[الوارد ]]-Table1[[#This Row],[المنصرف ]]</f>
        <v>116474.87941648607</v>
      </c>
      <c r="S431" s="226"/>
      <c r="T431" s="226"/>
    </row>
    <row r="432" spans="1:20">
      <c r="A432" s="237">
        <v>45693</v>
      </c>
      <c r="B432" s="160" t="str">
        <f>TEXT(Table1[[#This Row],[التاريخ ]],"DDD")</f>
        <v>Wed</v>
      </c>
      <c r="C432" s="160" t="str">
        <f>IF(Table1[[#This Row],[التاريخ ]]="","",TEXT(Table1[[#This Row],[التاريخ ]],"mmm"))</f>
        <v>Feb</v>
      </c>
      <c r="D432" s="161" t="s">
        <v>605</v>
      </c>
      <c r="G432" s="226">
        <v>4</v>
      </c>
      <c r="H432" s="227" t="str">
        <f>VLOOKUP(G:G,'قاعدة بيانات  '!K:L,2,0)</f>
        <v>وليد عبد الكريم عبد العليم</v>
      </c>
      <c r="I432" s="226" t="s">
        <v>167</v>
      </c>
      <c r="J432" s="226" t="s">
        <v>301</v>
      </c>
      <c r="K432" s="226" t="s">
        <v>128</v>
      </c>
      <c r="L432" s="164">
        <v>268</v>
      </c>
      <c r="M432" s="165"/>
      <c r="N432" s="165"/>
      <c r="Q432" s="166">
        <f>12000+5350+800</f>
        <v>18150</v>
      </c>
      <c r="R432" s="163">
        <f>R431+Table1[[#This Row],[الوارد ]]-Table1[[#This Row],[المنصرف ]]</f>
        <v>98324.879416486074</v>
      </c>
      <c r="S432" s="226"/>
      <c r="T432" s="226"/>
    </row>
    <row r="433" spans="1:20">
      <c r="A433" s="237">
        <v>45693</v>
      </c>
      <c r="B433" s="160" t="str">
        <f>TEXT(Table1[[#This Row],[التاريخ ]],"DDD")</f>
        <v>Wed</v>
      </c>
      <c r="C433" s="160" t="str">
        <f>IF(Table1[[#This Row],[التاريخ ]]="","",TEXT(Table1[[#This Row],[التاريخ ]],"mmm"))</f>
        <v>Feb</v>
      </c>
      <c r="D433" s="161" t="s">
        <v>605</v>
      </c>
      <c r="G433" s="226">
        <v>151</v>
      </c>
      <c r="H433" s="227" t="str">
        <f>VLOOKUP(G:G,'قاعدة بيانات  '!K:L,2,0)</f>
        <v xml:space="preserve">احمد عبد الباسط عبد السلام محمد </v>
      </c>
      <c r="I433" s="226" t="s">
        <v>167</v>
      </c>
      <c r="J433" s="226" t="s">
        <v>301</v>
      </c>
      <c r="K433" s="226" t="s">
        <v>128</v>
      </c>
      <c r="L433" s="164">
        <v>269</v>
      </c>
      <c r="M433" s="165"/>
      <c r="N433" s="165"/>
      <c r="Q433" s="166">
        <f>4*350</f>
        <v>1400</v>
      </c>
      <c r="R433" s="163">
        <f>R432+Table1[[#This Row],[الوارد ]]-Table1[[#This Row],[المنصرف ]]</f>
        <v>96924.879416486074</v>
      </c>
      <c r="S433" s="226"/>
      <c r="T433" s="226"/>
    </row>
    <row r="434" spans="1:20">
      <c r="A434" s="237">
        <v>45693</v>
      </c>
      <c r="B434" s="160" t="str">
        <f>TEXT(Table1[[#This Row],[التاريخ ]],"DDD")</f>
        <v>Wed</v>
      </c>
      <c r="C434" s="160" t="str">
        <f>IF(Table1[[#This Row],[التاريخ ]]="","",TEXT(Table1[[#This Row],[التاريخ ]],"mmm"))</f>
        <v>Feb</v>
      </c>
      <c r="D434" s="161" t="s">
        <v>895</v>
      </c>
      <c r="G434" s="226">
        <v>378</v>
      </c>
      <c r="H434" s="227" t="str">
        <f>VLOOKUP(G:G,'قاعدة بيانات  '!K:L,2,0)</f>
        <v>عبد الحميد نبوى فهيم محمد</v>
      </c>
      <c r="I434" s="226" t="s">
        <v>107</v>
      </c>
      <c r="J434" s="226" t="s">
        <v>1113</v>
      </c>
      <c r="K434" s="226" t="s">
        <v>116</v>
      </c>
      <c r="L434" s="164">
        <v>270</v>
      </c>
      <c r="M434" s="165"/>
      <c r="N434" s="165"/>
      <c r="Q434" s="166">
        <v>502</v>
      </c>
      <c r="R434" s="163">
        <f>R433+Table1[[#This Row],[الوارد ]]-Table1[[#This Row],[المنصرف ]]</f>
        <v>96422.879416486074</v>
      </c>
      <c r="S434" s="226"/>
      <c r="T434" s="226"/>
    </row>
    <row r="435" spans="1:20">
      <c r="A435" s="237">
        <v>45693</v>
      </c>
      <c r="B435" s="160" t="str">
        <f>TEXT(Table1[[#This Row],[التاريخ ]],"DDD")</f>
        <v>Wed</v>
      </c>
      <c r="C435" s="160" t="str">
        <f>IF(Table1[[#This Row],[التاريخ ]]="","",TEXT(Table1[[#This Row],[التاريخ ]],"mmm"))</f>
        <v>Feb</v>
      </c>
      <c r="D435" s="161" t="s">
        <v>896</v>
      </c>
      <c r="G435" s="226">
        <v>378</v>
      </c>
      <c r="H435" s="227" t="str">
        <f>VLOOKUP(G:G,'قاعدة بيانات  '!K:L,2,0)</f>
        <v>عبد الحميد نبوى فهيم محمد</v>
      </c>
      <c r="I435" s="226" t="s">
        <v>107</v>
      </c>
      <c r="J435" s="226" t="s">
        <v>1113</v>
      </c>
      <c r="K435" s="226" t="s">
        <v>128</v>
      </c>
      <c r="L435" s="164">
        <v>270</v>
      </c>
      <c r="M435" s="165"/>
      <c r="N435" s="165"/>
      <c r="Q435" s="166">
        <v>225</v>
      </c>
      <c r="R435" s="163">
        <f>R434+Table1[[#This Row],[الوارد ]]-Table1[[#This Row],[المنصرف ]]</f>
        <v>96197.879416486074</v>
      </c>
      <c r="S435" s="226"/>
      <c r="T435" s="226"/>
    </row>
    <row r="436" spans="1:20">
      <c r="A436" s="237">
        <v>45693</v>
      </c>
      <c r="B436" s="160" t="str">
        <f>TEXT(Table1[[#This Row],[التاريخ ]],"DDD")</f>
        <v>Wed</v>
      </c>
      <c r="C436" s="160" t="str">
        <f>IF(Table1[[#This Row],[التاريخ ]]="","",TEXT(Table1[[#This Row],[التاريخ ]],"mmm"))</f>
        <v>Feb</v>
      </c>
      <c r="D436" s="161" t="s">
        <v>406</v>
      </c>
      <c r="G436" s="226">
        <v>62</v>
      </c>
      <c r="H436" s="227" t="str">
        <f>VLOOKUP(G:G,'قاعدة بيانات  '!K:L,2,0)</f>
        <v>محمد مجدى السيد عبد الدايم</v>
      </c>
      <c r="I436" s="226" t="s">
        <v>98</v>
      </c>
      <c r="J436" s="226" t="s">
        <v>112</v>
      </c>
      <c r="K436" s="226" t="s">
        <v>120</v>
      </c>
      <c r="L436" s="164">
        <v>271</v>
      </c>
      <c r="M436" s="165"/>
      <c r="N436" s="165"/>
      <c r="Q436" s="166">
        <v>50</v>
      </c>
      <c r="R436" s="163">
        <f>R435+Table1[[#This Row],[الوارد ]]-Table1[[#This Row],[المنصرف ]]</f>
        <v>96147.879416486074</v>
      </c>
      <c r="S436" s="226"/>
      <c r="T436" s="226"/>
    </row>
    <row r="437" spans="1:20">
      <c r="A437" s="237">
        <v>45693</v>
      </c>
      <c r="B437" s="160" t="str">
        <f>TEXT(Table1[[#This Row],[التاريخ ]],"DDD")</f>
        <v>Wed</v>
      </c>
      <c r="C437" s="160" t="str">
        <f>IF(Table1[[#This Row],[التاريخ ]]="","",TEXT(Table1[[#This Row],[التاريخ ]],"mmm"))</f>
        <v>Feb</v>
      </c>
      <c r="D437" s="161" t="s">
        <v>406</v>
      </c>
      <c r="G437" s="226">
        <v>62</v>
      </c>
      <c r="H437" s="227" t="str">
        <f>VLOOKUP(G:G,'قاعدة بيانات  '!K:L,2,0)</f>
        <v>محمد مجدى السيد عبد الدايم</v>
      </c>
      <c r="I437" s="226" t="s">
        <v>102</v>
      </c>
      <c r="J437" s="226" t="s">
        <v>112</v>
      </c>
      <c r="K437" s="226" t="s">
        <v>116</v>
      </c>
      <c r="L437" s="164">
        <v>271</v>
      </c>
      <c r="M437" s="165"/>
      <c r="N437" s="165"/>
      <c r="Q437" s="166">
        <v>4</v>
      </c>
      <c r="R437" s="163">
        <f>R436+Table1[[#This Row],[الوارد ]]-Table1[[#This Row],[المنصرف ]]</f>
        <v>96143.879416486074</v>
      </c>
      <c r="S437" s="226"/>
      <c r="T437" s="226"/>
    </row>
    <row r="438" spans="1:20">
      <c r="A438" s="237">
        <v>45693</v>
      </c>
      <c r="B438" s="160" t="str">
        <f>TEXT(Table1[[#This Row],[التاريخ ]],"DDD")</f>
        <v>Wed</v>
      </c>
      <c r="C438" s="160" t="str">
        <f>IF(Table1[[#This Row],[التاريخ ]]="","",TEXT(Table1[[#This Row],[التاريخ ]],"mmm"))</f>
        <v>Feb</v>
      </c>
      <c r="D438" s="161" t="s">
        <v>406</v>
      </c>
      <c r="G438" s="226">
        <v>62</v>
      </c>
      <c r="H438" s="227" t="str">
        <f>VLOOKUP(G:G,'قاعدة بيانات  '!K:L,2,0)</f>
        <v>محمد مجدى السيد عبد الدايم</v>
      </c>
      <c r="I438" s="226" t="s">
        <v>352</v>
      </c>
      <c r="J438" s="226" t="s">
        <v>112</v>
      </c>
      <c r="K438" s="226" t="s">
        <v>116</v>
      </c>
      <c r="L438" s="164">
        <v>271</v>
      </c>
      <c r="M438" s="165"/>
      <c r="N438" s="165"/>
      <c r="Q438" s="166">
        <f>14+21+25</f>
        <v>60</v>
      </c>
      <c r="R438" s="163">
        <f>R437+Table1[[#This Row],[الوارد ]]-Table1[[#This Row],[المنصرف ]]</f>
        <v>96083.879416486074</v>
      </c>
      <c r="S438" s="226"/>
      <c r="T438" s="226"/>
    </row>
    <row r="439" spans="1:20">
      <c r="A439" s="237">
        <v>45693</v>
      </c>
      <c r="B439" s="160" t="str">
        <f>TEXT(Table1[[#This Row],[التاريخ ]],"DDD")</f>
        <v>Wed</v>
      </c>
      <c r="C439" s="160" t="str">
        <f>IF(Table1[[#This Row],[التاريخ ]]="","",TEXT(Table1[[#This Row],[التاريخ ]],"mmm"))</f>
        <v>Feb</v>
      </c>
      <c r="D439" s="161" t="s">
        <v>406</v>
      </c>
      <c r="G439" s="226">
        <v>62</v>
      </c>
      <c r="H439" s="227" t="str">
        <f>VLOOKUP(G:G,'قاعدة بيانات  '!K:L,2,0)</f>
        <v>محمد مجدى السيد عبد الدايم</v>
      </c>
      <c r="I439" s="226" t="s">
        <v>102</v>
      </c>
      <c r="J439" s="226" t="s">
        <v>112</v>
      </c>
      <c r="K439" s="226" t="s">
        <v>120</v>
      </c>
      <c r="L439" s="164">
        <v>271</v>
      </c>
      <c r="M439" s="165"/>
      <c r="N439" s="165"/>
      <c r="Q439" s="166">
        <f>95+25</f>
        <v>120</v>
      </c>
      <c r="R439" s="163">
        <f>R438+Table1[[#This Row],[الوارد ]]-Table1[[#This Row],[المنصرف ]]</f>
        <v>95963.879416486074</v>
      </c>
      <c r="S439" s="226"/>
      <c r="T439" s="226"/>
    </row>
    <row r="440" spans="1:20">
      <c r="A440" s="237">
        <v>45693</v>
      </c>
      <c r="B440" s="160" t="str">
        <f>TEXT(Table1[[#This Row],[التاريخ ]],"DDD")</f>
        <v>Wed</v>
      </c>
      <c r="C440" s="160" t="str">
        <f>IF(Table1[[#This Row],[التاريخ ]]="","",TEXT(Table1[[#This Row],[التاريخ ]],"mmm"))</f>
        <v>Feb</v>
      </c>
      <c r="D440" s="161" t="s">
        <v>406</v>
      </c>
      <c r="G440" s="226">
        <v>62</v>
      </c>
      <c r="H440" s="227" t="str">
        <f>VLOOKUP(G:G,'قاعدة بيانات  '!K:L,2,0)</f>
        <v>محمد مجدى السيد عبد الدايم</v>
      </c>
      <c r="I440" s="226" t="s">
        <v>352</v>
      </c>
      <c r="J440" s="226" t="s">
        <v>112</v>
      </c>
      <c r="K440" s="226" t="s">
        <v>120</v>
      </c>
      <c r="L440" s="164">
        <v>271</v>
      </c>
      <c r="M440" s="165"/>
      <c r="N440" s="165"/>
      <c r="Q440" s="166">
        <f>20+36.5+8.5+103.5+8.5+9+1+7.5+10+9+2.5+5+6</f>
        <v>227</v>
      </c>
      <c r="R440" s="163">
        <f>R439+Table1[[#This Row],[الوارد ]]-Table1[[#This Row],[المنصرف ]]</f>
        <v>95736.879416486074</v>
      </c>
      <c r="S440" s="226"/>
      <c r="T440" s="226"/>
    </row>
    <row r="441" spans="1:20">
      <c r="A441" s="237">
        <v>45693</v>
      </c>
      <c r="B441" s="160" t="str">
        <f>TEXT(Table1[[#This Row],[التاريخ ]],"DDD")</f>
        <v>Wed</v>
      </c>
      <c r="C441" s="160" t="str">
        <f>IF(Table1[[#This Row],[التاريخ ]]="","",TEXT(Table1[[#This Row],[التاريخ ]],"mmm"))</f>
        <v>Feb</v>
      </c>
      <c r="D441" s="161" t="s">
        <v>406</v>
      </c>
      <c r="G441" s="226">
        <v>62</v>
      </c>
      <c r="H441" s="227" t="str">
        <f>VLOOKUP(G:G,'قاعدة بيانات  '!K:L,2,0)</f>
        <v>محمد مجدى السيد عبد الدايم</v>
      </c>
      <c r="I441" s="226" t="s">
        <v>102</v>
      </c>
      <c r="J441" s="226" t="s">
        <v>112</v>
      </c>
      <c r="K441" s="226" t="s">
        <v>124</v>
      </c>
      <c r="L441" s="164">
        <v>271</v>
      </c>
      <c r="M441" s="165"/>
      <c r="N441" s="165"/>
      <c r="Q441" s="166">
        <v>40</v>
      </c>
      <c r="R441" s="163">
        <f>R440+Table1[[#This Row],[الوارد ]]-Table1[[#This Row],[المنصرف ]]</f>
        <v>95696.879416486074</v>
      </c>
      <c r="S441" s="226"/>
      <c r="T441" s="226"/>
    </row>
    <row r="442" spans="1:20">
      <c r="A442" s="237">
        <v>45693</v>
      </c>
      <c r="B442" s="160" t="str">
        <f>TEXT(Table1[[#This Row],[التاريخ ]],"DDD")</f>
        <v>Wed</v>
      </c>
      <c r="C442" s="160" t="str">
        <f>IF(Table1[[#This Row],[التاريخ ]]="","",TEXT(Table1[[#This Row],[التاريخ ]],"mmm"))</f>
        <v>Feb</v>
      </c>
      <c r="D442" s="161" t="s">
        <v>406</v>
      </c>
      <c r="G442" s="226">
        <v>62</v>
      </c>
      <c r="H442" s="227" t="str">
        <f>VLOOKUP(G:G,'قاعدة بيانات  '!K:L,2,0)</f>
        <v>محمد مجدى السيد عبد الدايم</v>
      </c>
      <c r="I442" s="226" t="s">
        <v>352</v>
      </c>
      <c r="J442" s="226" t="s">
        <v>112</v>
      </c>
      <c r="K442" s="226" t="s">
        <v>124</v>
      </c>
      <c r="L442" s="164">
        <v>271</v>
      </c>
      <c r="M442" s="165"/>
      <c r="N442" s="165"/>
      <c r="Q442" s="166">
        <f>30+20+20</f>
        <v>70</v>
      </c>
      <c r="R442" s="163">
        <f>R441+Table1[[#This Row],[الوارد ]]-Table1[[#This Row],[المنصرف ]]</f>
        <v>95626.879416486074</v>
      </c>
      <c r="S442" s="226"/>
      <c r="T442" s="226"/>
    </row>
    <row r="443" spans="1:20">
      <c r="A443" s="237">
        <v>45693</v>
      </c>
      <c r="B443" s="160" t="str">
        <f>TEXT(Table1[[#This Row],[التاريخ ]],"DDD")</f>
        <v>Wed</v>
      </c>
      <c r="C443" s="160" t="str">
        <f>IF(Table1[[#This Row],[التاريخ ]]="","",TEXT(Table1[[#This Row],[التاريخ ]],"mmm"))</f>
        <v>Feb</v>
      </c>
      <c r="D443" s="161" t="s">
        <v>406</v>
      </c>
      <c r="G443" s="226">
        <v>62</v>
      </c>
      <c r="H443" s="227" t="str">
        <f>VLOOKUP(G:G,'قاعدة بيانات  '!K:L,2,0)</f>
        <v>محمد مجدى السيد عبد الدايم</v>
      </c>
      <c r="I443" s="226" t="s">
        <v>102</v>
      </c>
      <c r="J443" s="226" t="s">
        <v>112</v>
      </c>
      <c r="K443" s="226" t="s">
        <v>127</v>
      </c>
      <c r="L443" s="164">
        <v>271</v>
      </c>
      <c r="M443" s="165"/>
      <c r="N443" s="165"/>
      <c r="Q443" s="166">
        <v>7</v>
      </c>
      <c r="R443" s="163">
        <f>R442+Table1[[#This Row],[الوارد ]]-Table1[[#This Row],[المنصرف ]]</f>
        <v>95619.879416486074</v>
      </c>
      <c r="S443" s="226"/>
      <c r="T443" s="226"/>
    </row>
    <row r="444" spans="1:20">
      <c r="A444" s="237">
        <v>45693</v>
      </c>
      <c r="B444" s="160" t="str">
        <f>TEXT(Table1[[#This Row],[التاريخ ]],"DDD")</f>
        <v>Wed</v>
      </c>
      <c r="C444" s="160" t="str">
        <f>IF(Table1[[#This Row],[التاريخ ]]="","",TEXT(Table1[[#This Row],[التاريخ ]],"mmm"))</f>
        <v>Feb</v>
      </c>
      <c r="D444" s="161" t="s">
        <v>406</v>
      </c>
      <c r="G444" s="226">
        <v>62</v>
      </c>
      <c r="H444" s="227" t="str">
        <f>VLOOKUP(G:G,'قاعدة بيانات  '!K:L,2,0)</f>
        <v>محمد مجدى السيد عبد الدايم</v>
      </c>
      <c r="I444" s="226" t="s">
        <v>103</v>
      </c>
      <c r="J444" s="226" t="s">
        <v>112</v>
      </c>
      <c r="K444" s="226" t="s">
        <v>116</v>
      </c>
      <c r="L444" s="164">
        <v>271</v>
      </c>
      <c r="M444" s="165"/>
      <c r="N444" s="165"/>
      <c r="Q444" s="166">
        <v>21</v>
      </c>
      <c r="R444" s="163">
        <f>R443+Table1[[#This Row],[الوارد ]]-Table1[[#This Row],[المنصرف ]]</f>
        <v>95598.879416486074</v>
      </c>
      <c r="S444" s="226"/>
      <c r="T444" s="226"/>
    </row>
    <row r="445" spans="1:20">
      <c r="A445" s="237">
        <v>45693</v>
      </c>
      <c r="B445" s="160" t="str">
        <f>TEXT(Table1[[#This Row],[التاريخ ]],"DDD")</f>
        <v>Wed</v>
      </c>
      <c r="C445" s="160" t="str">
        <f>IF(Table1[[#This Row],[التاريخ ]]="","",TEXT(Table1[[#This Row],[التاريخ ]],"mmm"))</f>
        <v>Feb</v>
      </c>
      <c r="D445" s="161" t="s">
        <v>419</v>
      </c>
      <c r="G445" s="226">
        <v>493</v>
      </c>
      <c r="H445" s="227" t="str">
        <f>VLOOKUP(G:G,'قاعدة بيانات  '!K:L,2,0)</f>
        <v>محمود محمد محمود محمد</v>
      </c>
      <c r="I445" s="226" t="s">
        <v>167</v>
      </c>
      <c r="J445" s="226" t="s">
        <v>301</v>
      </c>
      <c r="K445" s="226" t="s">
        <v>366</v>
      </c>
      <c r="L445" s="164">
        <v>272</v>
      </c>
      <c r="M445" s="165"/>
      <c r="N445" s="165"/>
      <c r="Q445" s="166">
        <v>80</v>
      </c>
      <c r="R445" s="163">
        <f>R444+Table1[[#This Row],[الوارد ]]-Table1[[#This Row],[المنصرف ]]</f>
        <v>95518.879416486074</v>
      </c>
      <c r="S445" s="226"/>
      <c r="T445" s="226"/>
    </row>
    <row r="446" spans="1:20">
      <c r="A446" s="237">
        <v>45693</v>
      </c>
      <c r="B446" s="160" t="str">
        <f>TEXT(Table1[[#This Row],[التاريخ ]],"DDD")</f>
        <v>Wed</v>
      </c>
      <c r="C446" s="160" t="str">
        <f>IF(Table1[[#This Row],[التاريخ ]]="","",TEXT(Table1[[#This Row],[التاريخ ]],"mmm"))</f>
        <v>Feb</v>
      </c>
      <c r="D446" s="161" t="s">
        <v>419</v>
      </c>
      <c r="G446" s="226">
        <v>493</v>
      </c>
      <c r="H446" s="227" t="str">
        <f>VLOOKUP(G:G,'قاعدة بيانات  '!K:L,2,0)</f>
        <v>محمود محمد محمود محمد</v>
      </c>
      <c r="I446" s="226" t="s">
        <v>167</v>
      </c>
      <c r="J446" s="226" t="s">
        <v>301</v>
      </c>
      <c r="K446" s="226" t="s">
        <v>120</v>
      </c>
      <c r="L446" s="164">
        <v>272</v>
      </c>
      <c r="M446" s="165"/>
      <c r="N446" s="165"/>
      <c r="Q446" s="166">
        <v>58</v>
      </c>
      <c r="R446" s="163">
        <f>R445+Table1[[#This Row],[الوارد ]]-Table1[[#This Row],[المنصرف ]]</f>
        <v>95460.879416486074</v>
      </c>
      <c r="S446" s="226"/>
      <c r="T446" s="226"/>
    </row>
    <row r="447" spans="1:20">
      <c r="A447" s="237">
        <v>45693</v>
      </c>
      <c r="B447" s="160" t="str">
        <f>TEXT(Table1[[#This Row],[التاريخ ]],"DDD")</f>
        <v>Wed</v>
      </c>
      <c r="C447" s="160" t="str">
        <f>IF(Table1[[#This Row],[التاريخ ]]="","",TEXT(Table1[[#This Row],[التاريخ ]],"mmm"))</f>
        <v>Feb</v>
      </c>
      <c r="D447" s="161" t="s">
        <v>419</v>
      </c>
      <c r="G447" s="226">
        <v>493</v>
      </c>
      <c r="H447" s="227" t="str">
        <f>VLOOKUP(G:G,'قاعدة بيانات  '!K:L,2,0)</f>
        <v>محمود محمد محمود محمد</v>
      </c>
      <c r="I447" s="226" t="s">
        <v>352</v>
      </c>
      <c r="J447" s="226" t="s">
        <v>112</v>
      </c>
      <c r="K447" s="226" t="s">
        <v>116</v>
      </c>
      <c r="L447" s="164">
        <v>272</v>
      </c>
      <c r="M447" s="165"/>
      <c r="N447" s="165"/>
      <c r="Q447" s="166">
        <f>22+20+7+10+10+15+26+20+5+5+10</f>
        <v>150</v>
      </c>
      <c r="R447" s="163">
        <f>R446+Table1[[#This Row],[الوارد ]]-Table1[[#This Row],[المنصرف ]]</f>
        <v>95310.879416486074</v>
      </c>
      <c r="S447" s="226"/>
      <c r="T447" s="226"/>
    </row>
    <row r="448" spans="1:20">
      <c r="A448" s="237">
        <v>45693</v>
      </c>
      <c r="B448" s="160" t="str">
        <f>TEXT(Table1[[#This Row],[التاريخ ]],"DDD")</f>
        <v>Wed</v>
      </c>
      <c r="C448" s="160" t="str">
        <f>IF(Table1[[#This Row],[التاريخ ]]="","",TEXT(Table1[[#This Row],[التاريخ ]],"mmm"))</f>
        <v>Feb</v>
      </c>
      <c r="D448" s="161" t="s">
        <v>419</v>
      </c>
      <c r="G448" s="226">
        <v>493</v>
      </c>
      <c r="H448" s="227" t="str">
        <f>VLOOKUP(G:G,'قاعدة بيانات  '!K:L,2,0)</f>
        <v>محمود محمد محمود محمد</v>
      </c>
      <c r="I448" s="226" t="s">
        <v>102</v>
      </c>
      <c r="J448" s="226" t="s">
        <v>112</v>
      </c>
      <c r="K448" s="226" t="s">
        <v>116</v>
      </c>
      <c r="L448" s="164">
        <v>272</v>
      </c>
      <c r="M448" s="165"/>
      <c r="N448" s="165"/>
      <c r="Q448" s="166">
        <v>22</v>
      </c>
      <c r="R448" s="163">
        <f>R447+Table1[[#This Row],[الوارد ]]-Table1[[#This Row],[المنصرف ]]</f>
        <v>95288.879416486074</v>
      </c>
      <c r="S448" s="226"/>
      <c r="T448" s="226"/>
    </row>
    <row r="449" spans="1:20">
      <c r="A449" s="237">
        <v>45693</v>
      </c>
      <c r="B449" s="160" t="str">
        <f>TEXT(Table1[[#This Row],[التاريخ ]],"DDD")</f>
        <v>Wed</v>
      </c>
      <c r="C449" s="160" t="str">
        <f>IF(Table1[[#This Row],[التاريخ ]]="","",TEXT(Table1[[#This Row],[التاريخ ]],"mmm"))</f>
        <v>Feb</v>
      </c>
      <c r="D449" s="161" t="s">
        <v>419</v>
      </c>
      <c r="G449" s="226">
        <v>493</v>
      </c>
      <c r="H449" s="227" t="str">
        <f>VLOOKUP(G:G,'قاعدة بيانات  '!K:L,2,0)</f>
        <v>محمود محمد محمود محمد</v>
      </c>
      <c r="I449" s="226" t="s">
        <v>352</v>
      </c>
      <c r="J449" s="226" t="s">
        <v>112</v>
      </c>
      <c r="K449" s="226" t="s">
        <v>120</v>
      </c>
      <c r="L449" s="164">
        <v>272</v>
      </c>
      <c r="M449" s="165"/>
      <c r="N449" s="165"/>
      <c r="Q449" s="166">
        <f>25+20+5+6</f>
        <v>56</v>
      </c>
      <c r="R449" s="163">
        <f>R448+Table1[[#This Row],[الوارد ]]-Table1[[#This Row],[المنصرف ]]</f>
        <v>95232.879416486074</v>
      </c>
      <c r="S449" s="226"/>
      <c r="T449" s="226"/>
    </row>
    <row r="450" spans="1:20">
      <c r="A450" s="237">
        <v>45693</v>
      </c>
      <c r="B450" s="160" t="str">
        <f>TEXT(Table1[[#This Row],[التاريخ ]],"DDD")</f>
        <v>Wed</v>
      </c>
      <c r="C450" s="160" t="str">
        <f>IF(Table1[[#This Row],[التاريخ ]]="","",TEXT(Table1[[#This Row],[التاريخ ]],"mmm"))</f>
        <v>Feb</v>
      </c>
      <c r="D450" s="161" t="s">
        <v>419</v>
      </c>
      <c r="G450" s="226">
        <v>493</v>
      </c>
      <c r="H450" s="227" t="str">
        <f>VLOOKUP(G:G,'قاعدة بيانات  '!K:L,2,0)</f>
        <v>محمود محمد محمود محمد</v>
      </c>
      <c r="I450" s="226" t="s">
        <v>103</v>
      </c>
      <c r="J450" s="226" t="s">
        <v>112</v>
      </c>
      <c r="K450" s="226" t="s">
        <v>120</v>
      </c>
      <c r="L450" s="164">
        <v>272</v>
      </c>
      <c r="M450" s="165"/>
      <c r="N450" s="165"/>
      <c r="Q450" s="166">
        <v>5</v>
      </c>
      <c r="R450" s="163">
        <f>R449+Table1[[#This Row],[الوارد ]]-Table1[[#This Row],[المنصرف ]]</f>
        <v>95227.879416486074</v>
      </c>
      <c r="S450" s="226"/>
      <c r="T450" s="226"/>
    </row>
    <row r="451" spans="1:20">
      <c r="A451" s="237">
        <v>45693</v>
      </c>
      <c r="B451" s="160" t="str">
        <f>TEXT(Table1[[#This Row],[التاريخ ]],"DDD")</f>
        <v>Wed</v>
      </c>
      <c r="C451" s="160" t="str">
        <f>IF(Table1[[#This Row],[التاريخ ]]="","",TEXT(Table1[[#This Row],[التاريخ ]],"mmm"))</f>
        <v>Feb</v>
      </c>
      <c r="D451" s="161" t="s">
        <v>419</v>
      </c>
      <c r="G451" s="226">
        <v>493</v>
      </c>
      <c r="H451" s="227" t="str">
        <f>VLOOKUP(G:G,'قاعدة بيانات  '!K:L,2,0)</f>
        <v>محمود محمد محمود محمد</v>
      </c>
      <c r="I451" s="226" t="s">
        <v>103</v>
      </c>
      <c r="J451" s="226" t="s">
        <v>112</v>
      </c>
      <c r="K451" s="226" t="s">
        <v>127</v>
      </c>
      <c r="L451" s="164">
        <v>272</v>
      </c>
      <c r="M451" s="165"/>
      <c r="N451" s="165"/>
      <c r="Q451" s="166">
        <v>3</v>
      </c>
      <c r="R451" s="163">
        <f>R450+Table1[[#This Row],[الوارد ]]-Table1[[#This Row],[المنصرف ]]</f>
        <v>95224.879416486074</v>
      </c>
      <c r="S451" s="226"/>
      <c r="T451" s="226"/>
    </row>
    <row r="452" spans="1:20">
      <c r="A452" s="237">
        <v>45693</v>
      </c>
      <c r="B452" s="160" t="str">
        <f>TEXT(Table1[[#This Row],[التاريخ ]],"DDD")</f>
        <v>Wed</v>
      </c>
      <c r="C452" s="160" t="str">
        <f>IF(Table1[[#This Row],[التاريخ ]]="","",TEXT(Table1[[#This Row],[التاريخ ]],"mmm"))</f>
        <v>Feb</v>
      </c>
      <c r="D452" s="161" t="s">
        <v>419</v>
      </c>
      <c r="G452" s="226">
        <v>493</v>
      </c>
      <c r="H452" s="227" t="str">
        <f>VLOOKUP(G:G,'قاعدة بيانات  '!K:L,2,0)</f>
        <v>محمود محمد محمود محمد</v>
      </c>
      <c r="I452" s="226" t="s">
        <v>102</v>
      </c>
      <c r="J452" s="226" t="s">
        <v>112</v>
      </c>
      <c r="K452" s="226" t="s">
        <v>116</v>
      </c>
      <c r="L452" s="164">
        <v>272</v>
      </c>
      <c r="M452" s="165"/>
      <c r="N452" s="165"/>
      <c r="Q452" s="166">
        <f>15+5+5+10</f>
        <v>35</v>
      </c>
      <c r="R452" s="163">
        <f>R451+Table1[[#This Row],[الوارد ]]-Table1[[#This Row],[المنصرف ]]</f>
        <v>95189.879416486074</v>
      </c>
      <c r="S452" s="226"/>
      <c r="T452" s="226"/>
    </row>
    <row r="453" spans="1:20">
      <c r="A453" s="237">
        <v>45693</v>
      </c>
      <c r="B453" s="160" t="str">
        <f>TEXT(Table1[[#This Row],[التاريخ ]],"DDD")</f>
        <v>Wed</v>
      </c>
      <c r="C453" s="160" t="str">
        <f>IF(Table1[[#This Row],[التاريخ ]]="","",TEXT(Table1[[#This Row],[التاريخ ]],"mmm"))</f>
        <v>Feb</v>
      </c>
      <c r="D453" s="161" t="s">
        <v>651</v>
      </c>
      <c r="G453" s="226">
        <v>546</v>
      </c>
      <c r="H453" s="227" t="str">
        <f>VLOOKUP(G:G,'قاعدة بيانات  '!K:L,2,0)</f>
        <v>احمد عادل محمد احمد</v>
      </c>
      <c r="I453" s="226" t="s">
        <v>392</v>
      </c>
      <c r="J453" s="226" t="s">
        <v>112</v>
      </c>
      <c r="K453" s="226" t="s">
        <v>116</v>
      </c>
      <c r="L453" s="164">
        <v>273</v>
      </c>
      <c r="M453" s="165"/>
      <c r="N453" s="165"/>
      <c r="Q453" s="166">
        <v>50.5</v>
      </c>
      <c r="R453" s="163">
        <f>R452+Table1[[#This Row],[الوارد ]]-Table1[[#This Row],[المنصرف ]]</f>
        <v>95139.379416486074</v>
      </c>
      <c r="S453" s="226"/>
      <c r="T453" s="226"/>
    </row>
    <row r="454" spans="1:20">
      <c r="A454" s="237">
        <v>45693</v>
      </c>
      <c r="B454" s="160" t="str">
        <f>TEXT(Table1[[#This Row],[التاريخ ]],"DDD")</f>
        <v>Wed</v>
      </c>
      <c r="C454" s="160" t="str">
        <f>IF(Table1[[#This Row],[التاريخ ]]="","",TEXT(Table1[[#This Row],[التاريخ ]],"mmm"))</f>
        <v>Feb</v>
      </c>
      <c r="D454" s="161" t="s">
        <v>651</v>
      </c>
      <c r="G454" s="226">
        <v>546</v>
      </c>
      <c r="H454" s="227" t="str">
        <f>VLOOKUP(G:G,'قاعدة بيانات  '!K:L,2,0)</f>
        <v>احمد عادل محمد احمد</v>
      </c>
      <c r="I454" s="226" t="s">
        <v>352</v>
      </c>
      <c r="J454" s="226" t="s">
        <v>112</v>
      </c>
      <c r="K454" s="226" t="s">
        <v>116</v>
      </c>
      <c r="L454" s="164">
        <v>273</v>
      </c>
      <c r="M454" s="165"/>
      <c r="N454" s="165"/>
      <c r="Q454" s="166">
        <f>50.5+39.5</f>
        <v>90</v>
      </c>
      <c r="R454" s="163">
        <f>R453+Table1[[#This Row],[الوارد ]]-Table1[[#This Row],[المنصرف ]]</f>
        <v>95049.379416486074</v>
      </c>
      <c r="S454" s="226"/>
      <c r="T454" s="226"/>
    </row>
    <row r="455" spans="1:20">
      <c r="A455" s="237">
        <v>45693</v>
      </c>
      <c r="B455" s="160" t="str">
        <f>TEXT(Table1[[#This Row],[التاريخ ]],"DDD")</f>
        <v>Wed</v>
      </c>
      <c r="C455" s="160" t="str">
        <f>IF(Table1[[#This Row],[التاريخ ]]="","",TEXT(Table1[[#This Row],[التاريخ ]],"mmm"))</f>
        <v>Feb</v>
      </c>
      <c r="D455" s="161" t="s">
        <v>651</v>
      </c>
      <c r="G455" s="226">
        <v>546</v>
      </c>
      <c r="H455" s="227" t="str">
        <f>VLOOKUP(G:G,'قاعدة بيانات  '!K:L,2,0)</f>
        <v>احمد عادل محمد احمد</v>
      </c>
      <c r="I455" s="226" t="s">
        <v>352</v>
      </c>
      <c r="J455" s="226" t="s">
        <v>112</v>
      </c>
      <c r="K455" s="226" t="s">
        <v>120</v>
      </c>
      <c r="L455" s="164">
        <v>273</v>
      </c>
      <c r="M455" s="165"/>
      <c r="N455" s="165"/>
      <c r="Q455" s="166">
        <f>6+12+5</f>
        <v>23</v>
      </c>
      <c r="R455" s="163">
        <f>R454+Table1[[#This Row],[الوارد ]]-Table1[[#This Row],[المنصرف ]]</f>
        <v>95026.379416486074</v>
      </c>
      <c r="S455" s="226"/>
      <c r="T455" s="226"/>
    </row>
    <row r="456" spans="1:20">
      <c r="A456" s="237">
        <v>45693</v>
      </c>
      <c r="B456" s="160" t="str">
        <f>TEXT(Table1[[#This Row],[التاريخ ]],"DDD")</f>
        <v>Wed</v>
      </c>
      <c r="C456" s="160" t="str">
        <f>IF(Table1[[#This Row],[التاريخ ]]="","",TEXT(Table1[[#This Row],[التاريخ ]],"mmm"))</f>
        <v>Feb</v>
      </c>
      <c r="D456" s="161" t="s">
        <v>651</v>
      </c>
      <c r="G456" s="226">
        <v>546</v>
      </c>
      <c r="H456" s="227" t="str">
        <f>VLOOKUP(G:G,'قاعدة بيانات  '!K:L,2,0)</f>
        <v>احمد عادل محمد احمد</v>
      </c>
      <c r="I456" s="226" t="s">
        <v>439</v>
      </c>
      <c r="J456" s="226" t="s">
        <v>112</v>
      </c>
      <c r="K456" s="226" t="s">
        <v>116</v>
      </c>
      <c r="L456" s="164">
        <v>273</v>
      </c>
      <c r="M456" s="165"/>
      <c r="N456" s="165"/>
      <c r="Q456" s="166">
        <f>39.5+91+86</f>
        <v>216.5</v>
      </c>
      <c r="R456" s="163">
        <f>R455+Table1[[#This Row],[الوارد ]]-Table1[[#This Row],[المنصرف ]]</f>
        <v>94809.879416486074</v>
      </c>
      <c r="S456" s="226"/>
      <c r="T456" s="226"/>
    </row>
    <row r="457" spans="1:20">
      <c r="A457" s="237">
        <v>45693</v>
      </c>
      <c r="B457" s="160" t="str">
        <f>TEXT(Table1[[#This Row],[التاريخ ]],"DDD")</f>
        <v>Wed</v>
      </c>
      <c r="C457" s="160" t="str">
        <f>IF(Table1[[#This Row],[التاريخ ]]="","",TEXT(Table1[[#This Row],[التاريخ ]],"mmm"))</f>
        <v>Feb</v>
      </c>
      <c r="D457" s="161" t="s">
        <v>651</v>
      </c>
      <c r="G457" s="226">
        <v>546</v>
      </c>
      <c r="H457" s="227" t="str">
        <f>VLOOKUP(G:G,'قاعدة بيانات  '!K:L,2,0)</f>
        <v>احمد عادل محمد احمد</v>
      </c>
      <c r="I457" s="226" t="s">
        <v>167</v>
      </c>
      <c r="J457" s="226" t="s">
        <v>301</v>
      </c>
      <c r="K457" s="226" t="s">
        <v>116</v>
      </c>
      <c r="L457" s="164">
        <v>273</v>
      </c>
      <c r="M457" s="165"/>
      <c r="N457" s="165"/>
      <c r="Q457" s="166">
        <v>36</v>
      </c>
      <c r="R457" s="163">
        <f>R456+Table1[[#This Row],[الوارد ]]-Table1[[#This Row],[المنصرف ]]</f>
        <v>94773.879416486074</v>
      </c>
      <c r="S457" s="226"/>
      <c r="T457" s="226"/>
    </row>
    <row r="458" spans="1:20">
      <c r="A458" s="237">
        <v>45693</v>
      </c>
      <c r="B458" s="160" t="str">
        <f>TEXT(Table1[[#This Row],[التاريخ ]],"DDD")</f>
        <v>Wed</v>
      </c>
      <c r="C458" s="160" t="str">
        <f>IF(Table1[[#This Row],[التاريخ ]]="","",TEXT(Table1[[#This Row],[التاريخ ]],"mmm"))</f>
        <v>Feb</v>
      </c>
      <c r="D458" s="161" t="s">
        <v>651</v>
      </c>
      <c r="G458" s="226">
        <v>546</v>
      </c>
      <c r="H458" s="227" t="str">
        <f>VLOOKUP(G:G,'قاعدة بيانات  '!K:L,2,0)</f>
        <v>احمد عادل محمد احمد</v>
      </c>
      <c r="I458" s="226" t="s">
        <v>897</v>
      </c>
      <c r="J458" s="226" t="s">
        <v>112</v>
      </c>
      <c r="K458" s="226" t="s">
        <v>116</v>
      </c>
      <c r="L458" s="164">
        <v>273</v>
      </c>
      <c r="M458" s="165"/>
      <c r="N458" s="165"/>
      <c r="Q458" s="166">
        <v>74</v>
      </c>
      <c r="R458" s="163">
        <f>R457+Table1[[#This Row],[الوارد ]]-Table1[[#This Row],[المنصرف ]]</f>
        <v>94699.879416486074</v>
      </c>
      <c r="S458" s="226"/>
      <c r="T458" s="226"/>
    </row>
    <row r="459" spans="1:20">
      <c r="A459" s="237">
        <v>45693</v>
      </c>
      <c r="B459" s="160" t="str">
        <f>TEXT(Table1[[#This Row],[التاريخ ]],"DDD")</f>
        <v>Wed</v>
      </c>
      <c r="C459" s="160" t="str">
        <f>IF(Table1[[#This Row],[التاريخ ]]="","",TEXT(Table1[[#This Row],[التاريخ ]],"mmm"))</f>
        <v>Feb</v>
      </c>
      <c r="D459" s="161" t="s">
        <v>407</v>
      </c>
      <c r="G459" s="226">
        <v>20</v>
      </c>
      <c r="H459" s="227" t="str">
        <f>VLOOKUP(G:G,'قاعدة بيانات  '!K:L,2,0)</f>
        <v>عبد العزيز صلاح عبد العزيز على حسن</v>
      </c>
      <c r="I459" s="226" t="s">
        <v>352</v>
      </c>
      <c r="J459" s="226" t="s">
        <v>112</v>
      </c>
      <c r="K459" s="226" t="s">
        <v>116</v>
      </c>
      <c r="L459" s="164">
        <v>274</v>
      </c>
      <c r="M459" s="165"/>
      <c r="N459" s="165"/>
      <c r="Q459" s="166">
        <f>30+39+10</f>
        <v>79</v>
      </c>
      <c r="R459" s="163">
        <f>R458+Table1[[#This Row],[الوارد ]]-Table1[[#This Row],[المنصرف ]]</f>
        <v>94620.879416486074</v>
      </c>
      <c r="S459" s="226"/>
      <c r="T459" s="226"/>
    </row>
    <row r="460" spans="1:20">
      <c r="A460" s="237">
        <v>45693</v>
      </c>
      <c r="B460" s="160" t="str">
        <f>TEXT(Table1[[#This Row],[التاريخ ]],"DDD")</f>
        <v>Wed</v>
      </c>
      <c r="C460" s="160" t="str">
        <f>IF(Table1[[#This Row],[التاريخ ]]="","",TEXT(Table1[[#This Row],[التاريخ ]],"mmm"))</f>
        <v>Feb</v>
      </c>
      <c r="D460" s="161" t="s">
        <v>407</v>
      </c>
      <c r="G460" s="226">
        <v>20</v>
      </c>
      <c r="H460" s="227" t="str">
        <f>VLOOKUP(G:G,'قاعدة بيانات  '!K:L,2,0)</f>
        <v>عبد العزيز صلاح عبد العزيز على حسن</v>
      </c>
      <c r="I460" s="226" t="s">
        <v>352</v>
      </c>
      <c r="J460" s="226" t="s">
        <v>112</v>
      </c>
      <c r="K460" s="226" t="s">
        <v>120</v>
      </c>
      <c r="L460" s="164">
        <v>274</v>
      </c>
      <c r="M460" s="165"/>
      <c r="N460" s="165"/>
      <c r="Q460" s="166">
        <f>191+185+6</f>
        <v>382</v>
      </c>
      <c r="R460" s="163">
        <f>R459+Table1[[#This Row],[الوارد ]]-Table1[[#This Row],[المنصرف ]]</f>
        <v>94238.879416486074</v>
      </c>
      <c r="S460" s="226"/>
      <c r="T460" s="226"/>
    </row>
    <row r="461" spans="1:20">
      <c r="A461" s="237">
        <v>45693</v>
      </c>
      <c r="B461" s="160" t="str">
        <f>TEXT(Table1[[#This Row],[التاريخ ]],"DDD")</f>
        <v>Wed</v>
      </c>
      <c r="C461" s="160" t="str">
        <f>IF(Table1[[#This Row],[التاريخ ]]="","",TEXT(Table1[[#This Row],[التاريخ ]],"mmm"))</f>
        <v>Feb</v>
      </c>
      <c r="D461" s="161" t="s">
        <v>407</v>
      </c>
      <c r="G461" s="226">
        <v>20</v>
      </c>
      <c r="H461" s="227" t="str">
        <f>VLOOKUP(G:G,'قاعدة بيانات  '!K:L,2,0)</f>
        <v>عبد العزيز صلاح عبد العزيز على حسن</v>
      </c>
      <c r="I461" s="226" t="s">
        <v>352</v>
      </c>
      <c r="J461" s="226" t="s">
        <v>112</v>
      </c>
      <c r="K461" s="226" t="s">
        <v>124</v>
      </c>
      <c r="L461" s="164">
        <v>274</v>
      </c>
      <c r="M461" s="165"/>
      <c r="N461" s="165"/>
      <c r="Q461" s="166">
        <v>35</v>
      </c>
      <c r="R461" s="163">
        <f>R460+Table1[[#This Row],[الوارد ]]-Table1[[#This Row],[المنصرف ]]</f>
        <v>94203.879416486074</v>
      </c>
      <c r="S461" s="226"/>
      <c r="T461" s="226"/>
    </row>
    <row r="462" spans="1:20">
      <c r="A462" s="237">
        <v>45693</v>
      </c>
      <c r="B462" s="160" t="str">
        <f>TEXT(Table1[[#This Row],[التاريخ ]],"DDD")</f>
        <v>Wed</v>
      </c>
      <c r="C462" s="160" t="str">
        <f>IF(Table1[[#This Row],[التاريخ ]]="","",TEXT(Table1[[#This Row],[التاريخ ]],"mmm"))</f>
        <v>Feb</v>
      </c>
      <c r="D462" s="161" t="s">
        <v>407</v>
      </c>
      <c r="G462" s="226">
        <v>20</v>
      </c>
      <c r="H462" s="227" t="str">
        <f>VLOOKUP(G:G,'قاعدة بيانات  '!K:L,2,0)</f>
        <v>عبد العزيز صلاح عبد العزيز على حسن</v>
      </c>
      <c r="I462" s="226" t="s">
        <v>103</v>
      </c>
      <c r="J462" s="226" t="s">
        <v>112</v>
      </c>
      <c r="K462" s="226" t="s">
        <v>116</v>
      </c>
      <c r="L462" s="164">
        <v>274</v>
      </c>
      <c r="M462" s="165"/>
      <c r="N462" s="165"/>
      <c r="Q462" s="166">
        <f>30+17</f>
        <v>47</v>
      </c>
      <c r="R462" s="163">
        <f>R461+Table1[[#This Row],[الوارد ]]-Table1[[#This Row],[المنصرف ]]</f>
        <v>94156.879416486074</v>
      </c>
      <c r="S462" s="226"/>
      <c r="T462" s="226"/>
    </row>
    <row r="463" spans="1:20">
      <c r="A463" s="237">
        <v>45693</v>
      </c>
      <c r="B463" s="160" t="str">
        <f>TEXT(Table1[[#This Row],[التاريخ ]],"DDD")</f>
        <v>Wed</v>
      </c>
      <c r="C463" s="160" t="str">
        <f>IF(Table1[[#This Row],[التاريخ ]]="","",TEXT(Table1[[#This Row],[التاريخ ]],"mmm"))</f>
        <v>Feb</v>
      </c>
      <c r="D463" s="161" t="s">
        <v>407</v>
      </c>
      <c r="G463" s="226">
        <v>20</v>
      </c>
      <c r="H463" s="227" t="str">
        <f>VLOOKUP(G:G,'قاعدة بيانات  '!K:L,2,0)</f>
        <v>عبد العزيز صلاح عبد العزيز على حسن</v>
      </c>
      <c r="I463" s="226" t="s">
        <v>102</v>
      </c>
      <c r="J463" s="226" t="s">
        <v>112</v>
      </c>
      <c r="K463" s="226" t="s">
        <v>116</v>
      </c>
      <c r="L463" s="164">
        <v>274</v>
      </c>
      <c r="M463" s="165"/>
      <c r="N463" s="165"/>
      <c r="Q463" s="166">
        <f>28+9</f>
        <v>37</v>
      </c>
      <c r="R463" s="163">
        <f>R462+Table1[[#This Row],[الوارد ]]-Table1[[#This Row],[المنصرف ]]</f>
        <v>94119.879416486074</v>
      </c>
      <c r="S463" s="226"/>
      <c r="T463" s="226"/>
    </row>
    <row r="464" spans="1:20">
      <c r="A464" s="237">
        <v>45693</v>
      </c>
      <c r="B464" s="160" t="str">
        <f>TEXT(Table1[[#This Row],[التاريخ ]],"DDD")</f>
        <v>Wed</v>
      </c>
      <c r="C464" s="160" t="str">
        <f>IF(Table1[[#This Row],[التاريخ ]]="","",TEXT(Table1[[#This Row],[التاريخ ]],"mmm"))</f>
        <v>Feb</v>
      </c>
      <c r="D464" s="161" t="s">
        <v>407</v>
      </c>
      <c r="G464" s="226">
        <v>20</v>
      </c>
      <c r="H464" s="227" t="str">
        <f>VLOOKUP(G:G,'قاعدة بيانات  '!K:L,2,0)</f>
        <v>عبد العزيز صلاح عبد العزيز على حسن</v>
      </c>
      <c r="I464" s="226" t="s">
        <v>102</v>
      </c>
      <c r="J464" s="226" t="s">
        <v>112</v>
      </c>
      <c r="K464" s="226" t="s">
        <v>120</v>
      </c>
      <c r="L464" s="164">
        <v>274</v>
      </c>
      <c r="M464" s="165"/>
      <c r="N464" s="165"/>
      <c r="Q464" s="166">
        <f>55+50</f>
        <v>105</v>
      </c>
      <c r="R464" s="163">
        <f>R463+Table1[[#This Row],[الوارد ]]-Table1[[#This Row],[المنصرف ]]</f>
        <v>94014.879416486074</v>
      </c>
      <c r="S464" s="226"/>
      <c r="T464" s="226"/>
    </row>
    <row r="465" spans="1:20">
      <c r="A465" s="237">
        <v>45693</v>
      </c>
      <c r="B465" s="160" t="str">
        <f>TEXT(Table1[[#This Row],[التاريخ ]],"DDD")</f>
        <v>Wed</v>
      </c>
      <c r="C465" s="160" t="str">
        <f>IF(Table1[[#This Row],[التاريخ ]]="","",TEXT(Table1[[#This Row],[التاريخ ]],"mmm"))</f>
        <v>Feb</v>
      </c>
      <c r="D465" s="161" t="s">
        <v>407</v>
      </c>
      <c r="G465" s="226">
        <v>20</v>
      </c>
      <c r="H465" s="227" t="str">
        <f>VLOOKUP(G:G,'قاعدة بيانات  '!K:L,2,0)</f>
        <v>عبد العزيز صلاح عبد العزيز على حسن</v>
      </c>
      <c r="I465" s="226" t="s">
        <v>102</v>
      </c>
      <c r="J465" s="226" t="s">
        <v>112</v>
      </c>
      <c r="K465" s="226" t="s">
        <v>127</v>
      </c>
      <c r="L465" s="164">
        <v>274</v>
      </c>
      <c r="M465" s="165"/>
      <c r="N465" s="165"/>
      <c r="Q465" s="166">
        <v>11</v>
      </c>
      <c r="R465" s="163">
        <f>R464+Table1[[#This Row],[الوارد ]]-Table1[[#This Row],[المنصرف ]]</f>
        <v>94003.879416486074</v>
      </c>
      <c r="S465" s="226"/>
      <c r="T465" s="226"/>
    </row>
    <row r="466" spans="1:20">
      <c r="A466" s="237">
        <v>45693</v>
      </c>
      <c r="B466" s="160" t="str">
        <f>TEXT(Table1[[#This Row],[التاريخ ]],"DDD")</f>
        <v>Wed</v>
      </c>
      <c r="C466" s="160" t="str">
        <f>IF(Table1[[#This Row],[التاريخ ]]="","",TEXT(Table1[[#This Row],[التاريخ ]],"mmm"))</f>
        <v>Feb</v>
      </c>
      <c r="D466" s="161" t="s">
        <v>407</v>
      </c>
      <c r="G466" s="226">
        <v>20</v>
      </c>
      <c r="H466" s="227" t="str">
        <f>VLOOKUP(G:G,'قاعدة بيانات  '!K:L,2,0)</f>
        <v>عبد العزيز صلاح عبد العزيز على حسن</v>
      </c>
      <c r="I466" s="226" t="s">
        <v>167</v>
      </c>
      <c r="J466" s="226" t="s">
        <v>301</v>
      </c>
      <c r="K466" s="226" t="s">
        <v>116</v>
      </c>
      <c r="L466" s="164">
        <v>274</v>
      </c>
      <c r="M466" s="165"/>
      <c r="N466" s="165"/>
      <c r="Q466" s="166">
        <v>17</v>
      </c>
      <c r="R466" s="163">
        <f>R465+Table1[[#This Row],[الوارد ]]-Table1[[#This Row],[المنصرف ]]</f>
        <v>93986.879416486074</v>
      </c>
      <c r="S466" s="226"/>
      <c r="T466" s="226"/>
    </row>
    <row r="467" spans="1:20">
      <c r="A467" s="237">
        <v>45693</v>
      </c>
      <c r="B467" s="160" t="str">
        <f>TEXT(Table1[[#This Row],[التاريخ ]],"DDD")</f>
        <v>Wed</v>
      </c>
      <c r="C467" s="160" t="str">
        <f>IF(Table1[[#This Row],[التاريخ ]]="","",TEXT(Table1[[#This Row],[التاريخ ]],"mmm"))</f>
        <v>Feb</v>
      </c>
      <c r="D467" s="161" t="s">
        <v>437</v>
      </c>
      <c r="G467" s="226">
        <v>544</v>
      </c>
      <c r="H467" s="227" t="str">
        <f>VLOOKUP(G:G,'قاعدة بيانات  '!K:L,2,0)</f>
        <v>احمد منصور سليم منصور سليم</v>
      </c>
      <c r="I467" s="226" t="s">
        <v>439</v>
      </c>
      <c r="J467" s="226" t="s">
        <v>112</v>
      </c>
      <c r="K467" s="226" t="s">
        <v>116</v>
      </c>
      <c r="L467" s="164">
        <v>275</v>
      </c>
      <c r="M467" s="165"/>
      <c r="N467" s="165"/>
      <c r="Q467" s="166">
        <v>9</v>
      </c>
      <c r="R467" s="163">
        <f>R466+Table1[[#This Row],[الوارد ]]-Table1[[#This Row],[المنصرف ]]</f>
        <v>93977.879416486074</v>
      </c>
      <c r="S467" s="226"/>
      <c r="T467" s="226"/>
    </row>
    <row r="468" spans="1:20">
      <c r="A468" s="237">
        <v>45693</v>
      </c>
      <c r="B468" s="160" t="str">
        <f>TEXT(Table1[[#This Row],[التاريخ ]],"DDD")</f>
        <v>Wed</v>
      </c>
      <c r="C468" s="160" t="str">
        <f>IF(Table1[[#This Row],[التاريخ ]]="","",TEXT(Table1[[#This Row],[التاريخ ]],"mmm"))</f>
        <v>Feb</v>
      </c>
      <c r="D468" s="161" t="s">
        <v>437</v>
      </c>
      <c r="G468" s="226">
        <v>544</v>
      </c>
      <c r="H468" s="227" t="str">
        <f>VLOOKUP(G:G,'قاعدة بيانات  '!K:L,2,0)</f>
        <v>احمد منصور سليم منصور سليم</v>
      </c>
      <c r="I468" s="226" t="s">
        <v>107</v>
      </c>
      <c r="J468" s="226" t="s">
        <v>110</v>
      </c>
      <c r="K468" s="226" t="s">
        <v>116</v>
      </c>
      <c r="L468" s="164">
        <v>275</v>
      </c>
      <c r="M468" s="165"/>
      <c r="N468" s="165"/>
      <c r="Q468" s="166">
        <v>9</v>
      </c>
      <c r="R468" s="163">
        <f>R467+Table1[[#This Row],[الوارد ]]-Table1[[#This Row],[المنصرف ]]</f>
        <v>93968.879416486074</v>
      </c>
      <c r="S468" s="226"/>
      <c r="T468" s="226"/>
    </row>
    <row r="469" spans="1:20">
      <c r="A469" s="237">
        <v>45693</v>
      </c>
      <c r="B469" s="160" t="str">
        <f>TEXT(Table1[[#This Row],[التاريخ ]],"DDD")</f>
        <v>Wed</v>
      </c>
      <c r="C469" s="160" t="str">
        <f>IF(Table1[[#This Row],[التاريخ ]]="","",TEXT(Table1[[#This Row],[التاريخ ]],"mmm"))</f>
        <v>Feb</v>
      </c>
      <c r="D469" s="161" t="s">
        <v>437</v>
      </c>
      <c r="G469" s="226">
        <v>544</v>
      </c>
      <c r="H469" s="227" t="str">
        <f>VLOOKUP(G:G,'قاعدة بيانات  '!K:L,2,0)</f>
        <v>احمد منصور سليم منصور سليم</v>
      </c>
      <c r="I469" s="226" t="s">
        <v>102</v>
      </c>
      <c r="J469" s="226" t="s">
        <v>112</v>
      </c>
      <c r="K469" s="226" t="s">
        <v>116</v>
      </c>
      <c r="L469" s="164">
        <v>275</v>
      </c>
      <c r="M469" s="165"/>
      <c r="N469" s="165"/>
      <c r="Q469" s="166">
        <f>44+50+11</f>
        <v>105</v>
      </c>
      <c r="R469" s="163">
        <f>R468+Table1[[#This Row],[الوارد ]]-Table1[[#This Row],[المنصرف ]]</f>
        <v>93863.879416486074</v>
      </c>
      <c r="S469" s="226"/>
      <c r="T469" s="226"/>
    </row>
    <row r="470" spans="1:20">
      <c r="A470" s="237">
        <v>45693</v>
      </c>
      <c r="B470" s="160" t="str">
        <f>TEXT(Table1[[#This Row],[التاريخ ]],"DDD")</f>
        <v>Wed</v>
      </c>
      <c r="C470" s="160" t="str">
        <f>IF(Table1[[#This Row],[التاريخ ]]="","",TEXT(Table1[[#This Row],[التاريخ ]],"mmm"))</f>
        <v>Feb</v>
      </c>
      <c r="D470" s="161" t="s">
        <v>437</v>
      </c>
      <c r="G470" s="226">
        <v>544</v>
      </c>
      <c r="H470" s="227" t="str">
        <f>VLOOKUP(G:G,'قاعدة بيانات  '!K:L,2,0)</f>
        <v>احمد منصور سليم منصور سليم</v>
      </c>
      <c r="I470" s="226" t="s">
        <v>102</v>
      </c>
      <c r="J470" s="226" t="s">
        <v>112</v>
      </c>
      <c r="K470" s="226" t="s">
        <v>120</v>
      </c>
      <c r="L470" s="164">
        <v>275</v>
      </c>
      <c r="M470" s="165"/>
      <c r="N470" s="165"/>
      <c r="Q470" s="166">
        <v>50</v>
      </c>
      <c r="R470" s="163">
        <f>R469+Table1[[#This Row],[الوارد ]]-Table1[[#This Row],[المنصرف ]]</f>
        <v>93813.879416486074</v>
      </c>
      <c r="S470" s="226"/>
      <c r="T470" s="226"/>
    </row>
    <row r="471" spans="1:20">
      <c r="A471" s="237">
        <v>45693</v>
      </c>
      <c r="B471" s="160" t="str">
        <f>TEXT(Table1[[#This Row],[التاريخ ]],"DDD")</f>
        <v>Wed</v>
      </c>
      <c r="C471" s="160" t="str">
        <f>IF(Table1[[#This Row],[التاريخ ]]="","",TEXT(Table1[[#This Row],[التاريخ ]],"mmm"))</f>
        <v>Feb</v>
      </c>
      <c r="D471" s="161" t="s">
        <v>437</v>
      </c>
      <c r="G471" s="226">
        <v>544</v>
      </c>
      <c r="H471" s="227" t="str">
        <f>VLOOKUP(G:G,'قاعدة بيانات  '!K:L,2,0)</f>
        <v>احمد منصور سليم منصور سليم</v>
      </c>
      <c r="I471" s="226" t="s">
        <v>102</v>
      </c>
      <c r="J471" s="226" t="s">
        <v>112</v>
      </c>
      <c r="K471" s="226" t="s">
        <v>124</v>
      </c>
      <c r="L471" s="164">
        <v>275</v>
      </c>
      <c r="M471" s="165"/>
      <c r="N471" s="165"/>
      <c r="Q471" s="166">
        <f>30+30</f>
        <v>60</v>
      </c>
      <c r="R471" s="163">
        <f>R470+Table1[[#This Row],[الوارد ]]-Table1[[#This Row],[المنصرف ]]</f>
        <v>93753.879416486074</v>
      </c>
      <c r="S471" s="226"/>
      <c r="T471" s="226"/>
    </row>
    <row r="472" spans="1:20">
      <c r="A472" s="237">
        <v>45693</v>
      </c>
      <c r="B472" s="160" t="str">
        <f>TEXT(Table1[[#This Row],[التاريخ ]],"DDD")</f>
        <v>Wed</v>
      </c>
      <c r="C472" s="160" t="str">
        <f>IF(Table1[[#This Row],[التاريخ ]]="","",TEXT(Table1[[#This Row],[التاريخ ]],"mmm"))</f>
        <v>Feb</v>
      </c>
      <c r="D472" s="161" t="s">
        <v>437</v>
      </c>
      <c r="G472" s="226">
        <v>544</v>
      </c>
      <c r="H472" s="227" t="str">
        <f>VLOOKUP(G:G,'قاعدة بيانات  '!K:L,2,0)</f>
        <v>احمد منصور سليم منصور سليم</v>
      </c>
      <c r="I472" s="226" t="s">
        <v>167</v>
      </c>
      <c r="J472" s="226" t="s">
        <v>301</v>
      </c>
      <c r="K472" s="226" t="s">
        <v>116</v>
      </c>
      <c r="L472" s="164">
        <v>275</v>
      </c>
      <c r="M472" s="165"/>
      <c r="N472" s="165"/>
      <c r="Q472" s="166">
        <v>11</v>
      </c>
      <c r="R472" s="163">
        <f>R471+Table1[[#This Row],[الوارد ]]-Table1[[#This Row],[المنصرف ]]</f>
        <v>93742.879416486074</v>
      </c>
      <c r="S472" s="226"/>
      <c r="T472" s="226"/>
    </row>
    <row r="473" spans="1:20">
      <c r="A473" s="237">
        <v>45693</v>
      </c>
      <c r="B473" s="160" t="str">
        <f>TEXT(Table1[[#This Row],[التاريخ ]],"DDD")</f>
        <v>Wed</v>
      </c>
      <c r="C473" s="160" t="str">
        <f>IF(Table1[[#This Row],[التاريخ ]]="","",TEXT(Table1[[#This Row],[التاريخ ]],"mmm"))</f>
        <v>Feb</v>
      </c>
      <c r="D473" s="161" t="s">
        <v>437</v>
      </c>
      <c r="G473" s="226">
        <v>544</v>
      </c>
      <c r="H473" s="227" t="str">
        <f>VLOOKUP(G:G,'قاعدة بيانات  '!K:L,2,0)</f>
        <v>احمد منصور سليم منصور سليم</v>
      </c>
      <c r="I473" s="226" t="s">
        <v>897</v>
      </c>
      <c r="J473" s="226" t="s">
        <v>112</v>
      </c>
      <c r="K473" s="226" t="s">
        <v>116</v>
      </c>
      <c r="L473" s="164">
        <v>275</v>
      </c>
      <c r="M473" s="165"/>
      <c r="N473" s="165"/>
      <c r="Q473" s="166">
        <v>56</v>
      </c>
      <c r="R473" s="163">
        <f>R472+Table1[[#This Row],[الوارد ]]-Table1[[#This Row],[المنصرف ]]</f>
        <v>93686.879416486074</v>
      </c>
      <c r="S473" s="226"/>
      <c r="T473" s="226"/>
    </row>
    <row r="474" spans="1:20">
      <c r="A474" s="237">
        <v>45693</v>
      </c>
      <c r="B474" s="160" t="str">
        <f>TEXT(Table1[[#This Row],[التاريخ ]],"DDD")</f>
        <v>Wed</v>
      </c>
      <c r="C474" s="160" t="str">
        <f>IF(Table1[[#This Row],[التاريخ ]]="","",TEXT(Table1[[#This Row],[التاريخ ]],"mmm"))</f>
        <v>Feb</v>
      </c>
      <c r="D474" s="161" t="s">
        <v>680</v>
      </c>
      <c r="G474" s="226">
        <v>492</v>
      </c>
      <c r="H474" s="227" t="str">
        <f>VLOOKUP(G:G,'قاعدة بيانات  '!K:L,2,0)</f>
        <v>اسامه محمد احمد عبد الحميد</v>
      </c>
      <c r="I474" s="226" t="s">
        <v>102</v>
      </c>
      <c r="J474" s="226" t="s">
        <v>112</v>
      </c>
      <c r="K474" s="226" t="s">
        <v>116</v>
      </c>
      <c r="L474" s="164">
        <v>276</v>
      </c>
      <c r="M474" s="165"/>
      <c r="N474" s="165"/>
      <c r="Q474" s="166">
        <v>30</v>
      </c>
      <c r="R474" s="163">
        <f>R473+Table1[[#This Row],[الوارد ]]-Table1[[#This Row],[المنصرف ]]</f>
        <v>93656.879416486074</v>
      </c>
      <c r="S474" s="226"/>
      <c r="T474" s="226"/>
    </row>
    <row r="475" spans="1:20">
      <c r="A475" s="237">
        <v>45693</v>
      </c>
      <c r="B475" s="160" t="str">
        <f>TEXT(Table1[[#This Row],[التاريخ ]],"DDD")</f>
        <v>Wed</v>
      </c>
      <c r="C475" s="160" t="str">
        <f>IF(Table1[[#This Row],[التاريخ ]]="","",TEXT(Table1[[#This Row],[التاريخ ]],"mmm"))</f>
        <v>Feb</v>
      </c>
      <c r="D475" s="161" t="s">
        <v>680</v>
      </c>
      <c r="G475" s="226">
        <v>492</v>
      </c>
      <c r="H475" s="227" t="str">
        <f>VLOOKUP(G:G,'قاعدة بيانات  '!K:L,2,0)</f>
        <v>اسامه محمد احمد عبد الحميد</v>
      </c>
      <c r="I475" s="226" t="s">
        <v>899</v>
      </c>
      <c r="J475" s="226" t="s">
        <v>112</v>
      </c>
      <c r="K475" s="226" t="s">
        <v>116</v>
      </c>
      <c r="L475" s="164">
        <v>276</v>
      </c>
      <c r="M475" s="165"/>
      <c r="N475" s="165"/>
      <c r="Q475" s="166">
        <f>55+55+50</f>
        <v>160</v>
      </c>
      <c r="R475" s="163">
        <f>R474+Table1[[#This Row],[الوارد ]]-Table1[[#This Row],[المنصرف ]]</f>
        <v>93496.879416486074</v>
      </c>
      <c r="S475" s="226"/>
      <c r="T475" s="226"/>
    </row>
    <row r="476" spans="1:20">
      <c r="A476" s="237">
        <v>45693</v>
      </c>
      <c r="B476" s="160" t="str">
        <f>TEXT(Table1[[#This Row],[التاريخ ]],"DDD")</f>
        <v>Wed</v>
      </c>
      <c r="C476" s="160" t="str">
        <f>IF(Table1[[#This Row],[التاريخ ]]="","",TEXT(Table1[[#This Row],[التاريخ ]],"mmm"))</f>
        <v>Feb</v>
      </c>
      <c r="D476" s="161" t="s">
        <v>680</v>
      </c>
      <c r="G476" s="226">
        <v>492</v>
      </c>
      <c r="H476" s="227" t="str">
        <f>VLOOKUP(G:G,'قاعدة بيانات  '!K:L,2,0)</f>
        <v>اسامه محمد احمد عبد الحميد</v>
      </c>
      <c r="I476" s="226" t="s">
        <v>899</v>
      </c>
      <c r="J476" s="226" t="s">
        <v>112</v>
      </c>
      <c r="K476" s="226" t="s">
        <v>127</v>
      </c>
      <c r="L476" s="164">
        <v>276</v>
      </c>
      <c r="M476" s="165"/>
      <c r="N476" s="165"/>
      <c r="Q476" s="166">
        <v>25</v>
      </c>
      <c r="R476" s="163">
        <f>R475+Table1[[#This Row],[الوارد ]]-Table1[[#This Row],[المنصرف ]]</f>
        <v>93471.879416486074</v>
      </c>
      <c r="S476" s="226"/>
      <c r="T476" s="226"/>
    </row>
    <row r="477" spans="1:20">
      <c r="A477" s="237">
        <v>45693</v>
      </c>
      <c r="B477" s="160" t="str">
        <f>TEXT(Table1[[#This Row],[التاريخ ]],"DDD")</f>
        <v>Wed</v>
      </c>
      <c r="C477" s="160" t="str">
        <f>IF(Table1[[#This Row],[التاريخ ]]="","",TEXT(Table1[[#This Row],[التاريخ ]],"mmm"))</f>
        <v>Feb</v>
      </c>
      <c r="D477" s="161" t="s">
        <v>680</v>
      </c>
      <c r="G477" s="226">
        <v>492</v>
      </c>
      <c r="H477" s="227" t="str">
        <f>VLOOKUP(G:G,'قاعدة بيانات  '!K:L,2,0)</f>
        <v>اسامه محمد احمد عبد الحميد</v>
      </c>
      <c r="I477" s="226" t="s">
        <v>167</v>
      </c>
      <c r="J477" s="226" t="s">
        <v>301</v>
      </c>
      <c r="K477" s="226" t="s">
        <v>116</v>
      </c>
      <c r="L477" s="164">
        <v>276</v>
      </c>
      <c r="M477" s="165"/>
      <c r="N477" s="165"/>
      <c r="Q477" s="166">
        <v>18</v>
      </c>
      <c r="R477" s="163">
        <f>R476+Table1[[#This Row],[الوارد ]]-Table1[[#This Row],[المنصرف ]]</f>
        <v>93453.879416486074</v>
      </c>
      <c r="S477" s="226"/>
      <c r="T477" s="226"/>
    </row>
    <row r="478" spans="1:20">
      <c r="A478" s="237">
        <v>45693</v>
      </c>
      <c r="B478" s="160" t="str">
        <f>TEXT(Table1[[#This Row],[التاريخ ]],"DDD")</f>
        <v>Wed</v>
      </c>
      <c r="C478" s="160" t="str">
        <f>IF(Table1[[#This Row],[التاريخ ]]="","",TEXT(Table1[[#This Row],[التاريخ ]],"mmm"))</f>
        <v>Feb</v>
      </c>
      <c r="D478" s="161" t="s">
        <v>680</v>
      </c>
      <c r="G478" s="226">
        <v>492</v>
      </c>
      <c r="H478" s="227" t="str">
        <f>VLOOKUP(G:G,'قاعدة بيانات  '!K:L,2,0)</f>
        <v>اسامه محمد احمد عبد الحميد</v>
      </c>
      <c r="I478" s="226" t="s">
        <v>167</v>
      </c>
      <c r="J478" s="226" t="s">
        <v>301</v>
      </c>
      <c r="K478" s="226" t="s">
        <v>124</v>
      </c>
      <c r="L478" s="164">
        <v>276</v>
      </c>
      <c r="M478" s="165"/>
      <c r="N478" s="165"/>
      <c r="Q478" s="166">
        <v>600</v>
      </c>
      <c r="R478" s="163">
        <f>R477+Table1[[#This Row],[الوارد ]]-Table1[[#This Row],[المنصرف ]]</f>
        <v>92853.879416486074</v>
      </c>
      <c r="S478" s="226"/>
      <c r="T478" s="226"/>
    </row>
    <row r="479" spans="1:20">
      <c r="A479" s="237">
        <v>45693</v>
      </c>
      <c r="B479" s="160" t="str">
        <f>TEXT(Table1[[#This Row],[التاريخ ]],"DDD")</f>
        <v>Wed</v>
      </c>
      <c r="C479" s="160" t="str">
        <f>IF(Table1[[#This Row],[التاريخ ]]="","",TEXT(Table1[[#This Row],[التاريخ ]],"mmm"))</f>
        <v>Feb</v>
      </c>
      <c r="D479" s="161" t="s">
        <v>680</v>
      </c>
      <c r="G479" s="226">
        <v>492</v>
      </c>
      <c r="H479" s="227" t="str">
        <f>VLOOKUP(G:G,'قاعدة بيانات  '!K:L,2,0)</f>
        <v>اسامه محمد احمد عبد الحميد</v>
      </c>
      <c r="I479" s="226" t="s">
        <v>167</v>
      </c>
      <c r="J479" s="226" t="s">
        <v>301</v>
      </c>
      <c r="K479" s="226" t="s">
        <v>120</v>
      </c>
      <c r="L479" s="164">
        <v>276</v>
      </c>
      <c r="M479" s="165"/>
      <c r="N479" s="165"/>
      <c r="Q479" s="166">
        <v>150</v>
      </c>
      <c r="R479" s="163">
        <f>R478+Table1[[#This Row],[الوارد ]]-Table1[[#This Row],[المنصرف ]]</f>
        <v>92703.879416486074</v>
      </c>
      <c r="S479" s="226"/>
      <c r="T479" s="226"/>
    </row>
    <row r="480" spans="1:20">
      <c r="A480" s="237">
        <v>45693</v>
      </c>
      <c r="B480" s="160" t="str">
        <f>TEXT(Table1[[#This Row],[التاريخ ]],"DDD")</f>
        <v>Wed</v>
      </c>
      <c r="C480" s="160" t="str">
        <f>IF(Table1[[#This Row],[التاريخ ]]="","",TEXT(Table1[[#This Row],[التاريخ ]],"mmm"))</f>
        <v>Feb</v>
      </c>
      <c r="D480" s="161" t="s">
        <v>680</v>
      </c>
      <c r="G480" s="226">
        <v>492</v>
      </c>
      <c r="H480" s="227" t="str">
        <f>VLOOKUP(G:G,'قاعدة بيانات  '!K:L,2,0)</f>
        <v>اسامه محمد احمد عبد الحميد</v>
      </c>
      <c r="I480" s="226" t="s">
        <v>167</v>
      </c>
      <c r="J480" s="226" t="s">
        <v>301</v>
      </c>
      <c r="K480" s="226" t="s">
        <v>116</v>
      </c>
      <c r="L480" s="164">
        <v>276</v>
      </c>
      <c r="M480" s="165"/>
      <c r="N480" s="165"/>
      <c r="Q480" s="166">
        <v>53</v>
      </c>
      <c r="R480" s="163">
        <f>R479+Table1[[#This Row],[الوارد ]]-Table1[[#This Row],[المنصرف ]]</f>
        <v>92650.879416486074</v>
      </c>
      <c r="S480" s="226"/>
      <c r="T480" s="226"/>
    </row>
    <row r="481" spans="1:20">
      <c r="A481" s="237">
        <v>45693</v>
      </c>
      <c r="B481" s="160" t="str">
        <f>TEXT(Table1[[#This Row],[التاريخ ]],"DDD")</f>
        <v>Wed</v>
      </c>
      <c r="C481" s="160" t="str">
        <f>IF(Table1[[#This Row],[التاريخ ]]="","",TEXT(Table1[[#This Row],[التاريخ ]],"mmm"))</f>
        <v>Feb</v>
      </c>
      <c r="D481" s="161" t="s">
        <v>680</v>
      </c>
      <c r="G481" s="226">
        <v>492</v>
      </c>
      <c r="H481" s="227" t="str">
        <f>VLOOKUP(G:G,'قاعدة بيانات  '!K:L,2,0)</f>
        <v>اسامه محمد احمد عبد الحميد</v>
      </c>
      <c r="I481" s="226" t="s">
        <v>98</v>
      </c>
      <c r="J481" s="226" t="s">
        <v>112</v>
      </c>
      <c r="K481" s="226" t="s">
        <v>127</v>
      </c>
      <c r="L481" s="164">
        <v>276</v>
      </c>
      <c r="M481" s="165"/>
      <c r="N481" s="165"/>
      <c r="Q481" s="166">
        <v>480</v>
      </c>
      <c r="R481" s="163">
        <f>R480+Table1[[#This Row],[الوارد ]]-Table1[[#This Row],[المنصرف ]]</f>
        <v>92170.879416486074</v>
      </c>
      <c r="S481" s="226"/>
      <c r="T481" s="226"/>
    </row>
    <row r="482" spans="1:20">
      <c r="A482" s="237">
        <v>45693</v>
      </c>
      <c r="B482" s="160" t="str">
        <f>TEXT(Table1[[#This Row],[التاريخ ]],"DDD")</f>
        <v>Wed</v>
      </c>
      <c r="C482" s="160" t="str">
        <f>IF(Table1[[#This Row],[التاريخ ]]="","",TEXT(Table1[[#This Row],[التاريخ ]],"mmm"))</f>
        <v>Feb</v>
      </c>
      <c r="D482" s="161" t="s">
        <v>680</v>
      </c>
      <c r="G482" s="226">
        <v>492</v>
      </c>
      <c r="H482" s="227" t="str">
        <f>VLOOKUP(G:G,'قاعدة بيانات  '!K:L,2,0)</f>
        <v>اسامه محمد احمد عبد الحميد</v>
      </c>
      <c r="I482" s="226" t="s">
        <v>98</v>
      </c>
      <c r="J482" s="226" t="s">
        <v>112</v>
      </c>
      <c r="K482" s="226" t="s">
        <v>116</v>
      </c>
      <c r="L482" s="164">
        <v>276</v>
      </c>
      <c r="M482" s="165"/>
      <c r="N482" s="165"/>
      <c r="Q482" s="166">
        <v>27</v>
      </c>
      <c r="R482" s="163">
        <f>R481+Table1[[#This Row],[الوارد ]]-Table1[[#This Row],[المنصرف ]]</f>
        <v>92143.879416486074</v>
      </c>
      <c r="S482" s="226"/>
      <c r="T482" s="226"/>
    </row>
    <row r="483" spans="1:20">
      <c r="A483" s="237">
        <v>45693</v>
      </c>
      <c r="B483" s="160" t="str">
        <f>TEXT(Table1[[#This Row],[التاريخ ]],"DDD")</f>
        <v>Wed</v>
      </c>
      <c r="C483" s="160" t="str">
        <f>IF(Table1[[#This Row],[التاريخ ]]="","",TEXT(Table1[[#This Row],[التاريخ ]],"mmm"))</f>
        <v>Feb</v>
      </c>
      <c r="D483" s="161" t="s">
        <v>680</v>
      </c>
      <c r="G483" s="226">
        <v>492</v>
      </c>
      <c r="H483" s="227" t="str">
        <f>VLOOKUP(G:G,'قاعدة بيانات  '!K:L,2,0)</f>
        <v>اسامه محمد احمد عبد الحميد</v>
      </c>
      <c r="I483" s="226" t="s">
        <v>98</v>
      </c>
      <c r="J483" s="226" t="s">
        <v>112</v>
      </c>
      <c r="K483" s="226" t="s">
        <v>120</v>
      </c>
      <c r="L483" s="164">
        <v>276</v>
      </c>
      <c r="M483" s="165"/>
      <c r="N483" s="165"/>
      <c r="Q483" s="166">
        <v>500</v>
      </c>
      <c r="R483" s="163">
        <f>R482+Table1[[#This Row],[الوارد ]]-Table1[[#This Row],[المنصرف ]]</f>
        <v>91643.879416486074</v>
      </c>
      <c r="S483" s="226"/>
      <c r="T483" s="226"/>
    </row>
    <row r="484" spans="1:20">
      <c r="A484" s="237">
        <v>45693</v>
      </c>
      <c r="B484" s="160" t="str">
        <f>TEXT(Table1[[#This Row],[التاريخ ]],"DDD")</f>
        <v>Wed</v>
      </c>
      <c r="C484" s="160" t="str">
        <f>IF(Table1[[#This Row],[التاريخ ]]="","",TEXT(Table1[[#This Row],[التاريخ ]],"mmm"))</f>
        <v>Feb</v>
      </c>
      <c r="D484" s="161" t="s">
        <v>680</v>
      </c>
      <c r="G484" s="226">
        <v>492</v>
      </c>
      <c r="H484" s="227" t="str">
        <f>VLOOKUP(G:G,'قاعدة بيانات  '!K:L,2,0)</f>
        <v>اسامه محمد احمد عبد الحميد</v>
      </c>
      <c r="I484" s="226" t="s">
        <v>328</v>
      </c>
      <c r="J484" s="226" t="s">
        <v>112</v>
      </c>
      <c r="K484" s="226" t="s">
        <v>120</v>
      </c>
      <c r="L484" s="164">
        <v>276</v>
      </c>
      <c r="M484" s="165"/>
      <c r="N484" s="165"/>
      <c r="Q484" s="166">
        <v>50</v>
      </c>
      <c r="R484" s="163">
        <f>R483+Table1[[#This Row],[الوارد ]]-Table1[[#This Row],[المنصرف ]]</f>
        <v>91593.879416486074</v>
      </c>
      <c r="S484" s="226"/>
      <c r="T484" s="226"/>
    </row>
    <row r="485" spans="1:20">
      <c r="A485" s="237">
        <v>45693</v>
      </c>
      <c r="B485" s="160" t="str">
        <f>TEXT(Table1[[#This Row],[التاريخ ]],"DDD")</f>
        <v>Wed</v>
      </c>
      <c r="C485" s="160" t="str">
        <f>IF(Table1[[#This Row],[التاريخ ]]="","",TEXT(Table1[[#This Row],[التاريخ ]],"mmm"))</f>
        <v>Feb</v>
      </c>
      <c r="D485" s="161" t="s">
        <v>900</v>
      </c>
      <c r="G485" s="226">
        <v>151</v>
      </c>
      <c r="H485" s="227" t="str">
        <f>VLOOKUP(G:G,'قاعدة بيانات  '!K:L,2,0)</f>
        <v xml:space="preserve">احمد عبد الباسط عبد السلام محمد </v>
      </c>
      <c r="I485" s="226" t="s">
        <v>198</v>
      </c>
      <c r="J485" s="226" t="s">
        <v>1114</v>
      </c>
      <c r="K485" s="226" t="s">
        <v>118</v>
      </c>
      <c r="L485" s="164">
        <v>277</v>
      </c>
      <c r="M485" s="165"/>
      <c r="N485" s="165"/>
      <c r="Q485" s="166">
        <v>11000</v>
      </c>
      <c r="R485" s="163">
        <f>R484+Table1[[#This Row],[الوارد ]]-Table1[[#This Row],[المنصرف ]]</f>
        <v>80593.879416486074</v>
      </c>
      <c r="S485" s="226"/>
      <c r="T485" s="226"/>
    </row>
    <row r="486" spans="1:20">
      <c r="A486" s="237">
        <v>45693</v>
      </c>
      <c r="B486" s="160" t="str">
        <f>TEXT(Table1[[#This Row],[التاريخ ]],"DDD")</f>
        <v>Wed</v>
      </c>
      <c r="C486" s="160" t="str">
        <f>IF(Table1[[#This Row],[التاريخ ]]="","",TEXT(Table1[[#This Row],[التاريخ ]],"mmm"))</f>
        <v>Feb</v>
      </c>
      <c r="D486" s="161" t="s">
        <v>901</v>
      </c>
      <c r="G486" s="226">
        <v>151</v>
      </c>
      <c r="H486" s="227" t="str">
        <f>VLOOKUP(G:G,'قاعدة بيانات  '!K:L,2,0)</f>
        <v xml:space="preserve">احمد عبد الباسط عبد السلام محمد </v>
      </c>
      <c r="I486" s="226" t="s">
        <v>198</v>
      </c>
      <c r="J486" s="226" t="s">
        <v>1114</v>
      </c>
      <c r="K486" s="226" t="s">
        <v>117</v>
      </c>
      <c r="L486" s="164">
        <v>277</v>
      </c>
      <c r="M486" s="165"/>
      <c r="N486" s="165"/>
      <c r="Q486" s="166">
        <v>1000</v>
      </c>
      <c r="R486" s="163">
        <f>R485+Table1[[#This Row],[الوارد ]]-Table1[[#This Row],[المنصرف ]]</f>
        <v>79593.879416486074</v>
      </c>
      <c r="S486" s="226"/>
      <c r="T486" s="226"/>
    </row>
    <row r="487" spans="1:20">
      <c r="A487" s="237">
        <v>45693</v>
      </c>
      <c r="B487" s="160" t="str">
        <f>TEXT(Table1[[#This Row],[التاريخ ]],"DDD")</f>
        <v>Wed</v>
      </c>
      <c r="C487" s="160" t="str">
        <f>IF(Table1[[#This Row],[التاريخ ]]="","",TEXT(Table1[[#This Row],[التاريخ ]],"mmm"))</f>
        <v>Feb</v>
      </c>
      <c r="D487" s="161" t="s">
        <v>902</v>
      </c>
      <c r="G487" s="226">
        <v>151</v>
      </c>
      <c r="H487" s="227" t="str">
        <f>VLOOKUP(G:G,'قاعدة بيانات  '!K:L,2,0)</f>
        <v xml:space="preserve">احمد عبد الباسط عبد السلام محمد </v>
      </c>
      <c r="I487" s="226" t="s">
        <v>198</v>
      </c>
      <c r="J487" s="226" t="s">
        <v>301</v>
      </c>
      <c r="K487" s="226" t="s">
        <v>117</v>
      </c>
      <c r="L487" s="164">
        <v>277</v>
      </c>
      <c r="M487" s="165"/>
      <c r="N487" s="165"/>
      <c r="Q487" s="166">
        <v>1000</v>
      </c>
      <c r="R487" s="163">
        <f>R486+Table1[[#This Row],[الوارد ]]-Table1[[#This Row],[المنصرف ]]</f>
        <v>78593.879416486074</v>
      </c>
      <c r="S487" s="226"/>
      <c r="T487" s="226"/>
    </row>
    <row r="488" spans="1:20">
      <c r="A488" s="237">
        <v>45693</v>
      </c>
      <c r="B488" s="160" t="str">
        <f>TEXT(Table1[[#This Row],[التاريخ ]],"DDD")</f>
        <v>Wed</v>
      </c>
      <c r="C488" s="160" t="str">
        <f>IF(Table1[[#This Row],[التاريخ ]]="","",TEXT(Table1[[#This Row],[التاريخ ]],"mmm"))</f>
        <v>Feb</v>
      </c>
      <c r="D488" s="161" t="s">
        <v>903</v>
      </c>
      <c r="G488" s="226">
        <v>151</v>
      </c>
      <c r="H488" s="227" t="str">
        <f>VLOOKUP(G:G,'قاعدة بيانات  '!K:L,2,0)</f>
        <v xml:space="preserve">احمد عبد الباسط عبد السلام محمد </v>
      </c>
      <c r="I488" s="226" t="s">
        <v>198</v>
      </c>
      <c r="J488" s="226" t="s">
        <v>301</v>
      </c>
      <c r="K488" s="226" t="s">
        <v>124</v>
      </c>
      <c r="L488" s="164">
        <v>277</v>
      </c>
      <c r="M488" s="165"/>
      <c r="N488" s="165"/>
      <c r="Q488" s="166">
        <v>200</v>
      </c>
      <c r="R488" s="163">
        <f>R487+Table1[[#This Row],[الوارد ]]-Table1[[#This Row],[المنصرف ]]</f>
        <v>78393.879416486074</v>
      </c>
      <c r="S488" s="226"/>
      <c r="T488" s="226"/>
    </row>
    <row r="489" spans="1:20">
      <c r="A489" s="237">
        <v>45693</v>
      </c>
      <c r="B489" s="160" t="str">
        <f>TEXT(Table1[[#This Row],[التاريخ ]],"DDD")</f>
        <v>Wed</v>
      </c>
      <c r="C489" s="160" t="str">
        <f>IF(Table1[[#This Row],[التاريخ ]]="","",TEXT(Table1[[#This Row],[التاريخ ]],"mmm"))</f>
        <v>Feb</v>
      </c>
      <c r="D489" s="161" t="s">
        <v>904</v>
      </c>
      <c r="G489" s="226">
        <v>151</v>
      </c>
      <c r="H489" s="227" t="str">
        <f>VLOOKUP(G:G,'قاعدة بيانات  '!K:L,2,0)</f>
        <v xml:space="preserve">احمد عبد الباسط عبد السلام محمد </v>
      </c>
      <c r="I489" s="226" t="s">
        <v>198</v>
      </c>
      <c r="J489" s="226" t="s">
        <v>301</v>
      </c>
      <c r="K489" s="226" t="s">
        <v>117</v>
      </c>
      <c r="L489" s="164">
        <v>277</v>
      </c>
      <c r="M489" s="165"/>
      <c r="N489" s="165"/>
      <c r="Q489" s="166">
        <v>25</v>
      </c>
      <c r="R489" s="163">
        <f>R488+Table1[[#This Row],[الوارد ]]-Table1[[#This Row],[المنصرف ]]</f>
        <v>78368.879416486074</v>
      </c>
      <c r="S489" s="226"/>
      <c r="T489" s="226"/>
    </row>
    <row r="490" spans="1:20">
      <c r="A490" s="237">
        <v>45693</v>
      </c>
      <c r="B490" s="160" t="str">
        <f>TEXT(Table1[[#This Row],[التاريخ ]],"DDD")</f>
        <v>Wed</v>
      </c>
      <c r="C490" s="160" t="str">
        <f>IF(Table1[[#This Row],[التاريخ ]]="","",TEXT(Table1[[#This Row],[التاريخ ]],"mmm"))</f>
        <v>Feb</v>
      </c>
      <c r="D490" s="161" t="s">
        <v>905</v>
      </c>
      <c r="E490" s="161" t="s">
        <v>331</v>
      </c>
      <c r="F490" s="162">
        <v>1035</v>
      </c>
      <c r="G490" s="226">
        <v>151</v>
      </c>
      <c r="H490" s="227" t="str">
        <f>VLOOKUP(G:G,'قاعدة بيانات  '!K:L,2,0)</f>
        <v xml:space="preserve">احمد عبد الباسط عبد السلام محمد </v>
      </c>
      <c r="I490" s="226" t="s">
        <v>198</v>
      </c>
      <c r="J490" s="226" t="s">
        <v>301</v>
      </c>
      <c r="K490" s="226" t="s">
        <v>118</v>
      </c>
      <c r="L490" s="164">
        <v>278</v>
      </c>
      <c r="M490" s="165"/>
      <c r="N490" s="165"/>
      <c r="Q490" s="166">
        <v>3374</v>
      </c>
      <c r="R490" s="163">
        <f>R489+Table1[[#This Row],[الوارد ]]-Table1[[#This Row],[المنصرف ]]</f>
        <v>74994.879416486074</v>
      </c>
      <c r="S490" s="226"/>
      <c r="T490" s="226"/>
    </row>
    <row r="491" spans="1:20">
      <c r="A491" s="237">
        <v>45693</v>
      </c>
      <c r="B491" s="160" t="str">
        <f>TEXT(Table1[[#This Row],[التاريخ ]],"DDD")</f>
        <v>Wed</v>
      </c>
      <c r="C491" s="160" t="str">
        <f>IF(Table1[[#This Row],[التاريخ ]]="","",TEXT(Table1[[#This Row],[التاريخ ]],"mmm"))</f>
        <v>Feb</v>
      </c>
      <c r="D491" s="161" t="s">
        <v>906</v>
      </c>
      <c r="E491" s="161" t="s">
        <v>331</v>
      </c>
      <c r="F491" s="162">
        <v>1035</v>
      </c>
      <c r="G491" s="226">
        <v>151</v>
      </c>
      <c r="H491" s="227" t="str">
        <f>VLOOKUP(G:G,'قاعدة بيانات  '!K:L,2,0)</f>
        <v xml:space="preserve">احمد عبد الباسط عبد السلام محمد </v>
      </c>
      <c r="I491" s="226" t="s">
        <v>198</v>
      </c>
      <c r="J491" s="226" t="s">
        <v>301</v>
      </c>
      <c r="K491" s="226" t="s">
        <v>115</v>
      </c>
      <c r="L491" s="164">
        <v>278</v>
      </c>
      <c r="M491" s="165"/>
      <c r="N491" s="165"/>
      <c r="Q491" s="166">
        <v>472.22</v>
      </c>
      <c r="R491" s="163">
        <f>R490+Table1[[#This Row],[الوارد ]]-Table1[[#This Row],[المنصرف ]]</f>
        <v>74522.659416486073</v>
      </c>
      <c r="S491" s="226"/>
      <c r="T491" s="226"/>
    </row>
    <row r="492" spans="1:20">
      <c r="A492" s="237">
        <v>45693</v>
      </c>
      <c r="B492" s="160" t="str">
        <f>TEXT(Table1[[#This Row],[التاريخ ]],"DDD")</f>
        <v>Wed</v>
      </c>
      <c r="C492" s="160" t="str">
        <f>IF(Table1[[#This Row],[التاريخ ]]="","",TEXT(Table1[[#This Row],[التاريخ ]],"mmm"))</f>
        <v>Feb</v>
      </c>
      <c r="D492" s="161" t="s">
        <v>907</v>
      </c>
      <c r="E492" s="161" t="s">
        <v>331</v>
      </c>
      <c r="F492" s="162">
        <v>1035</v>
      </c>
      <c r="G492" s="226">
        <v>151</v>
      </c>
      <c r="H492" s="227" t="str">
        <f>VLOOKUP(G:G,'قاعدة بيانات  '!K:L,2,0)</f>
        <v xml:space="preserve">احمد عبد الباسط عبد السلام محمد </v>
      </c>
      <c r="I492" s="226" t="s">
        <v>198</v>
      </c>
      <c r="J492" s="226" t="s">
        <v>301</v>
      </c>
      <c r="K492" s="226" t="s">
        <v>384</v>
      </c>
      <c r="L492" s="164">
        <v>278</v>
      </c>
      <c r="M492" s="165"/>
      <c r="N492" s="165"/>
      <c r="Q492" s="166">
        <v>-33.729999999999997</v>
      </c>
      <c r="R492" s="163">
        <f>R491+Table1[[#This Row],[الوارد ]]-Table1[[#This Row],[المنصرف ]]</f>
        <v>74556.389416486069</v>
      </c>
      <c r="S492" s="226"/>
      <c r="T492" s="226"/>
    </row>
    <row r="493" spans="1:20">
      <c r="A493" s="237">
        <v>45693</v>
      </c>
      <c r="B493" s="160" t="str">
        <f>TEXT(Table1[[#This Row],[التاريخ ]],"DDD")</f>
        <v>Wed</v>
      </c>
      <c r="C493" s="160" t="str">
        <f>IF(Table1[[#This Row],[التاريخ ]]="","",TEXT(Table1[[#This Row],[التاريخ ]],"mmm"))</f>
        <v>Feb</v>
      </c>
      <c r="D493" s="161" t="s">
        <v>910</v>
      </c>
      <c r="G493" s="226">
        <v>2</v>
      </c>
      <c r="H493" s="227" t="str">
        <f>VLOOKUP(G:G,'قاعدة بيانات  '!K:L,2,0)</f>
        <v>علاء محمد عوض جاد الله</v>
      </c>
      <c r="I493" s="226" t="s">
        <v>167</v>
      </c>
      <c r="J493" s="226" t="s">
        <v>301</v>
      </c>
      <c r="K493" s="226" t="s">
        <v>136</v>
      </c>
      <c r="L493" s="164">
        <v>279</v>
      </c>
      <c r="M493" s="165"/>
      <c r="N493" s="165"/>
      <c r="Q493" s="166">
        <v>500</v>
      </c>
      <c r="R493" s="163">
        <f>R492+Table1[[#This Row],[الوارد ]]-Table1[[#This Row],[المنصرف ]]</f>
        <v>74056.389416486069</v>
      </c>
      <c r="S493" s="226"/>
      <c r="T493" s="226"/>
    </row>
    <row r="494" spans="1:20">
      <c r="A494" s="237">
        <v>45694</v>
      </c>
      <c r="B494" s="160" t="str">
        <f>TEXT(Table1[[#This Row],[التاريخ ]],"DDD")</f>
        <v>Thu</v>
      </c>
      <c r="C494" s="160" t="str">
        <f>IF(Table1[[#This Row],[التاريخ ]]="","",TEXT(Table1[[#This Row],[التاريخ ]],"mmm"))</f>
        <v>Feb</v>
      </c>
      <c r="D494" s="161" t="s">
        <v>193</v>
      </c>
      <c r="G494" s="226">
        <v>151</v>
      </c>
      <c r="H494" s="227" t="str">
        <f>VLOOKUP(G:G,'قاعدة بيانات  '!K:L,2,0)</f>
        <v xml:space="preserve">احمد عبد الباسط عبد السلام محمد </v>
      </c>
      <c r="I494" s="226" t="s">
        <v>167</v>
      </c>
      <c r="J494" s="226" t="s">
        <v>301</v>
      </c>
      <c r="K494" s="226" t="s">
        <v>140</v>
      </c>
      <c r="L494" s="164">
        <v>280</v>
      </c>
      <c r="M494" s="165"/>
      <c r="N494" s="165"/>
      <c r="P494" s="163">
        <v>30000</v>
      </c>
      <c r="Q494" s="166"/>
      <c r="R494" s="163">
        <f>R493+Table1[[#This Row],[الوارد ]]-Table1[[#This Row],[المنصرف ]]</f>
        <v>104056.38941648607</v>
      </c>
      <c r="S494" s="226"/>
      <c r="T494" s="226"/>
    </row>
    <row r="495" spans="1:20">
      <c r="A495" s="237">
        <v>45694</v>
      </c>
      <c r="B495" s="160" t="str">
        <f>TEXT(Table1[[#This Row],[التاريخ ]],"DDD")</f>
        <v>Thu</v>
      </c>
      <c r="C495" s="160" t="str">
        <f>IF(Table1[[#This Row],[التاريخ ]]="","",TEXT(Table1[[#This Row],[التاريخ ]],"mmm"))</f>
        <v>Feb</v>
      </c>
      <c r="D495" s="161" t="s">
        <v>909</v>
      </c>
      <c r="G495" s="226">
        <v>151</v>
      </c>
      <c r="H495" s="227" t="str">
        <f>VLOOKUP(G:G,'قاعدة بيانات  '!K:L,2,0)</f>
        <v xml:space="preserve">احمد عبد الباسط عبد السلام محمد </v>
      </c>
      <c r="I495" s="226" t="s">
        <v>167</v>
      </c>
      <c r="J495" s="226" t="s">
        <v>301</v>
      </c>
      <c r="K495" s="226" t="s">
        <v>134</v>
      </c>
      <c r="L495" s="164">
        <v>281</v>
      </c>
      <c r="M495" s="165"/>
      <c r="N495" s="165"/>
      <c r="Q495" s="166">
        <v>2500</v>
      </c>
      <c r="R495" s="163">
        <f>R494+Table1[[#This Row],[الوارد ]]-Table1[[#This Row],[المنصرف ]]</f>
        <v>101556.38941648607</v>
      </c>
      <c r="S495" s="226"/>
      <c r="T495" s="226"/>
    </row>
    <row r="496" spans="1:20">
      <c r="A496" s="237">
        <v>45694</v>
      </c>
      <c r="B496" s="160" t="str">
        <f>TEXT(Table1[[#This Row],[التاريخ ]],"DDD")</f>
        <v>Thu</v>
      </c>
      <c r="C496" s="160" t="str">
        <f>IF(Table1[[#This Row],[التاريخ ]]="","",TEXT(Table1[[#This Row],[التاريخ ]],"mmm"))</f>
        <v>Feb</v>
      </c>
      <c r="D496" s="161" t="s">
        <v>657</v>
      </c>
      <c r="G496" s="202">
        <v>545</v>
      </c>
      <c r="H496" s="227" t="str">
        <f>VLOOKUP(G:G,'قاعدة بيانات  '!K:L,2,0)</f>
        <v>محمد الظافر محمد رفعت احمد إبراهيم</v>
      </c>
      <c r="I496" s="226" t="s">
        <v>107</v>
      </c>
      <c r="J496" s="226" t="s">
        <v>112</v>
      </c>
      <c r="K496" s="226" t="s">
        <v>116</v>
      </c>
      <c r="L496" s="164">
        <v>282</v>
      </c>
      <c r="M496" s="165"/>
      <c r="N496" s="165"/>
      <c r="Q496" s="166">
        <f>32+34</f>
        <v>66</v>
      </c>
      <c r="R496" s="163">
        <f>R495+Table1[[#This Row],[الوارد ]]-Table1[[#This Row],[المنصرف ]]</f>
        <v>101490.38941648607</v>
      </c>
      <c r="S496" s="226"/>
      <c r="T496" s="226"/>
    </row>
    <row r="497" spans="1:20">
      <c r="A497" s="237">
        <v>45694</v>
      </c>
      <c r="B497" s="160" t="str">
        <f>TEXT(Table1[[#This Row],[التاريخ ]],"DDD")</f>
        <v>Thu</v>
      </c>
      <c r="C497" s="160" t="str">
        <f>IF(Table1[[#This Row],[التاريخ ]]="","",TEXT(Table1[[#This Row],[التاريخ ]],"mmm"))</f>
        <v>Feb</v>
      </c>
      <c r="D497" s="161" t="s">
        <v>657</v>
      </c>
      <c r="G497" s="202">
        <v>545</v>
      </c>
      <c r="H497" s="227" t="str">
        <f>VLOOKUP(G:G,'قاعدة بيانات  '!K:L,2,0)</f>
        <v>محمد الظافر محمد رفعت احمد إبراهيم</v>
      </c>
      <c r="I497" s="226" t="s">
        <v>425</v>
      </c>
      <c r="J497" s="226" t="s">
        <v>112</v>
      </c>
      <c r="K497" s="226" t="s">
        <v>116</v>
      </c>
      <c r="L497" s="164">
        <v>282</v>
      </c>
      <c r="M497" s="165"/>
      <c r="N497" s="165"/>
      <c r="Q497" s="166">
        <v>32</v>
      </c>
      <c r="R497" s="163">
        <f>R496+Table1[[#This Row],[الوارد ]]-Table1[[#This Row],[المنصرف ]]</f>
        <v>101458.38941648607</v>
      </c>
      <c r="S497" s="226"/>
      <c r="T497" s="226"/>
    </row>
    <row r="498" spans="1:20">
      <c r="A498" s="237">
        <v>45694</v>
      </c>
      <c r="B498" s="160" t="str">
        <f>TEXT(Table1[[#This Row],[التاريخ ]],"DDD")</f>
        <v>Thu</v>
      </c>
      <c r="C498" s="160" t="str">
        <f>IF(Table1[[#This Row],[التاريخ ]]="","",TEXT(Table1[[#This Row],[التاريخ ]],"mmm"))</f>
        <v>Feb</v>
      </c>
      <c r="D498" s="161" t="s">
        <v>657</v>
      </c>
      <c r="G498" s="226">
        <v>545</v>
      </c>
      <c r="H498" s="227" t="str">
        <f>VLOOKUP(G:G,'قاعدة بيانات  '!K:L,2,0)</f>
        <v>محمد الظافر محمد رفعت احمد إبراهيم</v>
      </c>
      <c r="I498" s="226" t="s">
        <v>439</v>
      </c>
      <c r="J498" s="226" t="s">
        <v>112</v>
      </c>
      <c r="K498" s="226" t="s">
        <v>116</v>
      </c>
      <c r="L498" s="164">
        <v>282</v>
      </c>
      <c r="M498" s="165"/>
      <c r="N498" s="165"/>
      <c r="Q498" s="166">
        <f>171+34</f>
        <v>205</v>
      </c>
      <c r="R498" s="163">
        <f>R497+Table1[[#This Row],[الوارد ]]-Table1[[#This Row],[المنصرف ]]</f>
        <v>101253.38941648607</v>
      </c>
      <c r="S498" s="226"/>
      <c r="T498" s="226"/>
    </row>
    <row r="499" spans="1:20">
      <c r="A499" s="237">
        <v>45694</v>
      </c>
      <c r="B499" s="160" t="str">
        <f>TEXT(Table1[[#This Row],[التاريخ ]],"DDD")</f>
        <v>Thu</v>
      </c>
      <c r="C499" s="160" t="str">
        <f>IF(Table1[[#This Row],[التاريخ ]]="","",TEXT(Table1[[#This Row],[التاريخ ]],"mmm"))</f>
        <v>Feb</v>
      </c>
      <c r="D499" s="161" t="s">
        <v>657</v>
      </c>
      <c r="G499" s="226">
        <v>545</v>
      </c>
      <c r="H499" s="227" t="str">
        <f>VLOOKUP(G:G,'قاعدة بيانات  '!K:L,2,0)</f>
        <v>محمد الظافر محمد رفعت احمد إبراهيم</v>
      </c>
      <c r="I499" s="226" t="s">
        <v>439</v>
      </c>
      <c r="J499" s="226" t="s">
        <v>112</v>
      </c>
      <c r="K499" s="226" t="s">
        <v>124</v>
      </c>
      <c r="L499" s="164">
        <v>282</v>
      </c>
      <c r="M499" s="165"/>
      <c r="N499" s="165"/>
      <c r="Q499" s="166">
        <f>500+300+300</f>
        <v>1100</v>
      </c>
      <c r="R499" s="163">
        <f>R498+Table1[[#This Row],[الوارد ]]-Table1[[#This Row],[المنصرف ]]</f>
        <v>100153.38941648607</v>
      </c>
      <c r="S499" s="226"/>
      <c r="T499" s="226"/>
    </row>
    <row r="500" spans="1:20">
      <c r="A500" s="237">
        <v>45694</v>
      </c>
      <c r="B500" s="160" t="str">
        <f>TEXT(Table1[[#This Row],[التاريخ ]],"DDD")</f>
        <v>Thu</v>
      </c>
      <c r="C500" s="160" t="str">
        <f>IF(Table1[[#This Row],[التاريخ ]]="","",TEXT(Table1[[#This Row],[التاريخ ]],"mmm"))</f>
        <v>Feb</v>
      </c>
      <c r="D500" s="161" t="s">
        <v>657</v>
      </c>
      <c r="G500" s="226">
        <v>545</v>
      </c>
      <c r="H500" s="227" t="str">
        <f>VLOOKUP(G:G,'قاعدة بيانات  '!K:L,2,0)</f>
        <v>محمد الظافر محمد رفعت احمد إبراهيم</v>
      </c>
      <c r="I500" s="226" t="s">
        <v>439</v>
      </c>
      <c r="J500" s="226" t="s">
        <v>112</v>
      </c>
      <c r="K500" s="226" t="s">
        <v>128</v>
      </c>
      <c r="L500" s="164">
        <v>282</v>
      </c>
      <c r="M500" s="165"/>
      <c r="N500" s="165"/>
      <c r="Q500" s="166">
        <v>250</v>
      </c>
      <c r="R500" s="163">
        <f>R499+Table1[[#This Row],[الوارد ]]-Table1[[#This Row],[المنصرف ]]</f>
        <v>99903.389416486069</v>
      </c>
      <c r="S500" s="226"/>
      <c r="T500" s="226"/>
    </row>
    <row r="501" spans="1:20">
      <c r="A501" s="237">
        <v>45694</v>
      </c>
      <c r="B501" s="160" t="str">
        <f>TEXT(Table1[[#This Row],[التاريخ ]],"DDD")</f>
        <v>Thu</v>
      </c>
      <c r="C501" s="160" t="str">
        <f>IF(Table1[[#This Row],[التاريخ ]]="","",TEXT(Table1[[#This Row],[التاريخ ]],"mmm"))</f>
        <v>Feb</v>
      </c>
      <c r="D501" s="161" t="s">
        <v>657</v>
      </c>
      <c r="G501" s="226">
        <v>545</v>
      </c>
      <c r="H501" s="227" t="str">
        <f>VLOOKUP(G:G,'قاعدة بيانات  '!K:L,2,0)</f>
        <v>محمد الظافر محمد رفعت احمد إبراهيم</v>
      </c>
      <c r="I501" s="226" t="s">
        <v>198</v>
      </c>
      <c r="J501" s="226" t="s">
        <v>112</v>
      </c>
      <c r="K501" s="226" t="s">
        <v>116</v>
      </c>
      <c r="L501" s="164">
        <v>282</v>
      </c>
      <c r="M501" s="165"/>
      <c r="N501" s="165"/>
      <c r="Q501" s="166">
        <v>50</v>
      </c>
      <c r="R501" s="163">
        <f>R500+Table1[[#This Row],[الوارد ]]-Table1[[#This Row],[المنصرف ]]</f>
        <v>99853.389416486069</v>
      </c>
      <c r="S501" s="226"/>
      <c r="T501" s="226"/>
    </row>
    <row r="502" spans="1:20">
      <c r="A502" s="237">
        <v>45694</v>
      </c>
      <c r="B502" s="160" t="str">
        <f>TEXT(Table1[[#This Row],[التاريخ ]],"DDD")</f>
        <v>Thu</v>
      </c>
      <c r="C502" s="160" t="str">
        <f>IF(Table1[[#This Row],[التاريخ ]]="","",TEXT(Table1[[#This Row],[التاريخ ]],"mmm"))</f>
        <v>Feb</v>
      </c>
      <c r="D502" s="161" t="s">
        <v>657</v>
      </c>
      <c r="G502" s="226">
        <v>545</v>
      </c>
      <c r="H502" s="227" t="str">
        <f>VLOOKUP(G:G,'قاعدة بيانات  '!K:L,2,0)</f>
        <v>محمد الظافر محمد رفعت احمد إبراهيم</v>
      </c>
      <c r="I502" s="226" t="s">
        <v>107</v>
      </c>
      <c r="J502" s="226" t="s">
        <v>112</v>
      </c>
      <c r="K502" s="226" t="s">
        <v>124</v>
      </c>
      <c r="L502" s="164">
        <v>282</v>
      </c>
      <c r="M502" s="165"/>
      <c r="N502" s="165"/>
      <c r="Q502" s="166">
        <f>300+300+300</f>
        <v>900</v>
      </c>
      <c r="R502" s="163">
        <f>R501+Table1[[#This Row],[الوارد ]]-Table1[[#This Row],[المنصرف ]]</f>
        <v>98953.389416486069</v>
      </c>
      <c r="S502" s="226"/>
      <c r="T502" s="226"/>
    </row>
    <row r="503" spans="1:20">
      <c r="A503" s="237">
        <v>45694</v>
      </c>
      <c r="B503" s="160" t="str">
        <f>TEXT(Table1[[#This Row],[التاريخ ]],"DDD")</f>
        <v>Thu</v>
      </c>
      <c r="C503" s="160" t="str">
        <f>IF(Table1[[#This Row],[التاريخ ]]="","",TEXT(Table1[[#This Row],[التاريخ ]],"mmm"))</f>
        <v>Feb</v>
      </c>
      <c r="D503" s="161" t="s">
        <v>911</v>
      </c>
      <c r="G503" s="226">
        <v>555</v>
      </c>
      <c r="H503" s="227" t="str">
        <f>VLOOKUP(G:G,'قاعدة بيانات  '!K:L,2,0)</f>
        <v>اكرم امين على الوصال</v>
      </c>
      <c r="I503" s="226" t="s">
        <v>107</v>
      </c>
      <c r="J503" s="226" t="s">
        <v>110</v>
      </c>
      <c r="K503" s="226" t="s">
        <v>116</v>
      </c>
      <c r="L503" s="164">
        <v>283</v>
      </c>
      <c r="M503" s="165"/>
      <c r="N503" s="165"/>
      <c r="Q503" s="166">
        <v>60</v>
      </c>
      <c r="R503" s="163">
        <f>R502+Table1[[#This Row],[الوارد ]]-Table1[[#This Row],[المنصرف ]]</f>
        <v>98893.389416486069</v>
      </c>
      <c r="S503" s="226"/>
      <c r="T503" s="226"/>
    </row>
    <row r="504" spans="1:20">
      <c r="A504" s="237">
        <v>45694</v>
      </c>
      <c r="B504" s="160" t="str">
        <f>TEXT(Table1[[#This Row],[التاريخ ]],"DDD")</f>
        <v>Thu</v>
      </c>
      <c r="C504" s="160" t="str">
        <f>IF(Table1[[#This Row],[التاريخ ]]="","",TEXT(Table1[[#This Row],[التاريخ ]],"mmm"))</f>
        <v>Feb</v>
      </c>
      <c r="D504" s="161" t="s">
        <v>912</v>
      </c>
      <c r="G504" s="226">
        <v>10</v>
      </c>
      <c r="H504" s="227" t="str">
        <f>VLOOKUP(G:G,'قاعدة بيانات  '!K:L,2,0)</f>
        <v>عبد المنعم مجدى عبدربه محمد هلهل</v>
      </c>
      <c r="I504" s="226" t="s">
        <v>392</v>
      </c>
      <c r="J504" s="226" t="s">
        <v>301</v>
      </c>
      <c r="K504" s="226" t="s">
        <v>128</v>
      </c>
      <c r="L504" s="164">
        <v>284</v>
      </c>
      <c r="M504" s="165"/>
      <c r="N504" s="165"/>
      <c r="Q504" s="166">
        <v>58.71</v>
      </c>
      <c r="R504" s="163">
        <f>R503+Table1[[#This Row],[الوارد ]]-Table1[[#This Row],[المنصرف ]]</f>
        <v>98834.679416486062</v>
      </c>
      <c r="S504" s="226"/>
      <c r="T504" s="226"/>
    </row>
    <row r="505" spans="1:20">
      <c r="A505" s="237">
        <v>45694</v>
      </c>
      <c r="B505" s="160" t="str">
        <f>TEXT(Table1[[#This Row],[التاريخ ]],"DDD")</f>
        <v>Thu</v>
      </c>
      <c r="C505" s="160" t="str">
        <f>IF(Table1[[#This Row],[التاريخ ]]="","",TEXT(Table1[[#This Row],[التاريخ ]],"mmm"))</f>
        <v>Feb</v>
      </c>
      <c r="D505" s="161" t="s">
        <v>913</v>
      </c>
      <c r="G505" s="226">
        <v>151</v>
      </c>
      <c r="H505" s="227" t="str">
        <f>VLOOKUP(G:G,'قاعدة بيانات  '!K:L,2,0)</f>
        <v xml:space="preserve">احمد عبد الباسط عبد السلام محمد </v>
      </c>
      <c r="I505" s="226" t="s">
        <v>198</v>
      </c>
      <c r="J505" s="226" t="s">
        <v>301</v>
      </c>
      <c r="K505" s="226" t="s">
        <v>118</v>
      </c>
      <c r="L505" s="164">
        <v>285</v>
      </c>
      <c r="M505" s="165"/>
      <c r="N505" s="165"/>
      <c r="Q505" s="166">
        <v>8000</v>
      </c>
      <c r="R505" s="163">
        <f>R504+Table1[[#This Row],[الوارد ]]-Table1[[#This Row],[المنصرف ]]</f>
        <v>90834.679416486062</v>
      </c>
      <c r="S505" s="226"/>
      <c r="T505" s="226"/>
    </row>
    <row r="506" spans="1:20">
      <c r="A506" s="237">
        <v>45696</v>
      </c>
      <c r="B506" s="160" t="str">
        <f>TEXT(Table1[[#This Row],[التاريخ ]],"DDD")</f>
        <v>Sat</v>
      </c>
      <c r="C506" s="160" t="str">
        <f>IF(Table1[[#This Row],[التاريخ ]]="","",TEXT(Table1[[#This Row],[التاريخ ]],"mmm"))</f>
        <v>Feb</v>
      </c>
      <c r="D506" s="161" t="s">
        <v>914</v>
      </c>
      <c r="G506" s="226">
        <v>365</v>
      </c>
      <c r="H506" s="227" t="str">
        <f>VLOOKUP(G:G,'قاعدة بيانات  '!K:L,2,0)</f>
        <v>محمد رضا سعد حسن الشرقاوى</v>
      </c>
      <c r="I506" s="226" t="s">
        <v>167</v>
      </c>
      <c r="J506" s="226" t="s">
        <v>301</v>
      </c>
      <c r="K506" s="226" t="s">
        <v>116</v>
      </c>
      <c r="L506" s="164">
        <v>286</v>
      </c>
      <c r="M506" s="165"/>
      <c r="N506" s="165"/>
      <c r="Q506" s="166">
        <v>37</v>
      </c>
      <c r="R506" s="163">
        <f>R505+Table1[[#This Row],[الوارد ]]-Table1[[#This Row],[المنصرف ]]</f>
        <v>90797.679416486062</v>
      </c>
      <c r="S506" s="226"/>
      <c r="T506" s="226"/>
    </row>
    <row r="507" spans="1:20">
      <c r="A507" s="237">
        <v>45696</v>
      </c>
      <c r="B507" s="160" t="str">
        <f>TEXT(Table1[[#This Row],[التاريخ ]],"DDD")</f>
        <v>Sat</v>
      </c>
      <c r="C507" s="160" t="str">
        <f>IF(Table1[[#This Row],[التاريخ ]]="","",TEXT(Table1[[#This Row],[التاريخ ]],"mmm"))</f>
        <v>Feb</v>
      </c>
      <c r="D507" s="161" t="s">
        <v>193</v>
      </c>
      <c r="G507" s="226">
        <v>151</v>
      </c>
      <c r="H507" s="227" t="str">
        <f>VLOOKUP(G:G,'قاعدة بيانات  '!K:L,2,0)</f>
        <v xml:space="preserve">احمد عبد الباسط عبد السلام محمد </v>
      </c>
      <c r="I507" s="226" t="s">
        <v>167</v>
      </c>
      <c r="J507" s="226" t="s">
        <v>301</v>
      </c>
      <c r="K507" s="226" t="s">
        <v>140</v>
      </c>
      <c r="L507" s="164">
        <v>287</v>
      </c>
      <c r="M507" s="165"/>
      <c r="N507" s="165"/>
      <c r="P507" s="163">
        <v>60000</v>
      </c>
      <c r="Q507" s="166"/>
      <c r="R507" s="163">
        <f>R506+Table1[[#This Row],[الوارد ]]-Table1[[#This Row],[المنصرف ]]</f>
        <v>150797.67941648606</v>
      </c>
      <c r="S507" s="226"/>
      <c r="T507" s="226"/>
    </row>
    <row r="508" spans="1:20">
      <c r="A508" s="237">
        <v>45697</v>
      </c>
      <c r="B508" s="160" t="str">
        <f>TEXT(Table1[[#This Row],[التاريخ ]],"DDD")</f>
        <v>Sun</v>
      </c>
      <c r="C508" s="160" t="str">
        <f>IF(Table1[[#This Row],[التاريخ ]]="","",TEXT(Table1[[#This Row],[التاريخ ]],"mmm"))</f>
        <v>Feb</v>
      </c>
      <c r="D508" s="161" t="s">
        <v>749</v>
      </c>
      <c r="G508" s="226">
        <v>10</v>
      </c>
      <c r="H508" s="227" t="str">
        <f>VLOOKUP(G:G,'قاعدة بيانات  '!K:L,2,0)</f>
        <v>عبد المنعم مجدى عبدربه محمد هلهل</v>
      </c>
      <c r="I508" s="226" t="s">
        <v>392</v>
      </c>
      <c r="J508" s="226" t="s">
        <v>301</v>
      </c>
      <c r="K508" s="226" t="s">
        <v>128</v>
      </c>
      <c r="L508" s="164">
        <v>288</v>
      </c>
      <c r="M508" s="165"/>
      <c r="N508" s="165"/>
      <c r="Q508" s="166">
        <f>216.61+86.71+145.41+57.71</f>
        <v>506.44</v>
      </c>
      <c r="R508" s="163">
        <f>R507+Table1[[#This Row],[الوارد ]]-Table1[[#This Row],[المنصرف ]]</f>
        <v>150291.23941648606</v>
      </c>
      <c r="S508" s="226"/>
      <c r="T508" s="226"/>
    </row>
    <row r="509" spans="1:20">
      <c r="A509" s="237">
        <v>45697</v>
      </c>
      <c r="B509" s="160" t="str">
        <f>TEXT(Table1[[#This Row],[التاريخ ]],"DDD")</f>
        <v>Sun</v>
      </c>
      <c r="C509" s="160" t="str">
        <f>IF(Table1[[#This Row],[التاريخ ]]="","",TEXT(Table1[[#This Row],[التاريخ ]],"mmm"))</f>
        <v>Feb</v>
      </c>
      <c r="D509" s="161" t="s">
        <v>193</v>
      </c>
      <c r="G509" s="226">
        <v>151</v>
      </c>
      <c r="H509" s="227" t="str">
        <f>VLOOKUP(G:G,'قاعدة بيانات  '!K:L,2,0)</f>
        <v xml:space="preserve">احمد عبد الباسط عبد السلام محمد </v>
      </c>
      <c r="I509" s="226" t="s">
        <v>167</v>
      </c>
      <c r="J509" s="226" t="s">
        <v>301</v>
      </c>
      <c r="K509" s="226" t="s">
        <v>140</v>
      </c>
      <c r="L509" s="164">
        <v>289</v>
      </c>
      <c r="M509" s="165"/>
      <c r="N509" s="165"/>
      <c r="P509" s="163">
        <v>60000</v>
      </c>
      <c r="Q509" s="166"/>
      <c r="R509" s="163">
        <f>R508+Table1[[#This Row],[الوارد ]]-Table1[[#This Row],[المنصرف ]]</f>
        <v>210291.23941648606</v>
      </c>
      <c r="S509" s="226"/>
      <c r="T509" s="226"/>
    </row>
    <row r="510" spans="1:20">
      <c r="A510" s="237">
        <v>45697</v>
      </c>
      <c r="B510" s="160" t="str">
        <f>TEXT(Table1[[#This Row],[التاريخ ]],"DDD")</f>
        <v>Sun</v>
      </c>
      <c r="C510" s="160" t="str">
        <f>IF(Table1[[#This Row],[التاريخ ]]="","",TEXT(Table1[[#This Row],[التاريخ ]],"mmm"))</f>
        <v>Feb</v>
      </c>
      <c r="D510" s="161" t="s">
        <v>923</v>
      </c>
      <c r="G510" s="226">
        <v>365</v>
      </c>
      <c r="H510" s="227" t="str">
        <f>VLOOKUP(G:G,'قاعدة بيانات  '!K:L,2,0)</f>
        <v>محمد رضا سعد حسن الشرقاوى</v>
      </c>
      <c r="I510" s="226" t="s">
        <v>198</v>
      </c>
      <c r="J510" s="226" t="s">
        <v>301</v>
      </c>
      <c r="K510" s="226" t="s">
        <v>128</v>
      </c>
      <c r="L510" s="164">
        <v>290</v>
      </c>
      <c r="M510" s="165"/>
      <c r="N510" s="165"/>
      <c r="Q510" s="166">
        <v>28200</v>
      </c>
      <c r="R510" s="163">
        <f>R509+Table1[[#This Row],[الوارد ]]-Table1[[#This Row],[المنصرف ]]</f>
        <v>182091.23941648606</v>
      </c>
      <c r="S510" s="226"/>
      <c r="T510" s="226"/>
    </row>
    <row r="511" spans="1:20">
      <c r="A511" s="237">
        <v>45697</v>
      </c>
      <c r="B511" s="160" t="str">
        <f>TEXT(Table1[[#This Row],[التاريخ ]],"DDD")</f>
        <v>Sun</v>
      </c>
      <c r="C511" s="160" t="str">
        <f>IF(Table1[[#This Row],[التاريخ ]]="","",TEXT(Table1[[#This Row],[التاريخ ]],"mmm"))</f>
        <v>Feb</v>
      </c>
      <c r="D511" s="161" t="s">
        <v>924</v>
      </c>
      <c r="G511" s="226">
        <v>365</v>
      </c>
      <c r="H511" s="227" t="str">
        <f>VLOOKUP(G:G,'قاعدة بيانات  '!K:L,2,0)</f>
        <v>محمد رضا سعد حسن الشرقاوى</v>
      </c>
      <c r="I511" s="226" t="s">
        <v>198</v>
      </c>
      <c r="J511" s="226" t="s">
        <v>301</v>
      </c>
      <c r="K511" s="226" t="s">
        <v>124</v>
      </c>
      <c r="L511" s="164">
        <v>290</v>
      </c>
      <c r="M511" s="165"/>
      <c r="N511" s="165"/>
      <c r="Q511" s="166">
        <v>100</v>
      </c>
      <c r="R511" s="163">
        <f>R510+Table1[[#This Row],[الوارد ]]-Table1[[#This Row],[المنصرف ]]</f>
        <v>181991.23941648606</v>
      </c>
      <c r="S511" s="226"/>
      <c r="T511" s="226"/>
    </row>
    <row r="512" spans="1:20">
      <c r="A512" s="237">
        <v>45697</v>
      </c>
      <c r="B512" s="160" t="str">
        <f>TEXT(Table1[[#This Row],[التاريخ ]],"DDD")</f>
        <v>Sun</v>
      </c>
      <c r="C512" s="160" t="str">
        <f>IF(Table1[[#This Row],[التاريخ ]]="","",TEXT(Table1[[#This Row],[التاريخ ]],"mmm"))</f>
        <v>Feb</v>
      </c>
      <c r="D512" s="161" t="s">
        <v>925</v>
      </c>
      <c r="G512" s="226">
        <v>365</v>
      </c>
      <c r="H512" s="227" t="str">
        <f>VLOOKUP(G:G,'قاعدة بيانات  '!K:L,2,0)</f>
        <v>محمد رضا سعد حسن الشرقاوى</v>
      </c>
      <c r="I512" s="226" t="s">
        <v>198</v>
      </c>
      <c r="J512" s="226" t="s">
        <v>301</v>
      </c>
      <c r="K512" s="226" t="s">
        <v>116</v>
      </c>
      <c r="L512" s="164">
        <v>290</v>
      </c>
      <c r="M512" s="165"/>
      <c r="N512" s="165"/>
      <c r="Q512" s="166">
        <v>500</v>
      </c>
      <c r="R512" s="163">
        <f>R511+Table1[[#This Row],[الوارد ]]-Table1[[#This Row],[المنصرف ]]</f>
        <v>181491.23941648606</v>
      </c>
      <c r="S512" s="226"/>
      <c r="T512" s="226"/>
    </row>
    <row r="513" spans="1:20">
      <c r="A513" s="237">
        <v>45697</v>
      </c>
      <c r="B513" s="160" t="str">
        <f>TEXT(Table1[[#This Row],[التاريخ ]],"DDD")</f>
        <v>Sun</v>
      </c>
      <c r="C513" s="160" t="str">
        <f>IF(Table1[[#This Row],[التاريخ ]]="","",TEXT(Table1[[#This Row],[التاريخ ]],"mmm"))</f>
        <v>Feb</v>
      </c>
      <c r="D513" s="161" t="s">
        <v>934</v>
      </c>
      <c r="G513" s="226">
        <v>365</v>
      </c>
      <c r="H513" s="227" t="str">
        <f>VLOOKUP(G:G,'قاعدة بيانات  '!K:L,2,0)</f>
        <v>محمد رضا سعد حسن الشرقاوى</v>
      </c>
      <c r="I513" s="226" t="s">
        <v>198</v>
      </c>
      <c r="J513" s="226" t="s">
        <v>301</v>
      </c>
      <c r="K513" s="226" t="s">
        <v>116</v>
      </c>
      <c r="L513" s="164">
        <v>290</v>
      </c>
      <c r="M513" s="165"/>
      <c r="N513" s="165"/>
      <c r="Q513" s="166">
        <f>14+56</f>
        <v>70</v>
      </c>
      <c r="R513" s="163">
        <f>R512+Table1[[#This Row],[الوارد ]]-Table1[[#This Row],[المنصرف ]]</f>
        <v>181421.23941648606</v>
      </c>
      <c r="S513" s="226"/>
      <c r="T513" s="226"/>
    </row>
    <row r="514" spans="1:20">
      <c r="A514" s="237">
        <v>45697</v>
      </c>
      <c r="B514" s="160" t="str">
        <f>TEXT(Table1[[#This Row],[التاريخ ]],"DDD")</f>
        <v>Sun</v>
      </c>
      <c r="C514" s="160" t="str">
        <f>IF(Table1[[#This Row],[التاريخ ]]="","",TEXT(Table1[[#This Row],[التاريخ ]],"mmm"))</f>
        <v>Feb</v>
      </c>
      <c r="D514" s="161" t="s">
        <v>933</v>
      </c>
      <c r="G514" s="226">
        <v>365</v>
      </c>
      <c r="H514" s="227" t="str">
        <f>VLOOKUP(G:G,'قاعدة بيانات  '!K:L,2,0)</f>
        <v>محمد رضا سعد حسن الشرقاوى</v>
      </c>
      <c r="I514" s="226" t="s">
        <v>167</v>
      </c>
      <c r="J514" s="226" t="s">
        <v>301</v>
      </c>
      <c r="K514" s="226" t="s">
        <v>116</v>
      </c>
      <c r="L514" s="164">
        <v>290</v>
      </c>
      <c r="M514" s="165"/>
      <c r="N514" s="165"/>
      <c r="Q514" s="166">
        <f>14+25+40</f>
        <v>79</v>
      </c>
      <c r="R514" s="163">
        <f>R513+Table1[[#This Row],[الوارد ]]-Table1[[#This Row],[المنصرف ]]</f>
        <v>181342.23941648606</v>
      </c>
      <c r="S514" s="226"/>
      <c r="T514" s="226"/>
    </row>
    <row r="515" spans="1:20">
      <c r="A515" s="237">
        <v>45697</v>
      </c>
      <c r="B515" s="160" t="str">
        <f>TEXT(Table1[[#This Row],[التاريخ ]],"DDD")</f>
        <v>Sun</v>
      </c>
      <c r="C515" s="160" t="str">
        <f>IF(Table1[[#This Row],[التاريخ ]]="","",TEXT(Table1[[#This Row],[التاريخ ]],"mmm"))</f>
        <v>Feb</v>
      </c>
      <c r="D515" s="161" t="s">
        <v>926</v>
      </c>
      <c r="G515" s="226">
        <v>151</v>
      </c>
      <c r="H515" s="227" t="str">
        <f>VLOOKUP(G:G,'قاعدة بيانات  '!K:L,2,0)</f>
        <v xml:space="preserve">احمد عبد الباسط عبد السلام محمد </v>
      </c>
      <c r="I515" s="226" t="s">
        <v>167</v>
      </c>
      <c r="J515" s="226" t="s">
        <v>301</v>
      </c>
      <c r="K515" s="226" t="s">
        <v>125</v>
      </c>
      <c r="L515" s="164">
        <v>291</v>
      </c>
      <c r="M515" s="165"/>
      <c r="N515" s="165"/>
      <c r="Q515" s="166">
        <v>6759.8</v>
      </c>
      <c r="R515" s="163">
        <f>R514+Table1[[#This Row],[الوارد ]]-Table1[[#This Row],[المنصرف ]]</f>
        <v>174582.43941648607</v>
      </c>
      <c r="S515" s="226"/>
      <c r="T515" s="226"/>
    </row>
    <row r="516" spans="1:20">
      <c r="A516" s="237">
        <v>45697</v>
      </c>
      <c r="B516" s="160" t="str">
        <f>TEXT(Table1[[#This Row],[التاريخ ]],"DDD")</f>
        <v>Sun</v>
      </c>
      <c r="C516" s="160" t="str">
        <f>IF(Table1[[#This Row],[التاريخ ]]="","",TEXT(Table1[[#This Row],[التاريخ ]],"mmm"))</f>
        <v>Feb</v>
      </c>
      <c r="D516" s="161" t="s">
        <v>927</v>
      </c>
      <c r="G516" s="226">
        <v>151</v>
      </c>
      <c r="H516" s="227" t="str">
        <f>VLOOKUP(G:G,'قاعدة بيانات  '!K:L,2,0)</f>
        <v xml:space="preserve">احمد عبد الباسط عبد السلام محمد </v>
      </c>
      <c r="I516" s="226" t="s">
        <v>167</v>
      </c>
      <c r="J516" s="226" t="s">
        <v>301</v>
      </c>
      <c r="K516" s="226" t="s">
        <v>120</v>
      </c>
      <c r="L516" s="164">
        <v>291</v>
      </c>
      <c r="M516" s="165"/>
      <c r="N516" s="165"/>
      <c r="Q516" s="166">
        <v>20</v>
      </c>
      <c r="R516" s="163">
        <f>R515+Table1[[#This Row],[الوارد ]]-Table1[[#This Row],[المنصرف ]]</f>
        <v>174562.43941648607</v>
      </c>
      <c r="S516" s="226"/>
      <c r="T516" s="226"/>
    </row>
    <row r="517" spans="1:20">
      <c r="A517" s="237">
        <v>45698</v>
      </c>
      <c r="B517" s="160" t="str">
        <f>TEXT(Table1[[#This Row],[التاريخ ]],"DDD")</f>
        <v>Mon</v>
      </c>
      <c r="C517" s="160" t="str">
        <f>IF(Table1[[#This Row],[التاريخ ]]="","",TEXT(Table1[[#This Row],[التاريخ ]],"mmm"))</f>
        <v>Feb</v>
      </c>
      <c r="D517" s="161" t="s">
        <v>720</v>
      </c>
      <c r="E517" s="161" t="s">
        <v>67</v>
      </c>
      <c r="F517" s="162">
        <v>10917419100225</v>
      </c>
      <c r="G517" s="226">
        <v>515</v>
      </c>
      <c r="H517" s="227" t="str">
        <f>VLOOKUP(G:G,'قاعدة بيانات  '!K:L,2,0)</f>
        <v>محمد عبدالمنعم عبدالحليم إبراهيم</v>
      </c>
      <c r="I517" s="226" t="s">
        <v>198</v>
      </c>
      <c r="J517" s="226" t="s">
        <v>301</v>
      </c>
      <c r="K517" s="226" t="s">
        <v>123</v>
      </c>
      <c r="L517" s="164">
        <v>292</v>
      </c>
      <c r="M517" s="165"/>
      <c r="N517" s="165"/>
      <c r="Q517" s="166">
        <f>1545.02-58</f>
        <v>1487.02</v>
      </c>
      <c r="R517" s="163">
        <f>R516+Table1[[#This Row],[الوارد ]]-Table1[[#This Row],[المنصرف ]]</f>
        <v>173075.41941648608</v>
      </c>
      <c r="S517" s="226"/>
      <c r="T517" s="226"/>
    </row>
    <row r="518" spans="1:20">
      <c r="A518" s="237">
        <v>45698</v>
      </c>
      <c r="B518" s="160" t="str">
        <f>TEXT(Table1[[#This Row],[التاريخ ]],"DDD")</f>
        <v>Mon</v>
      </c>
      <c r="C518" s="160" t="str">
        <f>IF(Table1[[#This Row],[التاريخ ]]="","",TEXT(Table1[[#This Row],[التاريخ ]],"mmm"))</f>
        <v>Feb</v>
      </c>
      <c r="D518" s="161" t="s">
        <v>881</v>
      </c>
      <c r="E518" s="161" t="s">
        <v>67</v>
      </c>
      <c r="F518" s="162">
        <v>10917419100225</v>
      </c>
      <c r="G518" s="226">
        <v>515</v>
      </c>
      <c r="H518" s="227" t="str">
        <f>VLOOKUP(G:G,'قاعدة بيانات  '!K:L,2,0)</f>
        <v>محمد عبدالمنعم عبدالحليم إبراهيم</v>
      </c>
      <c r="I518" s="226" t="s">
        <v>198</v>
      </c>
      <c r="J518" s="226" t="s">
        <v>301</v>
      </c>
      <c r="K518" s="226" t="s">
        <v>115</v>
      </c>
      <c r="L518" s="164">
        <v>292</v>
      </c>
      <c r="M518" s="165"/>
      <c r="N518" s="165"/>
      <c r="Q518" s="166">
        <v>56.98</v>
      </c>
      <c r="R518" s="163">
        <f>R517+Table1[[#This Row],[الوارد ]]-Table1[[#This Row],[المنصرف ]]</f>
        <v>173018.43941648607</v>
      </c>
      <c r="S518" s="226"/>
      <c r="T518" s="226"/>
    </row>
    <row r="519" spans="1:20">
      <c r="A519" s="237">
        <v>45698</v>
      </c>
      <c r="B519" s="160" t="str">
        <f>TEXT(Table1[[#This Row],[التاريخ ]],"DDD")</f>
        <v>Mon</v>
      </c>
      <c r="C519" s="160" t="str">
        <f>IF(Table1[[#This Row],[التاريخ ]]="","",TEXT(Table1[[#This Row],[التاريخ ]],"mmm"))</f>
        <v>Feb</v>
      </c>
      <c r="D519" s="161" t="s">
        <v>721</v>
      </c>
      <c r="G519" s="226">
        <v>151</v>
      </c>
      <c r="H519" s="227" t="str">
        <f>VLOOKUP(G:G,'قاعدة بيانات  '!K:L,2,0)</f>
        <v xml:space="preserve">احمد عبد الباسط عبد السلام محمد </v>
      </c>
      <c r="I519" s="226" t="s">
        <v>167</v>
      </c>
      <c r="J519" s="226" t="s">
        <v>301</v>
      </c>
      <c r="K519" s="226" t="s">
        <v>140</v>
      </c>
      <c r="L519" s="164">
        <v>293</v>
      </c>
      <c r="M519" s="165"/>
      <c r="N519" s="165"/>
      <c r="P519" s="163">
        <v>100000</v>
      </c>
      <c r="Q519" s="166"/>
      <c r="R519" s="163">
        <f>R518+Table1[[#This Row],[الوارد ]]-Table1[[#This Row],[المنصرف ]]</f>
        <v>273018.43941648607</v>
      </c>
      <c r="S519" s="226"/>
      <c r="T519" s="226"/>
    </row>
    <row r="520" spans="1:20">
      <c r="A520" s="237">
        <v>45698</v>
      </c>
      <c r="B520" s="160" t="str">
        <f>TEXT(Table1[[#This Row],[التاريخ ]],"DDD")</f>
        <v>Mon</v>
      </c>
      <c r="C520" s="160" t="str">
        <f>IF(Table1[[#This Row],[التاريخ ]]="","",TEXT(Table1[[#This Row],[التاريخ ]],"mmm"))</f>
        <v>Feb</v>
      </c>
      <c r="D520" s="161" t="s">
        <v>644</v>
      </c>
      <c r="E520" s="161" t="s">
        <v>648</v>
      </c>
      <c r="F520" s="162">
        <v>2208</v>
      </c>
      <c r="G520" s="226">
        <v>515</v>
      </c>
      <c r="H520" s="227" t="str">
        <f>VLOOKUP(G:G,'قاعدة بيانات  '!K:L,2,0)</f>
        <v>محمد عبدالمنعم عبدالحليم إبراهيم</v>
      </c>
      <c r="I520" s="226" t="s">
        <v>198</v>
      </c>
      <c r="J520" s="226" t="s">
        <v>301</v>
      </c>
      <c r="K520" s="226" t="s">
        <v>127</v>
      </c>
      <c r="L520" s="164">
        <v>294</v>
      </c>
      <c r="M520" s="165"/>
      <c r="N520" s="165"/>
      <c r="Q520" s="166">
        <f>4330.55-Q521+42.35</f>
        <v>4235.0000000000009</v>
      </c>
      <c r="R520" s="163">
        <f>R519+Table1[[#This Row],[الوارد ]]-Table1[[#This Row],[المنصرف ]]</f>
        <v>268783.43941648607</v>
      </c>
      <c r="S520" s="226"/>
      <c r="T520" s="226"/>
    </row>
    <row r="521" spans="1:20">
      <c r="A521" s="237">
        <v>45698</v>
      </c>
      <c r="B521" s="160" t="str">
        <f>TEXT(Table1[[#This Row],[التاريخ ]],"DDD")</f>
        <v>Mon</v>
      </c>
      <c r="C521" s="160" t="str">
        <f>IF(Table1[[#This Row],[التاريخ ]]="","",TEXT(Table1[[#This Row],[التاريخ ]],"mmm"))</f>
        <v>Feb</v>
      </c>
      <c r="D521" s="161" t="s">
        <v>646</v>
      </c>
      <c r="E521" s="161" t="s">
        <v>648</v>
      </c>
      <c r="F521" s="162">
        <v>2208</v>
      </c>
      <c r="G521" s="226">
        <v>515</v>
      </c>
      <c r="H521" s="227" t="str">
        <f>VLOOKUP(G:G,'قاعدة بيانات  '!K:L,2,0)</f>
        <v>محمد عبدالمنعم عبدالحليم إبراهيم</v>
      </c>
      <c r="I521" s="226" t="s">
        <v>198</v>
      </c>
      <c r="J521" s="226" t="s">
        <v>301</v>
      </c>
      <c r="K521" s="226" t="s">
        <v>115</v>
      </c>
      <c r="L521" s="164">
        <v>294</v>
      </c>
      <c r="M521" s="165"/>
      <c r="N521" s="165"/>
      <c r="Q521" s="166">
        <v>137.9</v>
      </c>
      <c r="R521" s="163">
        <f>R520+Table1[[#This Row],[الوارد ]]-Table1[[#This Row],[المنصرف ]]</f>
        <v>268645.53941648605</v>
      </c>
      <c r="S521" s="226"/>
      <c r="T521" s="226"/>
    </row>
    <row r="522" spans="1:20">
      <c r="A522" s="237">
        <v>45698</v>
      </c>
      <c r="B522" s="160" t="str">
        <f>TEXT(Table1[[#This Row],[التاريخ ]],"DDD")</f>
        <v>Mon</v>
      </c>
      <c r="C522" s="160" t="str">
        <f>IF(Table1[[#This Row],[التاريخ ]]="","",TEXT(Table1[[#This Row],[التاريخ ]],"mmm"))</f>
        <v>Feb</v>
      </c>
      <c r="D522" s="161" t="s">
        <v>647</v>
      </c>
      <c r="E522" s="161" t="s">
        <v>648</v>
      </c>
      <c r="F522" s="162">
        <v>2208</v>
      </c>
      <c r="G522" s="226">
        <v>515</v>
      </c>
      <c r="H522" s="227" t="str">
        <f>VLOOKUP(G:G,'قاعدة بيانات  '!K:L,2,0)</f>
        <v>محمد عبدالمنعم عبدالحليم إبراهيم</v>
      </c>
      <c r="I522" s="226" t="s">
        <v>198</v>
      </c>
      <c r="J522" s="226" t="s">
        <v>301</v>
      </c>
      <c r="K522" s="226" t="s">
        <v>384</v>
      </c>
      <c r="L522" s="164">
        <v>294</v>
      </c>
      <c r="M522" s="165"/>
      <c r="N522" s="165"/>
      <c r="Q522" s="166">
        <v>-42.35</v>
      </c>
      <c r="R522" s="163">
        <f>R521+Table1[[#This Row],[الوارد ]]-Table1[[#This Row],[المنصرف ]]</f>
        <v>268687.88941648602</v>
      </c>
      <c r="S522" s="226"/>
      <c r="T522" s="226"/>
    </row>
    <row r="523" spans="1:20">
      <c r="A523" s="237">
        <v>45698</v>
      </c>
      <c r="B523" s="160" t="str">
        <f>TEXT(Table1[[#This Row],[التاريخ ]],"DDD")</f>
        <v>Mon</v>
      </c>
      <c r="C523" s="160" t="str">
        <f>IF(Table1[[#This Row],[التاريخ ]]="","",TEXT(Table1[[#This Row],[التاريخ ]],"mmm"))</f>
        <v>Feb</v>
      </c>
      <c r="D523" s="161" t="s">
        <v>928</v>
      </c>
      <c r="G523" s="226">
        <v>515</v>
      </c>
      <c r="H523" s="227" t="str">
        <f>VLOOKUP(G:G,'قاعدة بيانات  '!K:L,2,0)</f>
        <v>محمد عبدالمنعم عبدالحليم إبراهيم</v>
      </c>
      <c r="I523" s="226" t="s">
        <v>198</v>
      </c>
      <c r="J523" s="226" t="s">
        <v>301</v>
      </c>
      <c r="K523" s="226" t="s">
        <v>116</v>
      </c>
      <c r="L523" s="164">
        <v>294</v>
      </c>
      <c r="M523" s="165"/>
      <c r="N523" s="165"/>
      <c r="Q523" s="166">
        <v>135</v>
      </c>
      <c r="R523" s="163">
        <f>R522+Table1[[#This Row],[الوارد ]]-Table1[[#This Row],[المنصرف ]]</f>
        <v>268552.88941648602</v>
      </c>
      <c r="S523" s="226"/>
      <c r="T523" s="226"/>
    </row>
    <row r="524" spans="1:20">
      <c r="A524" s="237">
        <v>45698</v>
      </c>
      <c r="B524" s="160" t="str">
        <f>TEXT(Table1[[#This Row],[التاريخ ]],"DDD")</f>
        <v>Mon</v>
      </c>
      <c r="C524" s="160" t="str">
        <f>IF(Table1[[#This Row],[التاريخ ]]="","",TEXT(Table1[[#This Row],[التاريخ ]],"mmm"))</f>
        <v>Feb</v>
      </c>
      <c r="D524" s="161" t="s">
        <v>749</v>
      </c>
      <c r="G524" s="226">
        <v>10</v>
      </c>
      <c r="H524" s="227" t="str">
        <f>VLOOKUP(G:G,'قاعدة بيانات  '!K:L,2,0)</f>
        <v>عبد المنعم مجدى عبدربه محمد هلهل</v>
      </c>
      <c r="I524" s="226" t="s">
        <v>392</v>
      </c>
      <c r="J524" s="226" t="s">
        <v>301</v>
      </c>
      <c r="K524" s="226" t="s">
        <v>128</v>
      </c>
      <c r="L524" s="164">
        <v>295</v>
      </c>
      <c r="M524" s="165"/>
      <c r="N524" s="165"/>
      <c r="Q524" s="166">
        <v>615.27</v>
      </c>
      <c r="R524" s="163">
        <f>R523+Table1[[#This Row],[الوارد ]]-Table1[[#This Row],[المنصرف ]]</f>
        <v>267937.61941648601</v>
      </c>
      <c r="S524" s="226"/>
      <c r="T524" s="226"/>
    </row>
    <row r="525" spans="1:20" s="244" customFormat="1">
      <c r="A525" s="243">
        <v>45698</v>
      </c>
      <c r="B525" s="244" t="str">
        <f>TEXT(Table1[[#This Row],[التاريخ ]],"DDD")</f>
        <v>Mon</v>
      </c>
      <c r="C525" s="244" t="str">
        <f>IF(Table1[[#This Row],[التاريخ ]]="","",TEXT(Table1[[#This Row],[التاريخ ]],"mmm"))</f>
        <v>Feb</v>
      </c>
      <c r="D525" s="245" t="s">
        <v>929</v>
      </c>
      <c r="E525" s="245"/>
      <c r="F525" s="246"/>
      <c r="G525" s="248">
        <v>151</v>
      </c>
      <c r="H525" s="247" t="str">
        <f>VLOOKUP(G:G,'قاعدة بيانات  '!K:L,2,0)</f>
        <v xml:space="preserve">احمد عبد الباسط عبد السلام محمد </v>
      </c>
      <c r="I525" s="248" t="s">
        <v>198</v>
      </c>
      <c r="J525" s="248" t="s">
        <v>301</v>
      </c>
      <c r="K525" s="248" t="s">
        <v>133</v>
      </c>
      <c r="L525" s="249">
        <v>296</v>
      </c>
      <c r="M525" s="250"/>
      <c r="N525" s="250"/>
      <c r="P525" s="251"/>
      <c r="Q525" s="252">
        <v>102088.85</v>
      </c>
      <c r="R525" s="163">
        <f>R524+Table1[[#This Row],[الوارد ]]-Table1[[#This Row],[المنصرف ]]</f>
        <v>165848.769416486</v>
      </c>
      <c r="S525" s="273"/>
      <c r="T525" s="248"/>
    </row>
    <row r="526" spans="1:20">
      <c r="A526" s="237">
        <v>45698</v>
      </c>
      <c r="B526" s="160" t="str">
        <f>TEXT(Table1[[#This Row],[التاريخ ]],"DDD")</f>
        <v>Mon</v>
      </c>
      <c r="C526" s="160" t="str">
        <f>IF(Table1[[#This Row],[التاريخ ]]="","",TEXT(Table1[[#This Row],[التاريخ ]],"mmm"))</f>
        <v>Feb</v>
      </c>
      <c r="D526" s="161" t="s">
        <v>873</v>
      </c>
      <c r="G526" s="226">
        <v>151</v>
      </c>
      <c r="H526" s="227" t="str">
        <f>VLOOKUP(G:G,'قاعدة بيانات  '!K:L,2,0)</f>
        <v xml:space="preserve">احمد عبد الباسط عبد السلام محمد </v>
      </c>
      <c r="I526" s="226" t="s">
        <v>198</v>
      </c>
      <c r="J526" s="226" t="s">
        <v>301</v>
      </c>
      <c r="K526" s="226" t="s">
        <v>126</v>
      </c>
      <c r="L526" s="249">
        <v>296</v>
      </c>
      <c r="M526" s="165"/>
      <c r="N526" s="165"/>
      <c r="Q526" s="166">
        <f>3500+2000+700+1822</f>
        <v>8022</v>
      </c>
      <c r="R526" s="163">
        <f>R525+Table1[[#This Row],[الوارد ]]-Table1[[#This Row],[المنصرف ]]</f>
        <v>157826.769416486</v>
      </c>
      <c r="S526" s="226"/>
      <c r="T526" s="226"/>
    </row>
    <row r="527" spans="1:20" s="244" customFormat="1">
      <c r="A527" s="243">
        <v>45698</v>
      </c>
      <c r="B527" s="244" t="str">
        <f>TEXT(Table1[[#This Row],[التاريخ ]],"DDD")</f>
        <v>Mon</v>
      </c>
      <c r="C527" s="244" t="str">
        <f>IF(Table1[[#This Row],[التاريخ ]]="","",TEXT(Table1[[#This Row],[التاريخ ]],"mmm"))</f>
        <v>Feb</v>
      </c>
      <c r="D527" s="245" t="s">
        <v>930</v>
      </c>
      <c r="E527" s="245"/>
      <c r="F527" s="246"/>
      <c r="G527" s="248">
        <v>126</v>
      </c>
      <c r="H527" s="247" t="str">
        <f>VLOOKUP(G:G,'قاعدة بيانات  '!K:L,2,0)</f>
        <v>حبيبة عادل بدرالدين احمد</v>
      </c>
      <c r="I527" s="248" t="s">
        <v>108</v>
      </c>
      <c r="J527" s="248" t="s">
        <v>1114</v>
      </c>
      <c r="K527" s="248" t="s">
        <v>133</v>
      </c>
      <c r="L527" s="249">
        <v>296</v>
      </c>
      <c r="M527" s="250"/>
      <c r="N527" s="250"/>
      <c r="P527" s="251"/>
      <c r="Q527" s="252">
        <v>2612.5500000000002</v>
      </c>
      <c r="R527" s="163">
        <f>R526+Table1[[#This Row],[الوارد ]]-Table1[[#This Row],[المنصرف ]]</f>
        <v>155214.21941648601</v>
      </c>
      <c r="S527" s="248"/>
      <c r="T527" s="248"/>
    </row>
    <row r="528" spans="1:20" s="244" customFormat="1">
      <c r="A528" s="243">
        <v>45698</v>
      </c>
      <c r="B528" s="244" t="str">
        <f>TEXT(Table1[[#This Row],[التاريخ ]],"DDD")</f>
        <v>Mon</v>
      </c>
      <c r="C528" s="244" t="str">
        <f>IF(Table1[[#This Row],[التاريخ ]]="","",TEXT(Table1[[#This Row],[التاريخ ]],"mmm"))</f>
        <v>Feb</v>
      </c>
      <c r="D528" s="245" t="s">
        <v>931</v>
      </c>
      <c r="E528" s="245"/>
      <c r="F528" s="246"/>
      <c r="G528" s="248">
        <v>125</v>
      </c>
      <c r="H528" s="247" t="str">
        <f>VLOOKUP(G:G,'قاعدة بيانات  '!K:L,2,0)</f>
        <v>زينب محمود محمد محمود صالح</v>
      </c>
      <c r="I528" s="248" t="s">
        <v>108</v>
      </c>
      <c r="J528" s="248" t="s">
        <v>1114</v>
      </c>
      <c r="K528" s="248" t="s">
        <v>133</v>
      </c>
      <c r="L528" s="249">
        <v>296</v>
      </c>
      <c r="M528" s="250"/>
      <c r="N528" s="250"/>
      <c r="P528" s="251"/>
      <c r="Q528" s="252">
        <v>1663.33</v>
      </c>
      <c r="R528" s="163">
        <f>R527+Table1[[#This Row],[الوارد ]]-Table1[[#This Row],[المنصرف ]]</f>
        <v>153550.88941648602</v>
      </c>
      <c r="S528" s="248"/>
      <c r="T528" s="248"/>
    </row>
    <row r="529" spans="1:20">
      <c r="A529" s="237">
        <v>45699</v>
      </c>
      <c r="B529" s="160" t="str">
        <f>TEXT(Table1[[#This Row],[التاريخ ]],"DDD")</f>
        <v>Tue</v>
      </c>
      <c r="C529" s="160" t="str">
        <f>IF(Table1[[#This Row],[التاريخ ]]="","",TEXT(Table1[[#This Row],[التاريخ ]],"mmm"))</f>
        <v>Feb</v>
      </c>
      <c r="D529" s="161" t="s">
        <v>932</v>
      </c>
      <c r="G529" s="226">
        <v>365</v>
      </c>
      <c r="H529" s="227" t="str">
        <f>VLOOKUP(G:G,'قاعدة بيانات  '!K:L,2,0)</f>
        <v>محمد رضا سعد حسن الشرقاوى</v>
      </c>
      <c r="I529" s="226" t="s">
        <v>167</v>
      </c>
      <c r="J529" s="226" t="s">
        <v>301</v>
      </c>
      <c r="K529" s="226" t="s">
        <v>123</v>
      </c>
      <c r="L529" s="164">
        <v>297</v>
      </c>
      <c r="M529" s="165"/>
      <c r="N529" s="165"/>
      <c r="Q529" s="166">
        <v>60</v>
      </c>
      <c r="R529" s="163">
        <f>R528+Table1[[#This Row],[الوارد ]]-Table1[[#This Row],[المنصرف ]]</f>
        <v>153490.88941648602</v>
      </c>
      <c r="S529" s="226"/>
      <c r="T529" s="226"/>
    </row>
    <row r="530" spans="1:20">
      <c r="A530" s="237">
        <v>45699</v>
      </c>
      <c r="B530" s="160" t="str">
        <f>TEXT(Table1[[#This Row],[التاريخ ]],"DDD")</f>
        <v>Tue</v>
      </c>
      <c r="C530" s="160" t="str">
        <f>IF(Table1[[#This Row],[التاريخ ]]="","",TEXT(Table1[[#This Row],[التاريخ ]],"mmm"))</f>
        <v>Feb</v>
      </c>
      <c r="D530" s="161" t="s">
        <v>935</v>
      </c>
      <c r="G530" s="226">
        <v>378</v>
      </c>
      <c r="H530" s="227" t="str">
        <f>VLOOKUP(G:G,'قاعدة بيانات  '!K:L,2,0)</f>
        <v>عبد الحميد نبوى فهيم محمد</v>
      </c>
      <c r="I530" s="226" t="s">
        <v>107</v>
      </c>
      <c r="J530" s="226" t="s">
        <v>301</v>
      </c>
      <c r="K530" s="226" t="s">
        <v>128</v>
      </c>
      <c r="L530" s="164">
        <v>298</v>
      </c>
      <c r="M530" s="165"/>
      <c r="N530" s="165"/>
      <c r="Q530" s="166">
        <v>65</v>
      </c>
      <c r="R530" s="163">
        <f>R529+Table1[[#This Row],[الوارد ]]-Table1[[#This Row],[المنصرف ]]</f>
        <v>153425.88941648602</v>
      </c>
      <c r="S530" s="226"/>
      <c r="T530" s="226"/>
    </row>
    <row r="531" spans="1:20">
      <c r="A531" s="237">
        <v>45699</v>
      </c>
      <c r="B531" s="160" t="str">
        <f>TEXT(Table1[[#This Row],[التاريخ ]],"DDD")</f>
        <v>Tue</v>
      </c>
      <c r="C531" s="160" t="str">
        <f>IF(Table1[[#This Row],[التاريخ ]]="","",TEXT(Table1[[#This Row],[التاريخ ]],"mmm"))</f>
        <v>Feb</v>
      </c>
      <c r="D531" s="161" t="s">
        <v>193</v>
      </c>
      <c r="G531" s="226">
        <v>151</v>
      </c>
      <c r="H531" s="227" t="str">
        <f>VLOOKUP(G:G,'قاعدة بيانات  '!K:L,2,0)</f>
        <v xml:space="preserve">احمد عبد الباسط عبد السلام محمد </v>
      </c>
      <c r="I531" s="226" t="s">
        <v>167</v>
      </c>
      <c r="J531" s="226" t="s">
        <v>301</v>
      </c>
      <c r="K531" s="226" t="s">
        <v>140</v>
      </c>
      <c r="L531" s="164">
        <v>299</v>
      </c>
      <c r="M531" s="165"/>
      <c r="N531" s="165"/>
      <c r="P531" s="163">
        <v>11000</v>
      </c>
      <c r="Q531" s="166"/>
      <c r="R531" s="163">
        <f>R530+Table1[[#This Row],[الوارد ]]-Table1[[#This Row],[المنصرف ]]</f>
        <v>164425.88941648602</v>
      </c>
      <c r="S531" s="226"/>
      <c r="T531" s="226"/>
    </row>
    <row r="532" spans="1:20">
      <c r="A532" s="237">
        <v>45699</v>
      </c>
      <c r="B532" s="160" t="str">
        <f>TEXT(Table1[[#This Row],[التاريخ ]],"DDD")</f>
        <v>Tue</v>
      </c>
      <c r="C532" s="160" t="str">
        <f>IF(Table1[[#This Row],[التاريخ ]]="","",TEXT(Table1[[#This Row],[التاريخ ]],"mmm"))</f>
        <v>Feb</v>
      </c>
      <c r="D532" s="161" t="s">
        <v>936</v>
      </c>
      <c r="G532" s="226">
        <v>151</v>
      </c>
      <c r="H532" s="227" t="str">
        <f>VLOOKUP(G:G,'قاعدة بيانات  '!K:L,2,0)</f>
        <v xml:space="preserve">احمد عبد الباسط عبد السلام محمد </v>
      </c>
      <c r="I532" s="226" t="s">
        <v>167</v>
      </c>
      <c r="J532" s="226" t="s">
        <v>301</v>
      </c>
      <c r="K532" s="226" t="s">
        <v>140</v>
      </c>
      <c r="L532" s="164">
        <v>300</v>
      </c>
      <c r="M532" s="165"/>
      <c r="N532" s="165"/>
      <c r="P532" s="163">
        <v>29900</v>
      </c>
      <c r="Q532" s="166"/>
      <c r="R532" s="163">
        <f>R531+Table1[[#This Row],[الوارد ]]-Table1[[#This Row],[المنصرف ]]</f>
        <v>194325.88941648602</v>
      </c>
      <c r="S532" s="226"/>
      <c r="T532" s="226"/>
    </row>
    <row r="533" spans="1:20">
      <c r="A533" s="237">
        <v>45699</v>
      </c>
      <c r="B533" s="160" t="str">
        <f>TEXT(Table1[[#This Row],[التاريخ ]],"DDD")</f>
        <v>Tue</v>
      </c>
      <c r="C533" s="160" t="str">
        <f>IF(Table1[[#This Row],[التاريخ ]]="","",TEXT(Table1[[#This Row],[التاريخ ]],"mmm"))</f>
        <v>Feb</v>
      </c>
      <c r="D533" s="161" t="s">
        <v>937</v>
      </c>
      <c r="G533" s="226">
        <v>151</v>
      </c>
      <c r="H533" s="227" t="str">
        <f>VLOOKUP(G:G,'قاعدة بيانات  '!K:L,2,0)</f>
        <v xml:space="preserve">احمد عبد الباسط عبد السلام محمد </v>
      </c>
      <c r="I533" s="226" t="s">
        <v>167</v>
      </c>
      <c r="J533" s="226" t="s">
        <v>301</v>
      </c>
      <c r="K533" s="226" t="s">
        <v>360</v>
      </c>
      <c r="L533" s="164">
        <v>301</v>
      </c>
      <c r="M533" s="165"/>
      <c r="N533" s="165"/>
      <c r="Q533" s="166">
        <v>50076</v>
      </c>
      <c r="R533" s="163">
        <f>R532+Table1[[#This Row],[الوارد ]]-Table1[[#This Row],[المنصرف ]]</f>
        <v>144249.88941648602</v>
      </c>
      <c r="S533" s="226"/>
      <c r="T533" s="226"/>
    </row>
    <row r="534" spans="1:20" ht="16.5" thickBot="1">
      <c r="A534" s="167"/>
      <c r="B534" s="167"/>
      <c r="C534" s="168"/>
      <c r="D534" s="169" t="s">
        <v>48</v>
      </c>
      <c r="E534" s="169"/>
      <c r="F534" s="170"/>
      <c r="G534" s="229"/>
      <c r="H534" s="228"/>
      <c r="I534" s="229"/>
      <c r="J534" s="229"/>
      <c r="K534" s="229"/>
      <c r="L534" s="171"/>
      <c r="M534" s="172"/>
      <c r="N534" s="172"/>
      <c r="O534" s="168"/>
      <c r="P534" s="95"/>
      <c r="Q534" s="173"/>
      <c r="R534" s="163" t="e">
        <f>#REF!+Table1[[#This Row],[الوارد ]]-Table1[[#This Row],[المنصرف ]]</f>
        <v>#REF!</v>
      </c>
      <c r="S534" s="226"/>
    </row>
    <row r="535" spans="1:20" ht="19.5" thickBot="1">
      <c r="A535" s="328" t="s">
        <v>174</v>
      </c>
      <c r="B535" s="329"/>
      <c r="C535" s="329" t="s">
        <v>1090</v>
      </c>
      <c r="D535" s="330" t="s">
        <v>1091</v>
      </c>
      <c r="E535" s="169"/>
      <c r="F535" s="170"/>
      <c r="G535" s="339"/>
      <c r="H535"/>
      <c r="I535"/>
      <c r="J535" s="163"/>
      <c r="K535" s="160"/>
      <c r="L535" s="226"/>
      <c r="M535" s="226"/>
      <c r="P535" s="160"/>
      <c r="Q535" s="160"/>
      <c r="R535" s="160"/>
      <c r="S535" s="226"/>
    </row>
    <row r="536" spans="1:20">
      <c r="A536" s="325">
        <f>D536*C536</f>
        <v>1600</v>
      </c>
      <c r="B536" s="323"/>
      <c r="C536" s="326">
        <v>200</v>
      </c>
      <c r="D536" s="320">
        <f>D559+D571</f>
        <v>8</v>
      </c>
      <c r="E536" s="320">
        <f t="shared" ref="E536:F536" si="0">E559</f>
        <v>0</v>
      </c>
      <c r="F536" s="320">
        <f t="shared" si="0"/>
        <v>0</v>
      </c>
      <c r="G536" s="340"/>
      <c r="H536"/>
      <c r="I536"/>
      <c r="J536" s="163"/>
      <c r="K536" s="160"/>
      <c r="L536" s="226"/>
      <c r="M536" s="226"/>
      <c r="P536" s="160"/>
      <c r="Q536" s="160"/>
      <c r="R536" s="160"/>
    </row>
    <row r="537" spans="1:20">
      <c r="A537" s="319">
        <f>D537*C537</f>
        <v>10300</v>
      </c>
      <c r="B537" s="90"/>
      <c r="C537" s="123">
        <v>100</v>
      </c>
      <c r="D537" s="320">
        <f t="shared" ref="D537:D544" si="1">D560+D572</f>
        <v>103</v>
      </c>
      <c r="G537" s="341"/>
      <c r="H537" s="160" t="s">
        <v>341</v>
      </c>
      <c r="I537" s="1"/>
      <c r="J537" s="358"/>
      <c r="K537" s="291"/>
      <c r="L537" s="226"/>
      <c r="M537" s="226"/>
      <c r="P537" s="160"/>
      <c r="Q537" s="160"/>
      <c r="R537" s="160"/>
    </row>
    <row r="538" spans="1:20">
      <c r="A538" s="319">
        <f t="shared" ref="A538:A541" si="2">D538*C538</f>
        <v>50</v>
      </c>
      <c r="B538" s="90"/>
      <c r="C538" s="123">
        <v>50</v>
      </c>
      <c r="D538" s="320">
        <f t="shared" si="1"/>
        <v>1</v>
      </c>
      <c r="F538" s="293"/>
      <c r="G538" s="342"/>
      <c r="H538" s="160"/>
      <c r="I538"/>
      <c r="J538" s="357"/>
      <c r="K538" s="291"/>
      <c r="L538" s="240"/>
      <c r="M538" s="226"/>
      <c r="P538" s="160"/>
      <c r="Q538" s="160"/>
      <c r="R538" s="160"/>
    </row>
    <row r="539" spans="1:20">
      <c r="A539" s="319">
        <f t="shared" si="2"/>
        <v>40</v>
      </c>
      <c r="B539" s="90"/>
      <c r="C539" s="123">
        <v>20</v>
      </c>
      <c r="D539" s="320">
        <f t="shared" si="1"/>
        <v>2</v>
      </c>
      <c r="F539" s="293"/>
      <c r="G539" s="341"/>
      <c r="H539" s="160"/>
      <c r="I539" s="163"/>
      <c r="J539" s="163"/>
      <c r="K539" s="160"/>
      <c r="L539" s="226"/>
      <c r="M539" s="226"/>
      <c r="P539" s="160"/>
      <c r="Q539" s="160"/>
      <c r="R539" s="160"/>
    </row>
    <row r="540" spans="1:20">
      <c r="A540" s="319">
        <f t="shared" si="2"/>
        <v>70</v>
      </c>
      <c r="B540" s="90"/>
      <c r="C540" s="123">
        <v>10</v>
      </c>
      <c r="D540" s="320">
        <f t="shared" si="1"/>
        <v>7</v>
      </c>
      <c r="E540" s="294"/>
      <c r="F540" s="293"/>
      <c r="G540" s="341"/>
      <c r="H540" s="160"/>
      <c r="I540" s="163"/>
      <c r="J540" s="163"/>
      <c r="K540" s="291"/>
      <c r="L540" s="240"/>
      <c r="M540" s="226"/>
      <c r="P540" s="160"/>
      <c r="Q540" s="160"/>
      <c r="R540" s="160"/>
    </row>
    <row r="541" spans="1:20">
      <c r="A541" s="319">
        <f t="shared" si="2"/>
        <v>5</v>
      </c>
      <c r="B541" s="90"/>
      <c r="C541" s="123">
        <v>5</v>
      </c>
      <c r="D541" s="320">
        <f t="shared" si="1"/>
        <v>1</v>
      </c>
      <c r="E541" s="294"/>
      <c r="G541" s="343"/>
      <c r="H541" s="291"/>
      <c r="I541" s="163"/>
      <c r="J541" s="163"/>
      <c r="K541" s="160"/>
      <c r="L541" s="226"/>
      <c r="M541" s="226"/>
      <c r="P541" s="160"/>
      <c r="Q541" s="160"/>
      <c r="R541" s="160"/>
    </row>
    <row r="542" spans="1:20">
      <c r="A542" s="333"/>
      <c r="B542" s="90"/>
      <c r="C542" s="123">
        <v>1</v>
      </c>
      <c r="D542" s="320">
        <f t="shared" si="1"/>
        <v>0</v>
      </c>
      <c r="G542" s="343"/>
      <c r="H542" s="291"/>
      <c r="I542" s="163"/>
      <c r="J542" s="163"/>
      <c r="K542" s="308"/>
      <c r="L542" s="240"/>
      <c r="M542" s="226"/>
      <c r="P542" s="160"/>
      <c r="Q542" s="160"/>
      <c r="R542" s="160"/>
    </row>
    <row r="543" spans="1:20">
      <c r="A543" s="319"/>
      <c r="B543" s="90"/>
      <c r="C543" s="90">
        <v>0.5</v>
      </c>
      <c r="D543" s="320">
        <f t="shared" si="1"/>
        <v>0</v>
      </c>
      <c r="G543" s="342"/>
      <c r="H543" s="306"/>
      <c r="I543" s="163"/>
      <c r="J543" s="234"/>
      <c r="K543" s="234"/>
      <c r="R543" s="160"/>
    </row>
    <row r="544" spans="1:20" ht="16.5" thickBot="1">
      <c r="A544" s="319">
        <v>0</v>
      </c>
      <c r="B544" s="90"/>
      <c r="C544" s="90">
        <v>0.25</v>
      </c>
      <c r="D544" s="320">
        <f t="shared" si="1"/>
        <v>0</v>
      </c>
      <c r="G544" s="344"/>
      <c r="H544" s="292"/>
      <c r="I544" s="163"/>
      <c r="R544" s="160"/>
    </row>
    <row r="545" spans="1:19" ht="16.5" thickBot="1">
      <c r="A545" s="321">
        <f>SUM(A536:A544)</f>
        <v>12065</v>
      </c>
      <c r="B545" s="322"/>
      <c r="C545" s="398" t="s">
        <v>43</v>
      </c>
      <c r="D545" s="399"/>
      <c r="G545" s="240"/>
      <c r="I545" s="240"/>
      <c r="R545" s="160"/>
      <c r="S545" s="226"/>
    </row>
    <row r="546" spans="1:19">
      <c r="A546" s="323">
        <f>'خزينه السلف '!E1</f>
        <v>26600</v>
      </c>
      <c r="B546" s="323"/>
      <c r="C546" s="323" t="s">
        <v>38</v>
      </c>
      <c r="D546" s="324"/>
      <c r="R546" s="160"/>
      <c r="S546" s="226"/>
    </row>
    <row r="547" spans="1:19">
      <c r="A547" s="90">
        <f>'العهد '!I1</f>
        <v>591865.0499234111</v>
      </c>
      <c r="B547" s="91"/>
      <c r="C547" s="90" t="s">
        <v>44</v>
      </c>
      <c r="D547" s="230"/>
      <c r="R547" s="160"/>
      <c r="S547" s="226"/>
    </row>
    <row r="548" spans="1:19">
      <c r="A548" s="90">
        <v>0</v>
      </c>
      <c r="B548" s="90"/>
      <c r="C548" s="90" t="s">
        <v>45</v>
      </c>
      <c r="D548" s="230"/>
      <c r="R548" s="160"/>
      <c r="S548" s="226"/>
    </row>
    <row r="549" spans="1:19">
      <c r="A549" s="92">
        <v>2.430000000011205</v>
      </c>
      <c r="B549" s="92"/>
      <c r="C549" s="92" t="s">
        <v>318</v>
      </c>
      <c r="D549" s="230"/>
      <c r="R549" s="160"/>
      <c r="S549" s="226"/>
    </row>
    <row r="550" spans="1:19">
      <c r="A550" s="92">
        <v>8.6500000000014552</v>
      </c>
      <c r="B550" s="92"/>
      <c r="C550" s="124" t="s">
        <v>335</v>
      </c>
      <c r="D550" s="230"/>
      <c r="S550" s="226"/>
    </row>
    <row r="551" spans="1:19">
      <c r="A551" s="92">
        <v>0</v>
      </c>
      <c r="B551" s="92"/>
      <c r="C551" s="124" t="s">
        <v>336</v>
      </c>
      <c r="D551" s="230"/>
      <c r="S551" s="226"/>
    </row>
    <row r="552" spans="1:19">
      <c r="A552" s="92">
        <v>4.640400000003865</v>
      </c>
      <c r="B552" s="92"/>
      <c r="C552" s="124" t="s">
        <v>383</v>
      </c>
      <c r="D552" s="230"/>
      <c r="J552" s="160"/>
      <c r="K552" s="160"/>
      <c r="M552" s="163"/>
      <c r="N552" s="163"/>
      <c r="O552" s="163"/>
      <c r="P552" s="160"/>
      <c r="Q552" s="160"/>
      <c r="R552" s="160"/>
      <c r="S552" s="226"/>
    </row>
    <row r="553" spans="1:19">
      <c r="A553" s="90"/>
      <c r="B553" s="90"/>
      <c r="C553" s="90"/>
      <c r="D553" s="230"/>
      <c r="J553" s="160"/>
      <c r="K553" s="160"/>
      <c r="M553" s="163"/>
      <c r="N553" s="163"/>
      <c r="O553" s="163"/>
      <c r="P553" s="160"/>
      <c r="Q553" s="160"/>
      <c r="R553" s="160"/>
      <c r="S553" s="226"/>
    </row>
    <row r="554" spans="1:19">
      <c r="A554" s="93">
        <f>SUM(A545:A553)</f>
        <v>630545.77032341121</v>
      </c>
      <c r="B554" s="93"/>
      <c r="C554" s="400" t="s">
        <v>46</v>
      </c>
      <c r="D554" s="400"/>
      <c r="H554" s="226"/>
      <c r="I554" s="160"/>
      <c r="J554" s="160"/>
      <c r="K554" s="160"/>
      <c r="M554" s="163"/>
      <c r="N554" s="163"/>
      <c r="O554" s="163"/>
      <c r="P554" s="160"/>
      <c r="Q554" s="160"/>
      <c r="R554" s="160"/>
    </row>
    <row r="555" spans="1:19">
      <c r="A555" s="94"/>
      <c r="B555" s="94"/>
      <c r="C555" s="94"/>
      <c r="D555" s="231"/>
      <c r="H555" s="226"/>
      <c r="I555" s="160"/>
      <c r="J555" s="160"/>
      <c r="K555" s="160"/>
      <c r="M555" s="163"/>
      <c r="N555" s="163"/>
      <c r="O555" s="163"/>
      <c r="P555" s="160"/>
      <c r="Q555" s="160"/>
      <c r="R555" s="160"/>
    </row>
    <row r="556" spans="1:19" ht="18.75" thickBot="1">
      <c r="A556" s="316" t="e">
        <f>A554-R534</f>
        <v>#REF!</v>
      </c>
      <c r="B556" s="316"/>
      <c r="C556" s="317" t="e">
        <f>IF(A556&gt;0,"زيادة",IF(A556&lt;0,"عجز",""))</f>
        <v>#REF!</v>
      </c>
      <c r="D556" s="318" t="s">
        <v>47</v>
      </c>
      <c r="H556" s="226"/>
      <c r="I556" s="161"/>
      <c r="K556" s="160"/>
      <c r="N556" s="163"/>
      <c r="O556" s="163"/>
      <c r="P556" s="160"/>
      <c r="Q556" s="160"/>
      <c r="R556" s="160"/>
    </row>
    <row r="557" spans="1:19" ht="16.5" thickBot="1">
      <c r="A557" s="404" t="s">
        <v>1442</v>
      </c>
      <c r="B557" s="405"/>
      <c r="C557" s="405"/>
      <c r="D557" s="406"/>
      <c r="H557" s="226"/>
      <c r="I557" s="161"/>
      <c r="K557" s="160"/>
      <c r="N557" s="163"/>
      <c r="O557" s="163"/>
      <c r="P557" s="160"/>
      <c r="Q557" s="160"/>
      <c r="R557" s="160"/>
    </row>
    <row r="558" spans="1:19" ht="19.5" thickBot="1">
      <c r="A558" s="328" t="s">
        <v>174</v>
      </c>
      <c r="B558" s="329"/>
      <c r="C558" s="329" t="s">
        <v>1090</v>
      </c>
      <c r="D558" s="330" t="s">
        <v>1091</v>
      </c>
      <c r="G558" s="240"/>
      <c r="H558" s="226"/>
      <c r="J558" s="160"/>
      <c r="K558" s="160"/>
      <c r="N558" s="163"/>
      <c r="O558" s="163"/>
      <c r="P558" s="160"/>
      <c r="Q558" s="160"/>
      <c r="R558" s="160"/>
    </row>
    <row r="559" spans="1:19">
      <c r="A559" s="325">
        <f>D559*C559</f>
        <v>800</v>
      </c>
      <c r="B559" s="323"/>
      <c r="C559" s="326">
        <v>200</v>
      </c>
      <c r="D559" s="327">
        <v>4</v>
      </c>
      <c r="G559" s="352"/>
      <c r="H559" s="234"/>
      <c r="J559" s="160"/>
      <c r="K559" s="160"/>
      <c r="N559" s="163"/>
      <c r="O559" s="163"/>
      <c r="P559" s="160"/>
      <c r="Q559" s="160"/>
      <c r="R559" s="160"/>
    </row>
    <row r="560" spans="1:19">
      <c r="A560" s="319">
        <f>D560*C560</f>
        <v>10100</v>
      </c>
      <c r="B560" s="90"/>
      <c r="C560" s="123">
        <v>100</v>
      </c>
      <c r="D560" s="320">
        <v>101</v>
      </c>
      <c r="G560" s="349"/>
      <c r="H560" s="240"/>
      <c r="J560" s="160"/>
      <c r="K560" s="160"/>
      <c r="N560" s="163"/>
      <c r="O560" s="163"/>
      <c r="P560" s="160"/>
      <c r="Q560" s="160"/>
      <c r="R560" s="160"/>
    </row>
    <row r="561" spans="1:18">
      <c r="A561" s="319">
        <f t="shared" ref="A561:A566" si="3">D561*C561</f>
        <v>50</v>
      </c>
      <c r="B561" s="90"/>
      <c r="C561" s="123">
        <v>50</v>
      </c>
      <c r="D561" s="320">
        <v>1</v>
      </c>
      <c r="G561" s="346"/>
      <c r="H561" s="240"/>
      <c r="J561" s="160"/>
      <c r="K561" s="160"/>
      <c r="N561" s="163"/>
      <c r="O561" s="163"/>
      <c r="P561" s="160"/>
      <c r="Q561" s="160"/>
      <c r="R561" s="160"/>
    </row>
    <row r="562" spans="1:18">
      <c r="A562" s="319">
        <f t="shared" si="3"/>
        <v>0</v>
      </c>
      <c r="B562" s="90"/>
      <c r="C562" s="123">
        <v>20</v>
      </c>
      <c r="D562" s="320">
        <v>0</v>
      </c>
      <c r="G562" s="346"/>
      <c r="H562" s="240"/>
      <c r="K562" s="160"/>
      <c r="N562" s="163"/>
      <c r="O562" s="163"/>
      <c r="P562" s="160"/>
      <c r="Q562" s="160"/>
      <c r="R562" s="160"/>
    </row>
    <row r="563" spans="1:18">
      <c r="A563" s="319">
        <f t="shared" si="3"/>
        <v>10</v>
      </c>
      <c r="B563" s="90"/>
      <c r="C563" s="123">
        <v>10</v>
      </c>
      <c r="D563" s="320">
        <v>1</v>
      </c>
      <c r="G563" s="346"/>
      <c r="H563" s="240"/>
      <c r="K563" s="160"/>
      <c r="N563" s="163"/>
      <c r="O563" s="163"/>
      <c r="P563" s="160"/>
      <c r="Q563" s="160"/>
      <c r="R563" s="160"/>
    </row>
    <row r="564" spans="1:18">
      <c r="A564" s="319">
        <f t="shared" si="3"/>
        <v>5</v>
      </c>
      <c r="B564" s="90"/>
      <c r="C564" s="123">
        <v>5</v>
      </c>
      <c r="D564" s="320">
        <v>1</v>
      </c>
      <c r="G564" s="345"/>
      <c r="H564" s="240"/>
      <c r="K564" s="160"/>
      <c r="N564" s="163"/>
      <c r="O564" s="163"/>
      <c r="P564" s="160"/>
      <c r="Q564" s="160"/>
      <c r="R564" s="160"/>
    </row>
    <row r="565" spans="1:18">
      <c r="A565" s="319">
        <f t="shared" si="3"/>
        <v>0</v>
      </c>
      <c r="B565" s="90"/>
      <c r="C565" s="123">
        <v>1</v>
      </c>
      <c r="D565" s="320">
        <v>0</v>
      </c>
      <c r="G565" s="345"/>
      <c r="H565" s="240"/>
      <c r="K565" s="160"/>
      <c r="N565" s="163"/>
      <c r="O565" s="163"/>
      <c r="P565" s="160"/>
      <c r="Q565" s="160"/>
      <c r="R565" s="160"/>
    </row>
    <row r="566" spans="1:18">
      <c r="A566" s="319">
        <f t="shared" si="3"/>
        <v>0</v>
      </c>
      <c r="B566" s="90"/>
      <c r="C566" s="90">
        <v>0.5</v>
      </c>
      <c r="D566" s="320">
        <v>0</v>
      </c>
      <c r="G566" s="345"/>
      <c r="H566" s="226"/>
      <c r="K566" s="160"/>
      <c r="N566" s="163"/>
      <c r="O566" s="163"/>
      <c r="P566" s="160"/>
      <c r="Q566" s="160"/>
      <c r="R566" s="160"/>
    </row>
    <row r="567" spans="1:18" ht="16.5" thickBot="1">
      <c r="A567" s="319">
        <v>0</v>
      </c>
      <c r="B567" s="90"/>
      <c r="C567" s="90">
        <v>0.25</v>
      </c>
      <c r="D567" s="320">
        <v>0</v>
      </c>
      <c r="G567" s="347"/>
      <c r="H567" s="226"/>
      <c r="K567" s="160"/>
      <c r="N567" s="163"/>
      <c r="O567" s="163"/>
      <c r="P567" s="160"/>
      <c r="Q567" s="160"/>
      <c r="R567" s="160"/>
    </row>
    <row r="568" spans="1:18" ht="16.5" thickBot="1">
      <c r="A568" s="321">
        <f>SUM(A559:A567)</f>
        <v>10965</v>
      </c>
      <c r="B568" s="322"/>
      <c r="C568" s="398" t="s">
        <v>43</v>
      </c>
      <c r="D568" s="399"/>
      <c r="H568" s="226"/>
      <c r="K568" s="160"/>
      <c r="N568" s="163"/>
      <c r="O568" s="163"/>
      <c r="P568" s="160"/>
      <c r="Q568" s="160"/>
      <c r="R568" s="160"/>
    </row>
    <row r="569" spans="1:18" ht="16.5" thickBot="1">
      <c r="A569" s="401" t="s">
        <v>1441</v>
      </c>
      <c r="B569" s="402"/>
      <c r="C569" s="402"/>
      <c r="D569" s="403"/>
      <c r="H569" s="226"/>
      <c r="J569" s="160"/>
      <c r="K569" s="160"/>
      <c r="N569" s="163"/>
      <c r="O569" s="163"/>
      <c r="P569" s="160"/>
      <c r="Q569" s="160"/>
      <c r="R569" s="160"/>
    </row>
    <row r="570" spans="1:18" ht="19.5" thickBot="1">
      <c r="A570" s="328" t="s">
        <v>174</v>
      </c>
      <c r="B570" s="329"/>
      <c r="C570" s="329" t="s">
        <v>1090</v>
      </c>
      <c r="D570" s="330" t="s">
        <v>1091</v>
      </c>
      <c r="H570" s="226"/>
      <c r="I570" s="160"/>
    </row>
    <row r="571" spans="1:18">
      <c r="A571" s="325">
        <f>D571*C571</f>
        <v>800</v>
      </c>
      <c r="B571" s="323"/>
      <c r="C571" s="326">
        <v>200</v>
      </c>
      <c r="D571" s="331">
        <v>4</v>
      </c>
      <c r="H571" s="226"/>
      <c r="I571" s="160"/>
    </row>
    <row r="572" spans="1:18">
      <c r="A572" s="319">
        <f>D572*C572</f>
        <v>200</v>
      </c>
      <c r="B572" s="90"/>
      <c r="C572" s="123">
        <v>100</v>
      </c>
      <c r="D572" s="332">
        <v>2</v>
      </c>
    </row>
    <row r="573" spans="1:18">
      <c r="A573" s="319">
        <f t="shared" ref="A573:A578" si="4">D573*C573</f>
        <v>0</v>
      </c>
      <c r="B573" s="90"/>
      <c r="C573" s="123">
        <v>50</v>
      </c>
      <c r="D573" s="332">
        <v>0</v>
      </c>
    </row>
    <row r="574" spans="1:18">
      <c r="A574" s="319">
        <f t="shared" si="4"/>
        <v>40</v>
      </c>
      <c r="B574" s="90"/>
      <c r="C574" s="123">
        <v>20</v>
      </c>
      <c r="D574" s="332">
        <v>2</v>
      </c>
    </row>
    <row r="575" spans="1:18">
      <c r="A575" s="319">
        <f t="shared" si="4"/>
        <v>60</v>
      </c>
      <c r="B575" s="90"/>
      <c r="C575" s="123">
        <v>10</v>
      </c>
      <c r="D575" s="332">
        <v>6</v>
      </c>
    </row>
    <row r="576" spans="1:18">
      <c r="A576" s="319">
        <f t="shared" si="4"/>
        <v>0</v>
      </c>
      <c r="B576" s="90"/>
      <c r="C576" s="123">
        <v>5</v>
      </c>
      <c r="D576" s="332">
        <v>0</v>
      </c>
    </row>
    <row r="577" spans="1:4">
      <c r="A577" s="319">
        <f t="shared" si="4"/>
        <v>0</v>
      </c>
      <c r="B577" s="90"/>
      <c r="C577" s="123">
        <v>1</v>
      </c>
      <c r="D577" s="332">
        <v>0</v>
      </c>
    </row>
    <row r="578" spans="1:4">
      <c r="A578" s="319">
        <f t="shared" si="4"/>
        <v>0</v>
      </c>
      <c r="B578" s="90"/>
      <c r="C578" s="90">
        <v>0.5</v>
      </c>
      <c r="D578" s="332"/>
    </row>
    <row r="579" spans="1:4">
      <c r="A579" s="319">
        <v>0</v>
      </c>
      <c r="B579" s="90"/>
      <c r="C579" s="90">
        <v>0.25</v>
      </c>
      <c r="D579" s="332"/>
    </row>
    <row r="580" spans="1:4" ht="16.5" thickBot="1">
      <c r="A580" s="321">
        <f>SUM(A571:A579)</f>
        <v>1100</v>
      </c>
      <c r="B580" s="322"/>
      <c r="C580" s="398" t="s">
        <v>43</v>
      </c>
      <c r="D580" s="399"/>
    </row>
  </sheetData>
  <dataConsolidate/>
  <mergeCells count="6">
    <mergeCell ref="C568:D568"/>
    <mergeCell ref="C545:D545"/>
    <mergeCell ref="C554:D554"/>
    <mergeCell ref="C580:D580"/>
    <mergeCell ref="A569:D569"/>
    <mergeCell ref="A557:D557"/>
  </mergeCells>
  <phoneticPr fontId="14" type="noConversion"/>
  <conditionalFormatting sqref="C556:C568">
    <cfRule type="cellIs" dxfId="3" priority="3" stopIfTrue="1" operator="equal">
      <formula>"short"</formula>
    </cfRule>
    <cfRule type="cellIs" dxfId="2" priority="4" stopIfTrue="1" operator="equal">
      <formula>"over"</formula>
    </cfRule>
  </conditionalFormatting>
  <conditionalFormatting sqref="G496">
    <cfRule type="duplicateValues" dxfId="1" priority="2"/>
  </conditionalFormatting>
  <conditionalFormatting sqref="G497">
    <cfRule type="duplicateValues" dxfId="0" priority="1"/>
  </conditionalFormatting>
  <pageMargins left="0.7" right="0.7" top="0.75" bottom="0.75" header="0.3" footer="0.3"/>
  <pageSetup paperSize="9" scale="22" orientation="portrait" r:id="rId1"/>
  <colBreaks count="1" manualBreakCount="1">
    <brk id="18" max="1048575" man="1"/>
  </colBreaks>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65EE31DC-2C6F-4408-A780-95BC513A8B19}">
          <x14:formula1>
            <xm:f>'قاعدة بيانات  '!$G$3:$G$1048576</xm:f>
          </x14:formula1>
          <xm:sqref>J3:J533</xm:sqref>
        </x14:dataValidation>
        <x14:dataValidation type="list" allowBlank="1" showInputMessage="1" showErrorMessage="1" xr:uid="{1D6A9977-FB2A-4DAA-9835-A03A7CDECFFF}">
          <x14:formula1>
            <xm:f>'قاعدة بيانات  '!$I$3:$I$1048576</xm:f>
          </x14:formula1>
          <xm:sqref>K3:K533</xm:sqref>
        </x14:dataValidation>
        <x14:dataValidation type="list" allowBlank="1" showInputMessage="1" showErrorMessage="1" xr:uid="{4E162DB9-812F-4E1E-9C7B-8F8E2B03FCDD}">
          <x14:formula1>
            <xm:f>'قاعدة بيانات  '!$F$3:$F$1048576</xm:f>
          </x14:formula1>
          <xm:sqref>I3:I533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F6C07-49F4-4FFC-A4E1-2BB053941170}">
  <sheetPr codeName="Sheet5"/>
  <dimension ref="A1:K666"/>
  <sheetViews>
    <sheetView topLeftCell="A621" zoomScale="70" zoomScaleNormal="70" workbookViewId="0">
      <selection activeCell="C641" sqref="C641"/>
    </sheetView>
  </sheetViews>
  <sheetFormatPr defaultRowHeight="22.5"/>
  <cols>
    <col min="1" max="1" width="25.5703125" style="3" customWidth="1"/>
    <col min="2" max="2" width="23" style="3" bestFit="1" customWidth="1"/>
    <col min="3" max="3" width="26.5703125" style="3" bestFit="1" customWidth="1"/>
    <col min="4" max="4" width="18.5703125" style="4" bestFit="1" customWidth="1"/>
    <col min="5" max="5" width="24.5703125" style="4" bestFit="1" customWidth="1"/>
    <col min="6" max="6" width="23" style="4" bestFit="1" customWidth="1"/>
    <col min="7" max="7" width="255.7109375" style="5" bestFit="1" customWidth="1"/>
    <col min="8" max="8" width="20.5703125" style="5" customWidth="1"/>
    <col min="9" max="9" width="39.85546875" style="4" bestFit="1" customWidth="1"/>
    <col min="10" max="10" width="16.42578125" style="4" bestFit="1" customWidth="1"/>
    <col min="11" max="16384" width="9.140625" style="4"/>
  </cols>
  <sheetData>
    <row r="1" spans="1:11" ht="97.5" customHeight="1">
      <c r="A1" s="215">
        <f>A665</f>
        <v>290342.53000000026</v>
      </c>
    </row>
    <row r="2" spans="1:11" ht="38.25" customHeight="1">
      <c r="A2" s="6" t="s">
        <v>15</v>
      </c>
      <c r="B2" s="6" t="s">
        <v>16</v>
      </c>
      <c r="C2" s="6" t="s">
        <v>17</v>
      </c>
      <c r="D2" s="7" t="s">
        <v>18</v>
      </c>
      <c r="E2" s="7" t="s">
        <v>19</v>
      </c>
      <c r="F2" s="7" t="s">
        <v>20</v>
      </c>
      <c r="G2" s="7" t="s">
        <v>21</v>
      </c>
      <c r="H2" s="7"/>
      <c r="I2" s="7"/>
      <c r="J2" s="8"/>
    </row>
    <row r="3" spans="1:11" ht="38.25" customHeight="1">
      <c r="A3" s="6" t="s">
        <v>22</v>
      </c>
      <c r="B3" s="6" t="s">
        <v>23</v>
      </c>
      <c r="C3" s="6" t="s">
        <v>24</v>
      </c>
      <c r="D3" s="7" t="s">
        <v>25</v>
      </c>
      <c r="E3" s="7" t="s">
        <v>26</v>
      </c>
      <c r="F3" s="7" t="s">
        <v>27</v>
      </c>
      <c r="G3" s="7" t="s">
        <v>28</v>
      </c>
      <c r="H3" s="7" t="s">
        <v>1</v>
      </c>
      <c r="I3" s="7" t="s">
        <v>29</v>
      </c>
      <c r="J3" s="7" t="s">
        <v>30</v>
      </c>
      <c r="K3" s="9" t="s">
        <v>31</v>
      </c>
    </row>
    <row r="4" spans="1:11">
      <c r="A4" s="3">
        <f>B4</f>
        <v>111289.37999999999</v>
      </c>
      <c r="B4" s="364">
        <v>111289.37999999999</v>
      </c>
      <c r="C4" s="364"/>
      <c r="G4" s="5" t="s">
        <v>303</v>
      </c>
      <c r="H4" s="5" t="str">
        <f>TEXT(Table3[[#This Row],[Value Date]],"mmmm")</f>
        <v>January</v>
      </c>
      <c r="I4" s="4" t="s">
        <v>303</v>
      </c>
      <c r="J4" s="4" t="s">
        <v>303</v>
      </c>
    </row>
    <row r="5" spans="1:11">
      <c r="A5" s="3">
        <f>A4+B5-C5</f>
        <v>111289.37999999999</v>
      </c>
      <c r="B5" s="364"/>
      <c r="C5" s="364"/>
      <c r="F5" s="185"/>
      <c r="H5" s="5" t="str">
        <f>TEXT(Table3[[#This Row],[Value Date]],"mmmm")</f>
        <v>January</v>
      </c>
    </row>
    <row r="6" spans="1:11">
      <c r="A6" s="3">
        <f t="shared" ref="A6:A18" si="0">A5+B6-C6</f>
        <v>81289.37999999999</v>
      </c>
      <c r="B6" s="364"/>
      <c r="C6" s="364">
        <v>30000</v>
      </c>
      <c r="D6" s="4" t="s">
        <v>431</v>
      </c>
      <c r="E6" s="4" t="s">
        <v>431</v>
      </c>
      <c r="F6" s="4" t="s">
        <v>432</v>
      </c>
      <c r="G6" s="5" t="s">
        <v>315</v>
      </c>
      <c r="H6" s="5" t="str">
        <f>TEXT(Table3[[#This Row],[Value Date]],"mmmm")</f>
        <v>January</v>
      </c>
    </row>
    <row r="7" spans="1:11">
      <c r="A7" s="3">
        <f t="shared" si="0"/>
        <v>430060.72000000003</v>
      </c>
      <c r="B7" s="364">
        <v>348771.34</v>
      </c>
      <c r="C7" s="364"/>
      <c r="D7" s="4" t="s">
        <v>431</v>
      </c>
      <c r="E7" s="4" t="s">
        <v>431</v>
      </c>
      <c r="F7" s="4" t="s">
        <v>431</v>
      </c>
      <c r="G7" s="5" t="s">
        <v>433</v>
      </c>
      <c r="H7" s="5" t="str">
        <f>TEXT(Table3[[#This Row],[Value Date]],"mmmm")</f>
        <v>January</v>
      </c>
    </row>
    <row r="8" spans="1:11">
      <c r="A8" s="3">
        <f t="shared" si="0"/>
        <v>400060.72000000003</v>
      </c>
      <c r="B8" s="364"/>
      <c r="C8" s="364">
        <v>30000</v>
      </c>
      <c r="D8" s="4" t="s">
        <v>448</v>
      </c>
      <c r="E8" s="4" t="s">
        <v>448</v>
      </c>
      <c r="F8" s="4" t="s">
        <v>448</v>
      </c>
      <c r="G8" s="5" t="s">
        <v>353</v>
      </c>
      <c r="H8" s="5" t="str">
        <f>TEXT(Table3[[#This Row],[Value Date]],"mmmm")</f>
        <v>January</v>
      </c>
    </row>
    <row r="9" spans="1:11">
      <c r="A9" s="3">
        <f t="shared" si="0"/>
        <v>518941.72000000003</v>
      </c>
      <c r="B9" s="364">
        <v>118881</v>
      </c>
      <c r="C9" s="364"/>
      <c r="D9" s="4" t="s">
        <v>448</v>
      </c>
      <c r="E9" s="4" t="s">
        <v>448</v>
      </c>
      <c r="F9" s="4" t="s">
        <v>448</v>
      </c>
      <c r="G9" s="5" t="s">
        <v>394</v>
      </c>
      <c r="H9" s="5" t="str">
        <f>TEXT(Table3[[#This Row],[Value Date]],"mmmm")</f>
        <v>January</v>
      </c>
    </row>
    <row r="10" spans="1:11">
      <c r="A10" s="3">
        <f t="shared" si="0"/>
        <v>488941.72000000003</v>
      </c>
      <c r="B10" s="364"/>
      <c r="C10" s="364">
        <v>30000</v>
      </c>
      <c r="D10" s="4" t="s">
        <v>448</v>
      </c>
      <c r="E10" s="4" t="s">
        <v>448</v>
      </c>
      <c r="F10" s="4" t="s">
        <v>448</v>
      </c>
      <c r="G10" s="5" t="s">
        <v>449</v>
      </c>
      <c r="H10" s="5" t="str">
        <f>TEXT(Table3[[#This Row],[Value Date]],"mmmm")</f>
        <v>January</v>
      </c>
    </row>
    <row r="11" spans="1:11">
      <c r="A11" s="3">
        <f t="shared" si="0"/>
        <v>478941.72000000003</v>
      </c>
      <c r="B11" s="364"/>
      <c r="C11" s="364">
        <v>10000</v>
      </c>
      <c r="D11" s="4" t="s">
        <v>450</v>
      </c>
      <c r="E11" s="4" t="s">
        <v>450</v>
      </c>
      <c r="F11" s="4" t="s">
        <v>451</v>
      </c>
      <c r="G11" s="5" t="s">
        <v>404</v>
      </c>
      <c r="H11" s="5" t="str">
        <f>TEXT(Table3[[#This Row],[Value Date]],"mmmm")</f>
        <v>January</v>
      </c>
    </row>
    <row r="12" spans="1:11">
      <c r="A12" s="3">
        <f t="shared" si="0"/>
        <v>448941.72000000003</v>
      </c>
      <c r="B12" s="364"/>
      <c r="C12" s="364">
        <v>30000</v>
      </c>
      <c r="D12" s="4" t="s">
        <v>450</v>
      </c>
      <c r="E12" s="4" t="s">
        <v>450</v>
      </c>
      <c r="F12" s="4" t="s">
        <v>451</v>
      </c>
      <c r="G12" s="5" t="s">
        <v>353</v>
      </c>
      <c r="H12" s="5" t="str">
        <f>TEXT(Table3[[#This Row],[Value Date]],"mmmm")</f>
        <v>January</v>
      </c>
    </row>
    <row r="13" spans="1:11" ht="45">
      <c r="A13" s="3">
        <f t="shared" si="0"/>
        <v>478711.79000000004</v>
      </c>
      <c r="B13" s="364">
        <v>29770.07</v>
      </c>
      <c r="C13" s="364"/>
      <c r="D13" s="4" t="s">
        <v>450</v>
      </c>
      <c r="E13" s="4" t="s">
        <v>450</v>
      </c>
      <c r="F13" s="4" t="s">
        <v>450</v>
      </c>
      <c r="G13" s="5" t="s">
        <v>452</v>
      </c>
      <c r="H13" s="5" t="str">
        <f>TEXT(Table3[[#This Row],[Value Date]],"mmmm")</f>
        <v>January</v>
      </c>
    </row>
    <row r="14" spans="1:11">
      <c r="A14" s="3">
        <f t="shared" si="0"/>
        <v>448711.79000000004</v>
      </c>
      <c r="B14" s="364"/>
      <c r="C14" s="364">
        <v>30000</v>
      </c>
      <c r="D14" s="4" t="s">
        <v>601</v>
      </c>
      <c r="E14" s="4" t="s">
        <v>450</v>
      </c>
      <c r="F14" s="4" t="s">
        <v>450</v>
      </c>
      <c r="G14" s="5" t="s">
        <v>612</v>
      </c>
      <c r="H14" s="5" t="str">
        <f>TEXT(Table3[[#This Row],[Value Date]],"mmmm")</f>
        <v>January</v>
      </c>
    </row>
    <row r="15" spans="1:11">
      <c r="A15" s="3">
        <f t="shared" si="0"/>
        <v>418711.79000000004</v>
      </c>
      <c r="B15" s="364"/>
      <c r="C15" s="364">
        <v>30000</v>
      </c>
      <c r="D15" s="4" t="s">
        <v>601</v>
      </c>
      <c r="E15" s="4" t="s">
        <v>450</v>
      </c>
      <c r="F15" s="4" t="s">
        <v>450</v>
      </c>
      <c r="G15" s="5" t="s">
        <v>353</v>
      </c>
      <c r="H15" s="5" t="str">
        <f>TEXT(Table3[[#This Row],[Value Date]],"mmmm")</f>
        <v>January</v>
      </c>
    </row>
    <row r="16" spans="1:11">
      <c r="A16" s="3">
        <f t="shared" si="0"/>
        <v>614626.79</v>
      </c>
      <c r="B16" s="364">
        <v>195915</v>
      </c>
      <c r="C16" s="364"/>
      <c r="D16" s="4" t="s">
        <v>601</v>
      </c>
      <c r="E16" s="4" t="s">
        <v>601</v>
      </c>
      <c r="F16" s="4" t="s">
        <v>601</v>
      </c>
      <c r="G16" s="5" t="s">
        <v>613</v>
      </c>
      <c r="H16" s="5" t="str">
        <f>TEXT(Table3[[#This Row],[Value Date]],"mmmm")</f>
        <v>January</v>
      </c>
    </row>
    <row r="17" spans="1:8">
      <c r="A17" s="3">
        <f t="shared" si="0"/>
        <v>594626.79</v>
      </c>
      <c r="B17" s="364"/>
      <c r="C17" s="364">
        <v>20000</v>
      </c>
      <c r="D17" s="4" t="s">
        <v>601</v>
      </c>
      <c r="E17" s="4" t="s">
        <v>601</v>
      </c>
      <c r="F17" s="4" t="s">
        <v>601</v>
      </c>
      <c r="G17" s="5" t="s">
        <v>614</v>
      </c>
      <c r="H17" s="5" t="str">
        <f>TEXT(Table3[[#This Row],[Value Date]],"mmmm")</f>
        <v>January</v>
      </c>
    </row>
    <row r="18" spans="1:8">
      <c r="A18" s="3">
        <f t="shared" si="0"/>
        <v>564626.79</v>
      </c>
      <c r="B18" s="364"/>
      <c r="C18" s="364">
        <v>30000</v>
      </c>
      <c r="D18" s="4" t="s">
        <v>601</v>
      </c>
      <c r="E18" s="4" t="s">
        <v>601</v>
      </c>
      <c r="F18" s="4" t="s">
        <v>601</v>
      </c>
      <c r="G18" s="5" t="s">
        <v>315</v>
      </c>
      <c r="H18" s="5" t="str">
        <f>TEXT(Table3[[#This Row],[Value Date]],"mmmm")</f>
        <v>January</v>
      </c>
    </row>
    <row r="19" spans="1:8">
      <c r="A19" s="3">
        <f t="shared" ref="A19:A35" si="1">A18+B19-C19</f>
        <v>549626.79</v>
      </c>
      <c r="B19" s="364"/>
      <c r="C19" s="364">
        <v>15000</v>
      </c>
      <c r="D19" s="4" t="s">
        <v>615</v>
      </c>
      <c r="E19" s="4" t="s">
        <v>615</v>
      </c>
      <c r="F19" s="4" t="s">
        <v>616</v>
      </c>
      <c r="G19" s="5" t="s">
        <v>617</v>
      </c>
      <c r="H19" s="5" t="str">
        <f>TEXT(Table3[[#This Row],[Value Date]],"mmmm")</f>
        <v>January</v>
      </c>
    </row>
    <row r="20" spans="1:8">
      <c r="A20" s="3">
        <f t="shared" si="1"/>
        <v>534626.79</v>
      </c>
      <c r="B20" s="364"/>
      <c r="C20" s="364">
        <v>15000</v>
      </c>
      <c r="D20" s="4" t="s">
        <v>615</v>
      </c>
      <c r="E20" s="4" t="s">
        <v>615</v>
      </c>
      <c r="F20" s="4" t="s">
        <v>616</v>
      </c>
      <c r="G20" s="5" t="s">
        <v>617</v>
      </c>
      <c r="H20" s="5" t="str">
        <f>TEXT(Table3[[#This Row],[Value Date]],"mmmm")</f>
        <v>January</v>
      </c>
    </row>
    <row r="21" spans="1:8">
      <c r="A21" s="3">
        <f t="shared" si="1"/>
        <v>687073.15</v>
      </c>
      <c r="B21" s="365">
        <v>152446.35999999999</v>
      </c>
      <c r="C21" s="364"/>
      <c r="D21" s="4" t="s">
        <v>615</v>
      </c>
      <c r="E21" s="4" t="s">
        <v>615</v>
      </c>
      <c r="F21" s="4" t="s">
        <v>615</v>
      </c>
      <c r="G21" s="5" t="s">
        <v>633</v>
      </c>
      <c r="H21" s="5" t="str">
        <f>TEXT(Table3[[#This Row],[Value Date]],"mmmm")</f>
        <v>January</v>
      </c>
    </row>
    <row r="22" spans="1:8">
      <c r="A22" s="3">
        <f t="shared" si="1"/>
        <v>657073.15</v>
      </c>
      <c r="B22" s="364"/>
      <c r="C22" s="364">
        <v>30000</v>
      </c>
      <c r="D22" s="4" t="s">
        <v>634</v>
      </c>
      <c r="E22" s="4" t="s">
        <v>634</v>
      </c>
      <c r="F22" s="4" t="s">
        <v>634</v>
      </c>
      <c r="G22" s="5" t="s">
        <v>315</v>
      </c>
      <c r="H22" s="5" t="str">
        <f>TEXT(Table3[[#This Row],[Value Date]],"mmmm")</f>
        <v>January</v>
      </c>
    </row>
    <row r="23" spans="1:8">
      <c r="A23" s="3">
        <f t="shared" si="1"/>
        <v>753449.19000000006</v>
      </c>
      <c r="B23" s="364">
        <v>96376.04</v>
      </c>
      <c r="C23" s="364"/>
      <c r="D23" s="4" t="s">
        <v>634</v>
      </c>
      <c r="E23" s="4" t="s">
        <v>634</v>
      </c>
      <c r="F23" s="4" t="s">
        <v>634</v>
      </c>
      <c r="G23" s="5" t="s">
        <v>638</v>
      </c>
      <c r="H23" s="5" t="str">
        <f>TEXT(Table3[[#This Row],[Value Date]],"mmmm")</f>
        <v>January</v>
      </c>
    </row>
    <row r="24" spans="1:8">
      <c r="A24" s="3">
        <f t="shared" si="1"/>
        <v>723449.19000000006</v>
      </c>
      <c r="B24" s="364"/>
      <c r="C24" s="364">
        <v>30000</v>
      </c>
      <c r="D24" s="4" t="s">
        <v>668</v>
      </c>
      <c r="E24" s="4" t="s">
        <v>668</v>
      </c>
      <c r="F24" s="4" t="s">
        <v>669</v>
      </c>
      <c r="G24" s="5" t="s">
        <v>670</v>
      </c>
      <c r="H24" s="5" t="str">
        <f>TEXT(Table3[[#This Row],[Value Date]],"mmmm")</f>
        <v>January</v>
      </c>
    </row>
    <row r="25" spans="1:8">
      <c r="A25" s="3">
        <f t="shared" si="1"/>
        <v>693449.19000000006</v>
      </c>
      <c r="B25" s="364"/>
      <c r="C25" s="364">
        <v>30000</v>
      </c>
      <c r="D25" s="4" t="s">
        <v>668</v>
      </c>
      <c r="E25" s="4" t="s">
        <v>668</v>
      </c>
      <c r="F25" s="4" t="s">
        <v>669</v>
      </c>
      <c r="G25" s="5" t="s">
        <v>315</v>
      </c>
      <c r="H25" s="5" t="str">
        <f>TEXT(Table3[[#This Row],[Value Date]],"mmmm")</f>
        <v>January</v>
      </c>
    </row>
    <row r="26" spans="1:8">
      <c r="A26" s="3">
        <f t="shared" si="1"/>
        <v>693149.19000000006</v>
      </c>
      <c r="B26" s="364"/>
      <c r="C26" s="364">
        <v>300</v>
      </c>
      <c r="D26" s="4" t="s">
        <v>671</v>
      </c>
      <c r="E26" s="4" t="s">
        <v>671</v>
      </c>
      <c r="F26" s="4" t="s">
        <v>671</v>
      </c>
      <c r="G26" s="5" t="s">
        <v>672</v>
      </c>
      <c r="H26" s="5" t="str">
        <f>TEXT(Table3[[#This Row],[Value Date]],"mmmm")</f>
        <v>January</v>
      </c>
    </row>
    <row r="27" spans="1:8">
      <c r="A27" s="3">
        <f t="shared" si="1"/>
        <v>774453.9</v>
      </c>
      <c r="B27" s="364">
        <v>81304.710000000006</v>
      </c>
      <c r="C27" s="364"/>
      <c r="D27" s="4" t="s">
        <v>671</v>
      </c>
      <c r="E27" s="4" t="s">
        <v>671</v>
      </c>
      <c r="F27" s="4" t="s">
        <v>671</v>
      </c>
      <c r="G27" s="5" t="s">
        <v>695</v>
      </c>
      <c r="H27" s="5" t="str">
        <f>TEXT(Table3[[#This Row],[Value Date]],"mmmm")</f>
        <v>January</v>
      </c>
    </row>
    <row r="28" spans="1:8">
      <c r="A28" s="3">
        <f t="shared" si="1"/>
        <v>759453.9</v>
      </c>
      <c r="B28" s="364"/>
      <c r="C28" s="364">
        <v>15000</v>
      </c>
      <c r="D28" s="4" t="s">
        <v>696</v>
      </c>
      <c r="E28" s="4" t="s">
        <v>696</v>
      </c>
      <c r="F28" s="4" t="s">
        <v>696</v>
      </c>
      <c r="G28" s="5" t="s">
        <v>697</v>
      </c>
      <c r="H28" s="5" t="str">
        <f>TEXT(Table3[[#This Row],[Value Date]],"mmmm")</f>
        <v>January</v>
      </c>
    </row>
    <row r="29" spans="1:8">
      <c r="A29" s="3">
        <f t="shared" si="1"/>
        <v>744453.9</v>
      </c>
      <c r="B29" s="364"/>
      <c r="C29" s="364">
        <v>15000</v>
      </c>
      <c r="D29" s="4" t="s">
        <v>696</v>
      </c>
      <c r="E29" s="4" t="s">
        <v>696</v>
      </c>
      <c r="F29" s="4" t="s">
        <v>696</v>
      </c>
      <c r="G29" s="5" t="s">
        <v>697</v>
      </c>
      <c r="H29" s="5" t="str">
        <f>TEXT(Table3[[#This Row],[Value Date]],"mmmm")</f>
        <v>January</v>
      </c>
    </row>
    <row r="30" spans="1:8">
      <c r="A30" s="3">
        <f t="shared" si="1"/>
        <v>848578.09000000008</v>
      </c>
      <c r="B30" s="364">
        <v>104124.19</v>
      </c>
      <c r="C30" s="364"/>
      <c r="D30" s="4" t="s">
        <v>696</v>
      </c>
      <c r="E30" s="4" t="s">
        <v>696</v>
      </c>
      <c r="F30" s="4" t="s">
        <v>696</v>
      </c>
      <c r="G30" s="5" t="s">
        <v>698</v>
      </c>
      <c r="H30" s="5" t="str">
        <f>TEXT(Table3[[#This Row],[Value Date]],"mmmm")</f>
        <v>January</v>
      </c>
    </row>
    <row r="31" spans="1:8">
      <c r="A31" s="3">
        <f t="shared" si="1"/>
        <v>878578.09000000008</v>
      </c>
      <c r="B31" s="364">
        <v>30000</v>
      </c>
      <c r="C31" s="364"/>
      <c r="D31" s="4" t="s">
        <v>714</v>
      </c>
      <c r="E31" s="4" t="s">
        <v>714</v>
      </c>
      <c r="F31" s="4" t="s">
        <v>669</v>
      </c>
      <c r="G31" s="5" t="s">
        <v>715</v>
      </c>
      <c r="H31" s="5" t="str">
        <f>TEXT(Table3[[#This Row],[Value Date]],"mmmm")</f>
        <v>January</v>
      </c>
    </row>
    <row r="32" spans="1:8">
      <c r="A32" s="3">
        <f t="shared" si="1"/>
        <v>848578.09000000008</v>
      </c>
      <c r="B32" s="364"/>
      <c r="C32" s="364">
        <v>30000</v>
      </c>
      <c r="D32" s="4" t="s">
        <v>716</v>
      </c>
      <c r="E32" s="4" t="s">
        <v>716</v>
      </c>
      <c r="F32" s="4" t="s">
        <v>716</v>
      </c>
      <c r="G32" s="5" t="s">
        <v>717</v>
      </c>
      <c r="H32" s="5" t="str">
        <f>TEXT(Table3[[#This Row],[Value Date]],"mmmm")</f>
        <v>January</v>
      </c>
    </row>
    <row r="33" spans="1:8">
      <c r="A33" s="3">
        <f t="shared" si="1"/>
        <v>833578.09000000008</v>
      </c>
      <c r="B33" s="364"/>
      <c r="C33" s="364">
        <v>15000</v>
      </c>
      <c r="D33" s="4" t="s">
        <v>716</v>
      </c>
      <c r="E33" s="4" t="s">
        <v>716</v>
      </c>
      <c r="F33" s="4" t="s">
        <v>716</v>
      </c>
      <c r="G33" s="5" t="s">
        <v>697</v>
      </c>
      <c r="H33" s="5" t="str">
        <f>TEXT(Table3[[#This Row],[Value Date]],"mmmm")</f>
        <v>January</v>
      </c>
    </row>
    <row r="34" spans="1:8">
      <c r="A34" s="3">
        <f t="shared" si="1"/>
        <v>818578.09000000008</v>
      </c>
      <c r="B34" s="364"/>
      <c r="C34" s="364">
        <v>15000</v>
      </c>
      <c r="D34" s="4" t="s">
        <v>716</v>
      </c>
      <c r="E34" s="4" t="s">
        <v>716</v>
      </c>
      <c r="F34" s="4" t="s">
        <v>716</v>
      </c>
      <c r="G34" s="5" t="s">
        <v>697</v>
      </c>
      <c r="H34" s="5" t="str">
        <f>TEXT(Table3[[#This Row],[Value Date]],"mmmm")</f>
        <v>January</v>
      </c>
    </row>
    <row r="35" spans="1:8">
      <c r="A35" s="3">
        <f t="shared" si="1"/>
        <v>803578.09000000008</v>
      </c>
      <c r="B35" s="364"/>
      <c r="C35" s="364">
        <v>15000</v>
      </c>
      <c r="D35" s="4" t="s">
        <v>730</v>
      </c>
      <c r="E35" s="4" t="s">
        <v>730</v>
      </c>
      <c r="F35" s="4" t="s">
        <v>730</v>
      </c>
      <c r="G35" s="5" t="s">
        <v>697</v>
      </c>
      <c r="H35" s="5" t="str">
        <f>TEXT(Table3[[#This Row],[Value Date]],"mmmm")</f>
        <v>January</v>
      </c>
    </row>
    <row r="36" spans="1:8">
      <c r="A36" s="3">
        <f t="shared" ref="A36:A99" si="2">A35+B36-C36</f>
        <v>788578.09000000008</v>
      </c>
      <c r="B36" s="364"/>
      <c r="C36" s="364">
        <v>15000</v>
      </c>
      <c r="D36" s="4" t="s">
        <v>730</v>
      </c>
      <c r="E36" s="4" t="s">
        <v>730</v>
      </c>
      <c r="F36" s="4" t="s">
        <v>730</v>
      </c>
      <c r="G36" s="5" t="s">
        <v>697</v>
      </c>
      <c r="H36" s="5" t="str">
        <f>TEXT(Table3[[#This Row],[Value Date]],"mmmm")</f>
        <v>January</v>
      </c>
    </row>
    <row r="37" spans="1:8">
      <c r="A37" s="3">
        <f t="shared" si="2"/>
        <v>768578.09000000008</v>
      </c>
      <c r="B37" s="364"/>
      <c r="C37" s="364">
        <v>20000</v>
      </c>
      <c r="D37" s="4" t="s">
        <v>730</v>
      </c>
      <c r="E37" s="4" t="s">
        <v>730</v>
      </c>
      <c r="F37" s="4" t="s">
        <v>730</v>
      </c>
      <c r="G37" s="5" t="s">
        <v>731</v>
      </c>
      <c r="H37" s="5" t="str">
        <f>TEXT(Table3[[#This Row],[Value Date]],"mmmm")</f>
        <v>January</v>
      </c>
    </row>
    <row r="38" spans="1:8">
      <c r="A38" s="3">
        <f t="shared" si="2"/>
        <v>733578.09000000008</v>
      </c>
      <c r="B38" s="364"/>
      <c r="C38" s="364">
        <v>35000</v>
      </c>
      <c r="D38" s="4" t="s">
        <v>730</v>
      </c>
      <c r="E38" s="4" t="s">
        <v>730</v>
      </c>
      <c r="F38" s="4" t="s">
        <v>730</v>
      </c>
      <c r="G38" s="5" t="s">
        <v>732</v>
      </c>
      <c r="H38" s="5" t="str">
        <f>TEXT(Table3[[#This Row],[Value Date]],"mmmm")</f>
        <v>January</v>
      </c>
    </row>
    <row r="39" spans="1:8">
      <c r="A39" s="3">
        <f t="shared" si="2"/>
        <v>703578.09000000008</v>
      </c>
      <c r="B39" s="364"/>
      <c r="C39" s="364">
        <v>30000</v>
      </c>
      <c r="D39" s="4" t="s">
        <v>730</v>
      </c>
      <c r="E39" s="4" t="s">
        <v>730</v>
      </c>
      <c r="F39" s="4" t="s">
        <v>730</v>
      </c>
      <c r="G39" s="5" t="s">
        <v>733</v>
      </c>
      <c r="H39" s="5" t="str">
        <f>TEXT(Table3[[#This Row],[Value Date]],"mmmm")</f>
        <v>January</v>
      </c>
    </row>
    <row r="40" spans="1:8">
      <c r="A40" s="3">
        <f t="shared" si="2"/>
        <v>668578.09000000008</v>
      </c>
      <c r="B40" s="364"/>
      <c r="C40" s="364">
        <v>35000</v>
      </c>
      <c r="D40" s="4" t="s">
        <v>730</v>
      </c>
      <c r="E40" s="4" t="s">
        <v>730</v>
      </c>
      <c r="F40" s="4" t="s">
        <v>730</v>
      </c>
      <c r="G40" s="5" t="s">
        <v>734</v>
      </c>
      <c r="H40" s="5" t="str">
        <f>TEXT(Table3[[#This Row],[Value Date]],"mmmm")</f>
        <v>January</v>
      </c>
    </row>
    <row r="41" spans="1:8">
      <c r="A41" s="3">
        <f t="shared" si="2"/>
        <v>598578.09000000008</v>
      </c>
      <c r="B41" s="364"/>
      <c r="C41" s="364">
        <v>70000</v>
      </c>
      <c r="D41" s="4" t="s">
        <v>730</v>
      </c>
      <c r="E41" s="4" t="s">
        <v>730</v>
      </c>
      <c r="F41" s="4" t="s">
        <v>730</v>
      </c>
      <c r="G41" s="5" t="s">
        <v>735</v>
      </c>
      <c r="H41" s="5" t="str">
        <f>TEXT(Table3[[#This Row],[Value Date]],"mmmm")</f>
        <v>January</v>
      </c>
    </row>
    <row r="42" spans="1:8">
      <c r="A42" s="3">
        <f t="shared" si="2"/>
        <v>598538.09000000008</v>
      </c>
      <c r="B42" s="364"/>
      <c r="C42" s="364">
        <v>40</v>
      </c>
      <c r="D42" s="4" t="s">
        <v>730</v>
      </c>
      <c r="E42" s="4" t="s">
        <v>730</v>
      </c>
      <c r="F42" s="4" t="s">
        <v>730</v>
      </c>
      <c r="G42" s="5" t="s">
        <v>736</v>
      </c>
      <c r="H42" s="5" t="str">
        <f>TEXT(Table3[[#This Row],[Value Date]],"mmmm")</f>
        <v>January</v>
      </c>
    </row>
    <row r="43" spans="1:8">
      <c r="A43" s="3">
        <f t="shared" si="2"/>
        <v>598498.09000000008</v>
      </c>
      <c r="B43" s="364"/>
      <c r="C43" s="364">
        <v>40</v>
      </c>
      <c r="D43" s="4" t="s">
        <v>730</v>
      </c>
      <c r="E43" s="4" t="s">
        <v>730</v>
      </c>
      <c r="F43" s="4" t="s">
        <v>730</v>
      </c>
      <c r="G43" s="5" t="s">
        <v>736</v>
      </c>
      <c r="H43" s="5" t="str">
        <f>TEXT(Table3[[#This Row],[Value Date]],"mmmm")</f>
        <v>January</v>
      </c>
    </row>
    <row r="44" spans="1:8">
      <c r="A44" s="3">
        <f t="shared" si="2"/>
        <v>598458.09000000008</v>
      </c>
      <c r="B44" s="364"/>
      <c r="C44" s="364">
        <v>40</v>
      </c>
      <c r="D44" s="4" t="s">
        <v>730</v>
      </c>
      <c r="E44" s="4" t="s">
        <v>730</v>
      </c>
      <c r="F44" s="4" t="s">
        <v>730</v>
      </c>
      <c r="G44" s="5" t="s">
        <v>736</v>
      </c>
      <c r="H44" s="5" t="str">
        <f>TEXT(Table3[[#This Row],[Value Date]],"mmmm")</f>
        <v>January</v>
      </c>
    </row>
    <row r="45" spans="1:8">
      <c r="A45" s="3">
        <f t="shared" si="2"/>
        <v>598418.09000000008</v>
      </c>
      <c r="B45" s="364"/>
      <c r="C45" s="364">
        <v>40</v>
      </c>
      <c r="D45" s="4" t="s">
        <v>730</v>
      </c>
      <c r="E45" s="4" t="s">
        <v>730</v>
      </c>
      <c r="F45" s="4" t="s">
        <v>730</v>
      </c>
      <c r="G45" s="5" t="s">
        <v>736</v>
      </c>
      <c r="H45" s="5" t="str">
        <f>TEXT(Table3[[#This Row],[Value Date]],"mmmm")</f>
        <v>January</v>
      </c>
    </row>
    <row r="46" spans="1:8">
      <c r="A46" s="3">
        <f t="shared" si="2"/>
        <v>348418.09000000008</v>
      </c>
      <c r="B46" s="364"/>
      <c r="C46" s="364">
        <v>250000</v>
      </c>
      <c r="D46" s="4" t="s">
        <v>737</v>
      </c>
      <c r="E46" s="4" t="s">
        <v>737</v>
      </c>
      <c r="F46" s="4" t="s">
        <v>737</v>
      </c>
      <c r="G46" s="5" t="s">
        <v>738</v>
      </c>
      <c r="H46" s="5" t="str">
        <f>TEXT(Table3[[#This Row],[Value Date]],"mmmm")</f>
        <v>January</v>
      </c>
    </row>
    <row r="47" spans="1:8">
      <c r="A47" s="3">
        <f t="shared" si="2"/>
        <v>138973.09000000008</v>
      </c>
      <c r="B47" s="364"/>
      <c r="C47" s="364">
        <v>209445</v>
      </c>
      <c r="H47" s="5" t="str">
        <f>TEXT(Table3[[#This Row],[Value Date]],"mmmm")</f>
        <v>January</v>
      </c>
    </row>
    <row r="48" spans="1:8">
      <c r="A48" s="3">
        <f t="shared" si="2"/>
        <v>180467.6700000001</v>
      </c>
      <c r="B48" s="364">
        <v>41494.58</v>
      </c>
      <c r="C48" s="364"/>
      <c r="D48" s="4" t="s">
        <v>737</v>
      </c>
      <c r="E48" s="4" t="s">
        <v>737</v>
      </c>
      <c r="F48" s="4" t="s">
        <v>737</v>
      </c>
      <c r="G48" s="5" t="s">
        <v>751</v>
      </c>
      <c r="H48" s="5" t="str">
        <f>TEXT(Table3[[#This Row],[Value Date]],"mmmm")</f>
        <v>January</v>
      </c>
    </row>
    <row r="49" spans="1:8">
      <c r="A49" s="3">
        <f t="shared" si="2"/>
        <v>247148.68000000011</v>
      </c>
      <c r="B49" s="364">
        <v>66681.009999999995</v>
      </c>
      <c r="C49" s="364"/>
      <c r="D49" s="4" t="s">
        <v>737</v>
      </c>
      <c r="E49" s="4" t="s">
        <v>737</v>
      </c>
      <c r="F49" s="4" t="s">
        <v>737</v>
      </c>
      <c r="G49" s="5" t="s">
        <v>752</v>
      </c>
      <c r="H49" s="5" t="str">
        <f>TEXT(Table3[[#This Row],[Value Date]],"mmmm")</f>
        <v>January</v>
      </c>
    </row>
    <row r="50" spans="1:8">
      <c r="A50" s="3">
        <f t="shared" si="2"/>
        <v>232148.68000000011</v>
      </c>
      <c r="B50" s="364"/>
      <c r="C50" s="364">
        <v>15000</v>
      </c>
      <c r="D50" s="4" t="s">
        <v>753</v>
      </c>
      <c r="E50" s="4" t="s">
        <v>737</v>
      </c>
      <c r="F50" s="4" t="s">
        <v>737</v>
      </c>
      <c r="G50" s="5" t="s">
        <v>315</v>
      </c>
      <c r="H50" s="5" t="str">
        <f>TEXT(Table3[[#This Row],[Value Date]],"mmmm")</f>
        <v>January</v>
      </c>
    </row>
    <row r="51" spans="1:8">
      <c r="A51" s="3">
        <f t="shared" si="2"/>
        <v>217148.68000000011</v>
      </c>
      <c r="B51" s="364"/>
      <c r="C51" s="364">
        <v>15000</v>
      </c>
      <c r="D51" s="4" t="s">
        <v>753</v>
      </c>
      <c r="E51" s="4" t="s">
        <v>737</v>
      </c>
      <c r="F51" s="4" t="s">
        <v>737</v>
      </c>
      <c r="G51" s="5" t="s">
        <v>315</v>
      </c>
      <c r="H51" s="5" t="str">
        <f>TEXT(Table3[[#This Row],[Value Date]],"mmmm")</f>
        <v>January</v>
      </c>
    </row>
    <row r="52" spans="1:8">
      <c r="A52" s="3">
        <f t="shared" si="2"/>
        <v>232148.68000000011</v>
      </c>
      <c r="B52" s="364">
        <v>15000</v>
      </c>
      <c r="C52" s="364"/>
      <c r="D52" s="4" t="s">
        <v>753</v>
      </c>
      <c r="E52" s="4" t="s">
        <v>737</v>
      </c>
      <c r="F52" s="4" t="s">
        <v>737</v>
      </c>
      <c r="G52" s="5" t="s">
        <v>315</v>
      </c>
      <c r="H52" s="5" t="str">
        <f>TEXT(Table3[[#This Row],[Value Date]],"mmmm")</f>
        <v>January</v>
      </c>
    </row>
    <row r="53" spans="1:8">
      <c r="A53" s="3">
        <f t="shared" si="2"/>
        <v>217148.68000000011</v>
      </c>
      <c r="B53" s="364"/>
      <c r="C53" s="364">
        <v>15000</v>
      </c>
      <c r="D53" s="4" t="s">
        <v>753</v>
      </c>
      <c r="E53" s="4" t="s">
        <v>753</v>
      </c>
      <c r="F53" s="4" t="s">
        <v>753</v>
      </c>
      <c r="G53" s="5" t="s">
        <v>922</v>
      </c>
      <c r="H53" s="5" t="str">
        <f>TEXT(Table3[[#This Row],[Value Date]],"mmmm")</f>
        <v>January</v>
      </c>
    </row>
    <row r="54" spans="1:8">
      <c r="A54" s="3">
        <f t="shared" si="2"/>
        <v>202148.68000000011</v>
      </c>
      <c r="B54" s="364"/>
      <c r="C54" s="364">
        <v>15000</v>
      </c>
      <c r="D54" s="4" t="s">
        <v>753</v>
      </c>
      <c r="E54" s="4" t="s">
        <v>753</v>
      </c>
      <c r="F54" s="4" t="s">
        <v>753</v>
      </c>
      <c r="G54" s="5" t="s">
        <v>790</v>
      </c>
      <c r="H54" s="5" t="str">
        <f>TEXT(Table3[[#This Row],[Value Date]],"mmmm")</f>
        <v>January</v>
      </c>
    </row>
    <row r="55" spans="1:8">
      <c r="A55" s="3">
        <f t="shared" si="2"/>
        <v>187148.68000000011</v>
      </c>
      <c r="B55" s="364"/>
      <c r="C55" s="364">
        <v>15000</v>
      </c>
      <c r="D55" s="4" t="s">
        <v>753</v>
      </c>
      <c r="E55" s="4" t="s">
        <v>753</v>
      </c>
      <c r="F55" s="4" t="s">
        <v>753</v>
      </c>
      <c r="G55" s="5" t="s">
        <v>790</v>
      </c>
      <c r="H55" s="5" t="str">
        <f>TEXT(Table3[[#This Row],[Value Date]],"mmmm")</f>
        <v>January</v>
      </c>
    </row>
    <row r="56" spans="1:8">
      <c r="A56" s="3">
        <f t="shared" si="2"/>
        <v>172148.68000000011</v>
      </c>
      <c r="B56" s="364"/>
      <c r="C56" s="364">
        <v>15000</v>
      </c>
      <c r="D56" s="4" t="s">
        <v>791</v>
      </c>
      <c r="E56" s="4" t="s">
        <v>791</v>
      </c>
      <c r="F56" s="4" t="s">
        <v>791</v>
      </c>
      <c r="G56" s="5" t="s">
        <v>790</v>
      </c>
      <c r="H56" s="5" t="str">
        <f>TEXT(Table3[[#This Row],[Value Date]],"mmmm")</f>
        <v>January</v>
      </c>
    </row>
    <row r="57" spans="1:8" s="224" customFormat="1">
      <c r="A57" s="223">
        <f t="shared" si="2"/>
        <v>157148.68000000011</v>
      </c>
      <c r="B57" s="365"/>
      <c r="C57" s="365">
        <v>15000</v>
      </c>
      <c r="D57" s="224" t="s">
        <v>791</v>
      </c>
      <c r="E57" s="224" t="s">
        <v>791</v>
      </c>
      <c r="F57" s="224" t="s">
        <v>791</v>
      </c>
      <c r="G57" s="225" t="s">
        <v>790</v>
      </c>
      <c r="H57" s="225" t="str">
        <f>TEXT(Table3[[#This Row],[Value Date]],"mmmm")</f>
        <v>January</v>
      </c>
    </row>
    <row r="58" spans="1:8">
      <c r="A58" s="3">
        <f t="shared" si="2"/>
        <v>127148.68000000011</v>
      </c>
      <c r="B58" s="364"/>
      <c r="C58" s="364">
        <v>30000</v>
      </c>
      <c r="D58" s="4" t="s">
        <v>915</v>
      </c>
      <c r="E58" s="4" t="s">
        <v>915</v>
      </c>
      <c r="F58" s="4" t="s">
        <v>915</v>
      </c>
      <c r="G58" s="5" t="s">
        <v>916</v>
      </c>
      <c r="H58" s="5" t="str">
        <f>TEXT(Table3[[#This Row],[Value Date]],"mmmm")</f>
        <v>February</v>
      </c>
    </row>
    <row r="59" spans="1:8">
      <c r="A59" s="3">
        <f t="shared" si="2"/>
        <v>112148.68000000011</v>
      </c>
      <c r="B59" s="364"/>
      <c r="C59" s="364">
        <v>15000</v>
      </c>
      <c r="D59" s="4" t="s">
        <v>915</v>
      </c>
      <c r="E59" s="4" t="s">
        <v>915</v>
      </c>
      <c r="F59" s="4" t="s">
        <v>915</v>
      </c>
      <c r="G59" s="5" t="s">
        <v>315</v>
      </c>
      <c r="H59" s="5" t="str">
        <f>TEXT(Table3[[#This Row],[Value Date]],"mmmm")</f>
        <v>February</v>
      </c>
    </row>
    <row r="60" spans="1:8">
      <c r="A60" s="3">
        <f t="shared" si="2"/>
        <v>97148.680000000109</v>
      </c>
      <c r="B60" s="364"/>
      <c r="C60" s="364">
        <v>15000</v>
      </c>
      <c r="D60" s="4" t="s">
        <v>915</v>
      </c>
      <c r="E60" s="4" t="s">
        <v>915</v>
      </c>
      <c r="F60" s="4" t="s">
        <v>915</v>
      </c>
      <c r="G60" s="5" t="s">
        <v>315</v>
      </c>
      <c r="H60" s="5" t="str">
        <f>TEXT(Table3[[#This Row],[Value Date]],"mmmm")</f>
        <v>February</v>
      </c>
    </row>
    <row r="61" spans="1:8">
      <c r="A61" s="3">
        <f t="shared" si="2"/>
        <v>82148.680000000109</v>
      </c>
      <c r="B61" s="364"/>
      <c r="C61" s="364">
        <v>15000</v>
      </c>
      <c r="D61" s="4" t="s">
        <v>917</v>
      </c>
      <c r="E61" s="4" t="s">
        <v>917</v>
      </c>
      <c r="F61" s="4" t="s">
        <v>917</v>
      </c>
      <c r="G61" s="5" t="s">
        <v>697</v>
      </c>
      <c r="H61" s="5" t="str">
        <f>TEXT(Table3[[#This Row],[Value Date]],"mmmm")</f>
        <v>February</v>
      </c>
    </row>
    <row r="62" spans="1:8">
      <c r="A62" s="3">
        <f t="shared" si="2"/>
        <v>67148.680000000109</v>
      </c>
      <c r="B62" s="364"/>
      <c r="C62" s="364">
        <v>15000</v>
      </c>
      <c r="D62" s="4" t="s">
        <v>917</v>
      </c>
      <c r="E62" s="4" t="s">
        <v>917</v>
      </c>
      <c r="F62" s="4" t="s">
        <v>917</v>
      </c>
      <c r="G62" s="5" t="s">
        <v>697</v>
      </c>
      <c r="H62" s="5" t="str">
        <f>TEXT(Table3[[#This Row],[Value Date]],"mmmm")</f>
        <v>February</v>
      </c>
    </row>
    <row r="63" spans="1:8">
      <c r="A63" s="3">
        <f t="shared" si="2"/>
        <v>231327.03000000012</v>
      </c>
      <c r="B63" s="364">
        <v>164178.35</v>
      </c>
      <c r="C63" s="364"/>
      <c r="D63" s="4" t="s">
        <v>917</v>
      </c>
      <c r="E63" s="4" t="s">
        <v>917</v>
      </c>
      <c r="F63" s="4" t="s">
        <v>917</v>
      </c>
      <c r="G63" s="5" t="s">
        <v>918</v>
      </c>
      <c r="H63" s="5" t="str">
        <f>TEXT(Table3[[#This Row],[Value Date]],"mmmm")</f>
        <v>February</v>
      </c>
    </row>
    <row r="64" spans="1:8">
      <c r="A64" s="3">
        <f t="shared" si="2"/>
        <v>201327.03000000012</v>
      </c>
      <c r="B64" s="364"/>
      <c r="C64" s="364">
        <v>30000</v>
      </c>
      <c r="D64" s="4" t="s">
        <v>919</v>
      </c>
      <c r="E64" s="4" t="s">
        <v>919</v>
      </c>
      <c r="F64" s="4" t="s">
        <v>920</v>
      </c>
      <c r="G64" s="5" t="s">
        <v>921</v>
      </c>
      <c r="H64" s="5" t="str">
        <f>TEXT(Table3[[#This Row],[Value Date]],"mmmm")</f>
        <v>February</v>
      </c>
    </row>
    <row r="65" spans="1:8">
      <c r="A65" s="3">
        <f t="shared" si="2"/>
        <v>186327.03000000012</v>
      </c>
      <c r="B65" s="364"/>
      <c r="C65" s="364">
        <v>15000</v>
      </c>
      <c r="D65" s="4" t="s">
        <v>919</v>
      </c>
      <c r="E65" s="4" t="s">
        <v>919</v>
      </c>
      <c r="F65" s="4" t="s">
        <v>920</v>
      </c>
      <c r="G65" s="5" t="s">
        <v>353</v>
      </c>
      <c r="H65" s="5" t="str">
        <f>TEXT(Table3[[#This Row],[Value Date]],"mmmm")</f>
        <v>February</v>
      </c>
    </row>
    <row r="66" spans="1:8">
      <c r="A66" s="3">
        <f t="shared" si="2"/>
        <v>171327.03000000012</v>
      </c>
      <c r="B66" s="364"/>
      <c r="C66" s="364">
        <v>15000</v>
      </c>
      <c r="D66" s="4" t="s">
        <v>919</v>
      </c>
      <c r="E66" s="4" t="s">
        <v>919</v>
      </c>
      <c r="F66" s="4" t="s">
        <v>920</v>
      </c>
      <c r="G66" s="5" t="s">
        <v>353</v>
      </c>
      <c r="H66" s="5" t="str">
        <f>TEXT(Table3[[#This Row],[Value Date]],"mmmm")</f>
        <v>February</v>
      </c>
    </row>
    <row r="67" spans="1:8">
      <c r="A67" s="3">
        <f t="shared" si="2"/>
        <v>141327.03000000012</v>
      </c>
      <c r="B67" s="364"/>
      <c r="C67" s="364">
        <v>30000</v>
      </c>
      <c r="D67" s="4" t="s">
        <v>919</v>
      </c>
      <c r="E67" s="4" t="s">
        <v>919</v>
      </c>
      <c r="F67" s="4" t="s">
        <v>919</v>
      </c>
      <c r="G67" s="5" t="s">
        <v>922</v>
      </c>
      <c r="H67" s="5" t="str">
        <f>TEXT(Table3[[#This Row],[Value Date]],"mmmm")</f>
        <v>February</v>
      </c>
    </row>
    <row r="68" spans="1:8">
      <c r="A68" s="3">
        <f t="shared" si="2"/>
        <v>126327.03000000012</v>
      </c>
      <c r="B68" s="364"/>
      <c r="C68" s="364">
        <v>15000</v>
      </c>
      <c r="D68" s="4" t="s">
        <v>919</v>
      </c>
      <c r="E68" s="4" t="s">
        <v>919</v>
      </c>
      <c r="F68" s="4" t="s">
        <v>919</v>
      </c>
      <c r="G68" s="5" t="s">
        <v>790</v>
      </c>
      <c r="H68" s="5" t="str">
        <f>TEXT(Table3[[#This Row],[Value Date]],"mmmm")</f>
        <v>February</v>
      </c>
    </row>
    <row r="69" spans="1:8">
      <c r="A69" s="3">
        <f t="shared" si="2"/>
        <v>111327.03000000012</v>
      </c>
      <c r="B69" s="364"/>
      <c r="C69" s="364">
        <v>15000</v>
      </c>
      <c r="D69" s="4" t="s">
        <v>919</v>
      </c>
      <c r="E69" s="4" t="s">
        <v>919</v>
      </c>
      <c r="F69" s="4" t="s">
        <v>919</v>
      </c>
      <c r="G69" s="5" t="s">
        <v>790</v>
      </c>
      <c r="H69" s="5" t="str">
        <f>TEXT(Table3[[#This Row],[Value Date]],"mmmm")</f>
        <v>February</v>
      </c>
    </row>
    <row r="70" spans="1:8">
      <c r="A70" s="3">
        <f t="shared" si="2"/>
        <v>11327.030000000115</v>
      </c>
      <c r="B70" s="364"/>
      <c r="C70" s="364">
        <v>100000</v>
      </c>
      <c r="D70" s="4" t="s">
        <v>938</v>
      </c>
      <c r="E70" s="4" t="s">
        <v>938</v>
      </c>
      <c r="F70" s="158" t="s">
        <v>938</v>
      </c>
      <c r="G70" s="5" t="s">
        <v>738</v>
      </c>
      <c r="H70" s="5" t="str">
        <f>TEXT(Table3[[#This Row],[Value Date]],"mmmm")</f>
        <v>February</v>
      </c>
    </row>
    <row r="71" spans="1:8">
      <c r="A71" s="3">
        <f t="shared" si="2"/>
        <v>327.03000000011525</v>
      </c>
      <c r="B71" s="364"/>
      <c r="C71" s="364">
        <v>11000</v>
      </c>
      <c r="D71" s="4" t="s">
        <v>939</v>
      </c>
      <c r="E71" s="4" t="s">
        <v>939</v>
      </c>
      <c r="F71" s="158" t="s">
        <v>939</v>
      </c>
      <c r="G71" s="5" t="s">
        <v>790</v>
      </c>
      <c r="H71" s="5" t="str">
        <f>TEXT(Table3[[#This Row],[Value Date]],"mmmm")</f>
        <v>February</v>
      </c>
    </row>
    <row r="72" spans="1:8">
      <c r="A72" s="3">
        <f t="shared" si="2"/>
        <v>78959.030000000115</v>
      </c>
      <c r="B72" s="364">
        <v>78632</v>
      </c>
      <c r="C72" s="364"/>
      <c r="D72" s="4" t="s">
        <v>939</v>
      </c>
      <c r="E72" s="4" t="s">
        <v>939</v>
      </c>
      <c r="F72" s="4" t="s">
        <v>939</v>
      </c>
      <c r="G72" s="5" t="s">
        <v>940</v>
      </c>
      <c r="H72" s="5" t="str">
        <f>TEXT(Table3[[#This Row],[Value Date]],"mmmm")</f>
        <v>February</v>
      </c>
    </row>
    <row r="73" spans="1:8">
      <c r="A73" s="3">
        <f t="shared" si="2"/>
        <v>63959.030000000115</v>
      </c>
      <c r="B73" s="364"/>
      <c r="C73" s="364">
        <v>15000</v>
      </c>
      <c r="D73" s="4" t="s">
        <v>943</v>
      </c>
      <c r="E73" s="4" t="s">
        <v>943</v>
      </c>
      <c r="F73" s="4" t="s">
        <v>943</v>
      </c>
      <c r="G73" s="5" t="s">
        <v>790</v>
      </c>
      <c r="H73" s="5" t="str">
        <f>TEXT(Table3[[#This Row],[Value Date]],"mmmm")</f>
        <v>February</v>
      </c>
    </row>
    <row r="74" spans="1:8">
      <c r="A74" s="3">
        <f t="shared" si="2"/>
        <v>48959.030000000115</v>
      </c>
      <c r="B74" s="364"/>
      <c r="C74" s="364">
        <v>15000</v>
      </c>
      <c r="D74" s="4" t="s">
        <v>943</v>
      </c>
      <c r="E74" s="4" t="s">
        <v>943</v>
      </c>
      <c r="F74" s="4" t="s">
        <v>943</v>
      </c>
      <c r="G74" s="5" t="s">
        <v>790</v>
      </c>
      <c r="H74" s="5" t="str">
        <f>TEXT(Table3[[#This Row],[Value Date]],"mmmm")</f>
        <v>February</v>
      </c>
    </row>
    <row r="75" spans="1:8">
      <c r="A75" s="3">
        <f t="shared" si="2"/>
        <v>33959.030000000115</v>
      </c>
      <c r="B75" s="364"/>
      <c r="C75" s="364">
        <v>15000</v>
      </c>
      <c r="D75" s="4" t="s">
        <v>944</v>
      </c>
      <c r="E75" s="4" t="s">
        <v>944</v>
      </c>
      <c r="F75" s="4" t="s">
        <v>944</v>
      </c>
      <c r="G75" s="5" t="s">
        <v>945</v>
      </c>
      <c r="H75" s="5" t="str">
        <f>TEXT(Table3[[#This Row],[Value Date]],"mmmm")</f>
        <v>February</v>
      </c>
    </row>
    <row r="76" spans="1:8">
      <c r="A76" s="3">
        <f t="shared" si="2"/>
        <v>18959.030000000115</v>
      </c>
      <c r="B76" s="364"/>
      <c r="C76" s="364">
        <v>15000</v>
      </c>
      <c r="D76" s="4" t="s">
        <v>944</v>
      </c>
      <c r="E76" s="4" t="s">
        <v>944</v>
      </c>
      <c r="F76" s="4" t="s">
        <v>944</v>
      </c>
      <c r="G76" s="5" t="s">
        <v>945</v>
      </c>
      <c r="H76" s="5" t="str">
        <f>TEXT(Table3[[#This Row],[Value Date]],"mmmm")</f>
        <v>February</v>
      </c>
    </row>
    <row r="77" spans="1:8">
      <c r="A77" s="3">
        <f t="shared" si="2"/>
        <v>141323.14000000013</v>
      </c>
      <c r="B77" s="364">
        <v>122364.11</v>
      </c>
      <c r="C77" s="364"/>
      <c r="D77" s="4" t="s">
        <v>944</v>
      </c>
      <c r="E77" s="4" t="s">
        <v>944</v>
      </c>
      <c r="F77" s="4" t="s">
        <v>944</v>
      </c>
      <c r="G77" s="5" t="s">
        <v>946</v>
      </c>
      <c r="H77" s="5" t="str">
        <f>TEXT(Table3[[#This Row],[Value Date]],"mmmm")</f>
        <v>February</v>
      </c>
    </row>
    <row r="78" spans="1:8">
      <c r="A78" s="3">
        <f t="shared" si="2"/>
        <v>275056.72000000009</v>
      </c>
      <c r="B78" s="364">
        <v>133733.57999999999</v>
      </c>
      <c r="C78" s="364"/>
      <c r="D78" s="4" t="s">
        <v>944</v>
      </c>
      <c r="E78" s="4" t="s">
        <v>944</v>
      </c>
      <c r="F78" s="4" t="s">
        <v>944</v>
      </c>
      <c r="G78" s="5" t="s">
        <v>947</v>
      </c>
      <c r="H78" s="5" t="str">
        <f>TEXT(Table3[[#This Row],[Value Date]],"mmmm")</f>
        <v>February</v>
      </c>
    </row>
    <row r="79" spans="1:8">
      <c r="A79" s="3">
        <f t="shared" si="2"/>
        <v>305660.19000000006</v>
      </c>
      <c r="B79" s="364">
        <v>30603.47</v>
      </c>
      <c r="C79" s="364"/>
      <c r="D79" s="4" t="s">
        <v>944</v>
      </c>
      <c r="E79" s="4" t="s">
        <v>944</v>
      </c>
      <c r="F79" s="4" t="s">
        <v>944</v>
      </c>
      <c r="G79" s="5" t="s">
        <v>948</v>
      </c>
      <c r="H79" s="5" t="str">
        <f>TEXT(Table3[[#This Row],[Value Date]],"mmmm")</f>
        <v>February</v>
      </c>
    </row>
    <row r="80" spans="1:8">
      <c r="A80" s="3">
        <f t="shared" si="2"/>
        <v>290660.19000000006</v>
      </c>
      <c r="B80" s="364"/>
      <c r="C80" s="364">
        <v>15000</v>
      </c>
      <c r="D80" s="4" t="s">
        <v>949</v>
      </c>
      <c r="E80" s="4" t="s">
        <v>949</v>
      </c>
      <c r="F80" s="4" t="s">
        <v>949</v>
      </c>
      <c r="G80" s="5" t="s">
        <v>790</v>
      </c>
      <c r="H80" s="5" t="str">
        <f>TEXT(Table3[[#This Row],[Value Date]],"mmmm")</f>
        <v>February</v>
      </c>
    </row>
    <row r="81" spans="1:8">
      <c r="A81" s="3">
        <f t="shared" si="2"/>
        <v>275660.19000000006</v>
      </c>
      <c r="B81" s="364"/>
      <c r="C81" s="364">
        <v>15000</v>
      </c>
      <c r="D81" s="4" t="s">
        <v>949</v>
      </c>
      <c r="E81" s="4" t="s">
        <v>949</v>
      </c>
      <c r="F81" s="4" t="s">
        <v>949</v>
      </c>
      <c r="G81" s="5" t="s">
        <v>697</v>
      </c>
      <c r="H81" s="5" t="str">
        <f>TEXT(Table3[[#This Row],[Value Date]],"mmmm")</f>
        <v>February</v>
      </c>
    </row>
    <row r="82" spans="1:8">
      <c r="A82" s="3">
        <f t="shared" si="2"/>
        <v>260660.19000000006</v>
      </c>
      <c r="B82" s="364"/>
      <c r="C82" s="364">
        <v>15000</v>
      </c>
      <c r="D82" s="4" t="s">
        <v>950</v>
      </c>
      <c r="E82" s="4" t="s">
        <v>950</v>
      </c>
      <c r="F82" s="4" t="s">
        <v>950</v>
      </c>
      <c r="G82" s="5" t="s">
        <v>790</v>
      </c>
      <c r="H82" s="5" t="str">
        <f>TEXT(Table3[[#This Row],[Value Date]],"mmmm")</f>
        <v>February</v>
      </c>
    </row>
    <row r="83" spans="1:8">
      <c r="A83" s="3">
        <f t="shared" si="2"/>
        <v>250660.19000000006</v>
      </c>
      <c r="B83" s="364"/>
      <c r="C83" s="364">
        <v>10000</v>
      </c>
      <c r="D83" s="4" t="s">
        <v>950</v>
      </c>
      <c r="E83" s="4" t="s">
        <v>950</v>
      </c>
      <c r="F83" s="4" t="s">
        <v>950</v>
      </c>
      <c r="G83" s="5" t="s">
        <v>790</v>
      </c>
      <c r="H83" s="5" t="str">
        <f>TEXT(Table3[[#This Row],[Value Date]],"mmmm")</f>
        <v>February</v>
      </c>
    </row>
    <row r="84" spans="1:8">
      <c r="A84" s="3">
        <f t="shared" si="2"/>
        <v>324416.01000000007</v>
      </c>
      <c r="B84" s="364">
        <v>73755.820000000007</v>
      </c>
      <c r="C84" s="364"/>
      <c r="D84" s="4" t="s">
        <v>951</v>
      </c>
      <c r="E84" s="4" t="s">
        <v>951</v>
      </c>
      <c r="F84" s="4" t="s">
        <v>951</v>
      </c>
      <c r="G84" s="5" t="s">
        <v>952</v>
      </c>
      <c r="H84" s="5" t="str">
        <f>TEXT(Table3[[#This Row],[Value Date]],"mmmm")</f>
        <v>February</v>
      </c>
    </row>
    <row r="85" spans="1:8">
      <c r="A85" s="3">
        <f t="shared" si="2"/>
        <v>309416.01000000007</v>
      </c>
      <c r="B85" s="364"/>
      <c r="C85" s="364">
        <v>15000</v>
      </c>
      <c r="D85" s="4" t="s">
        <v>954</v>
      </c>
      <c r="E85" s="4" t="s">
        <v>954</v>
      </c>
      <c r="F85" s="4" t="s">
        <v>954</v>
      </c>
      <c r="G85" s="5" t="s">
        <v>790</v>
      </c>
      <c r="H85" s="5" t="str">
        <f>TEXT(Table3[[#This Row],[Value Date]],"mmmm")</f>
        <v>February</v>
      </c>
    </row>
    <row r="86" spans="1:8">
      <c r="A86" s="3">
        <f t="shared" si="2"/>
        <v>294416.01000000007</v>
      </c>
      <c r="B86" s="364"/>
      <c r="C86" s="364">
        <v>15000</v>
      </c>
      <c r="D86" s="4" t="s">
        <v>954</v>
      </c>
      <c r="E86" s="4" t="s">
        <v>954</v>
      </c>
      <c r="F86" s="4" t="s">
        <v>954</v>
      </c>
      <c r="G86" s="5" t="s">
        <v>790</v>
      </c>
      <c r="H86" s="5" t="str">
        <f>TEXT(Table3[[#This Row],[Value Date]],"mmmm")</f>
        <v>February</v>
      </c>
    </row>
    <row r="87" spans="1:8">
      <c r="A87" s="3">
        <f t="shared" si="2"/>
        <v>44416.010000000068</v>
      </c>
      <c r="B87" s="364"/>
      <c r="C87" s="364">
        <v>250000</v>
      </c>
      <c r="D87" s="4" t="s">
        <v>955</v>
      </c>
      <c r="E87" s="4" t="s">
        <v>955</v>
      </c>
      <c r="F87" s="4" t="s">
        <v>955</v>
      </c>
      <c r="G87" s="5" t="s">
        <v>956</v>
      </c>
      <c r="H87" s="5" t="str">
        <f>TEXT(Table3[[#This Row],[Value Date]],"mmmm")</f>
        <v>February</v>
      </c>
    </row>
    <row r="88" spans="1:8">
      <c r="A88" s="3">
        <f t="shared" si="2"/>
        <v>208397.51000000007</v>
      </c>
      <c r="B88" s="364">
        <v>163981.5</v>
      </c>
      <c r="C88" s="364"/>
      <c r="D88" s="4" t="s">
        <v>955</v>
      </c>
      <c r="E88" s="4" t="s">
        <v>955</v>
      </c>
      <c r="F88" s="4" t="s">
        <v>955</v>
      </c>
      <c r="G88" s="5" t="s">
        <v>957</v>
      </c>
      <c r="H88" s="5" t="str">
        <f>TEXT(Table3[[#This Row],[Value Date]],"mmmm")</f>
        <v>February</v>
      </c>
    </row>
    <row r="89" spans="1:8">
      <c r="A89" s="3">
        <f t="shared" si="2"/>
        <v>193397.51000000007</v>
      </c>
      <c r="B89" s="364"/>
      <c r="C89" s="364">
        <v>15000</v>
      </c>
      <c r="D89" s="4" t="s">
        <v>959</v>
      </c>
      <c r="E89" s="4" t="s">
        <v>955</v>
      </c>
      <c r="F89" s="4" t="s">
        <v>955</v>
      </c>
      <c r="G89" s="5" t="s">
        <v>353</v>
      </c>
      <c r="H89" s="5" t="str">
        <f>TEXT(Table3[[#This Row],[Value Date]],"mmmm")</f>
        <v>February</v>
      </c>
    </row>
    <row r="90" spans="1:8">
      <c r="A90" s="3">
        <f t="shared" si="2"/>
        <v>178397.51000000007</v>
      </c>
      <c r="B90" s="364"/>
      <c r="C90" s="364">
        <v>15000</v>
      </c>
      <c r="D90" s="4" t="s">
        <v>959</v>
      </c>
      <c r="E90" s="4" t="s">
        <v>955</v>
      </c>
      <c r="F90" s="4" t="s">
        <v>955</v>
      </c>
      <c r="G90" s="5" t="s">
        <v>353</v>
      </c>
      <c r="H90" s="5" t="str">
        <f>TEXT(Table3[[#This Row],[Value Date]],"mmmm")</f>
        <v>February</v>
      </c>
    </row>
    <row r="91" spans="1:8" ht="45">
      <c r="A91" s="3">
        <f t="shared" si="2"/>
        <v>148397.51000000007</v>
      </c>
      <c r="B91" s="364"/>
      <c r="C91" s="364">
        <v>30000</v>
      </c>
      <c r="D91" s="4" t="s">
        <v>959</v>
      </c>
      <c r="E91" s="4" t="s">
        <v>955</v>
      </c>
      <c r="F91" s="4" t="s">
        <v>955</v>
      </c>
      <c r="G91" s="5" t="s">
        <v>960</v>
      </c>
      <c r="H91" s="5" t="str">
        <f>TEXT(Table3[[#This Row],[Value Date]],"mmmm")</f>
        <v>February</v>
      </c>
    </row>
    <row r="92" spans="1:8">
      <c r="A92" s="3">
        <f t="shared" si="2"/>
        <v>397.51000000006752</v>
      </c>
      <c r="B92" s="364"/>
      <c r="C92" s="364">
        <v>148000</v>
      </c>
      <c r="D92" s="4" t="s">
        <v>962</v>
      </c>
      <c r="E92" s="4" t="s">
        <v>962</v>
      </c>
      <c r="F92" s="4" t="s">
        <v>962</v>
      </c>
      <c r="G92" s="5" t="s">
        <v>735</v>
      </c>
      <c r="H92" s="5" t="str">
        <f>TEXT(Table3[[#This Row],[Value Date]],"mmmm")</f>
        <v>February</v>
      </c>
    </row>
    <row r="93" spans="1:8">
      <c r="A93" s="3">
        <f t="shared" si="2"/>
        <v>69668.06000000007</v>
      </c>
      <c r="B93" s="364">
        <v>69270.55</v>
      </c>
      <c r="C93" s="364"/>
      <c r="D93" s="4" t="s">
        <v>962</v>
      </c>
      <c r="E93" s="4" t="s">
        <v>962</v>
      </c>
      <c r="F93" s="4" t="s">
        <v>962</v>
      </c>
      <c r="G93" s="5" t="s">
        <v>963</v>
      </c>
      <c r="H93" s="5" t="str">
        <f>TEXT(Table3[[#This Row],[Value Date]],"mmmm")</f>
        <v>February</v>
      </c>
    </row>
    <row r="94" spans="1:8">
      <c r="A94" s="3">
        <f t="shared" si="2"/>
        <v>54668.06000000007</v>
      </c>
      <c r="B94" s="364"/>
      <c r="C94" s="364">
        <v>15000</v>
      </c>
      <c r="D94" s="4" t="s">
        <v>966</v>
      </c>
      <c r="E94" s="4" t="s">
        <v>962</v>
      </c>
      <c r="F94" s="4" t="s">
        <v>962</v>
      </c>
      <c r="G94" s="5" t="s">
        <v>353</v>
      </c>
      <c r="H94" s="5" t="str">
        <f>TEXT(Table3[[#This Row],[Value Date]],"mmmm")</f>
        <v>February</v>
      </c>
    </row>
    <row r="95" spans="1:8">
      <c r="A95" s="3">
        <f t="shared" si="2"/>
        <v>39668.06000000007</v>
      </c>
      <c r="B95" s="364"/>
      <c r="C95" s="364">
        <v>15000</v>
      </c>
      <c r="D95" s="4" t="s">
        <v>966</v>
      </c>
      <c r="E95" s="4" t="s">
        <v>962</v>
      </c>
      <c r="F95" s="4" t="s">
        <v>962</v>
      </c>
      <c r="G95" s="5" t="s">
        <v>353</v>
      </c>
      <c r="H95" s="5" t="str">
        <f>TEXT(Table3[[#This Row],[Value Date]],"mmmm")</f>
        <v>February</v>
      </c>
    </row>
    <row r="96" spans="1:8">
      <c r="A96" s="3">
        <f t="shared" si="2"/>
        <v>24668.06000000007</v>
      </c>
      <c r="B96" s="364"/>
      <c r="C96" s="364">
        <v>15000</v>
      </c>
      <c r="D96" s="4" t="s">
        <v>966</v>
      </c>
      <c r="E96" s="4" t="s">
        <v>966</v>
      </c>
      <c r="F96" s="4" t="s">
        <v>966</v>
      </c>
      <c r="G96" s="5" t="s">
        <v>790</v>
      </c>
      <c r="H96" s="5" t="str">
        <f>TEXT(Table3[[#This Row],[Value Date]],"mmmm")</f>
        <v>February</v>
      </c>
    </row>
    <row r="97" spans="1:8" s="224" customFormat="1">
      <c r="A97" s="223">
        <f t="shared" si="2"/>
        <v>9668.0600000000704</v>
      </c>
      <c r="B97" s="365"/>
      <c r="C97" s="365">
        <v>15000</v>
      </c>
      <c r="D97" s="224" t="s">
        <v>966</v>
      </c>
      <c r="E97" s="224" t="s">
        <v>966</v>
      </c>
      <c r="F97" s="224" t="s">
        <v>966</v>
      </c>
      <c r="G97" s="225" t="s">
        <v>790</v>
      </c>
      <c r="H97" s="225" t="str">
        <f>TEXT(Table3[[#This Row],[Value Date]],"mmmm")</f>
        <v>February</v>
      </c>
    </row>
    <row r="98" spans="1:8">
      <c r="A98" s="3">
        <f t="shared" si="2"/>
        <v>9628.0600000000704</v>
      </c>
      <c r="B98" s="364"/>
      <c r="C98" s="364">
        <v>40</v>
      </c>
      <c r="D98" s="4" t="s">
        <v>967</v>
      </c>
      <c r="E98" s="4" t="s">
        <v>967</v>
      </c>
      <c r="F98" s="4" t="s">
        <v>967</v>
      </c>
      <c r="G98" s="5" t="s">
        <v>968</v>
      </c>
      <c r="H98" s="5" t="str">
        <f>TEXT(Table3[[#This Row],[Value Date]],"mmmm")</f>
        <v>March</v>
      </c>
    </row>
    <row r="99" spans="1:8">
      <c r="A99" s="3">
        <f t="shared" si="2"/>
        <v>9578.0600000000704</v>
      </c>
      <c r="B99" s="364"/>
      <c r="C99" s="364">
        <v>50</v>
      </c>
      <c r="D99" s="4" t="s">
        <v>967</v>
      </c>
      <c r="E99" s="4" t="s">
        <v>967</v>
      </c>
      <c r="F99" s="4" t="s">
        <v>967</v>
      </c>
      <c r="G99" s="5" t="s">
        <v>968</v>
      </c>
      <c r="H99" s="5" t="str">
        <f>TEXT(Table3[[#This Row],[Value Date]],"mmmm")</f>
        <v>March</v>
      </c>
    </row>
    <row r="100" spans="1:8">
      <c r="A100" s="3">
        <f t="shared" ref="A100:A164" si="3">A99+B100-C100</f>
        <v>141113.22000000009</v>
      </c>
      <c r="B100" s="364">
        <v>131535.16</v>
      </c>
      <c r="C100" s="364"/>
      <c r="D100" s="4" t="s">
        <v>967</v>
      </c>
      <c r="E100" s="4" t="s">
        <v>967</v>
      </c>
      <c r="F100" s="4" t="s">
        <v>967</v>
      </c>
      <c r="G100" s="5" t="s">
        <v>969</v>
      </c>
      <c r="H100" s="5" t="str">
        <f>TEXT(Table3[[#This Row],[Value Date]],"mmmm")</f>
        <v>March</v>
      </c>
    </row>
    <row r="101" spans="1:8">
      <c r="A101" s="3">
        <f t="shared" si="3"/>
        <v>111113.22000000009</v>
      </c>
      <c r="B101" s="364"/>
      <c r="C101" s="364">
        <v>30000</v>
      </c>
      <c r="D101" s="4" t="s">
        <v>970</v>
      </c>
      <c r="E101" s="4" t="s">
        <v>970</v>
      </c>
      <c r="F101" s="4" t="s">
        <v>970</v>
      </c>
      <c r="G101" s="5" t="s">
        <v>971</v>
      </c>
      <c r="H101" s="5" t="str">
        <f>TEXT(Table3[[#This Row],[Value Date]],"mmmm")</f>
        <v>March</v>
      </c>
    </row>
    <row r="102" spans="1:8">
      <c r="A102" s="3">
        <f t="shared" si="3"/>
        <v>263769.97000000009</v>
      </c>
      <c r="B102" s="364">
        <v>152656.75</v>
      </c>
      <c r="C102" s="364"/>
      <c r="D102" s="4" t="s">
        <v>972</v>
      </c>
      <c r="E102" s="4" t="s">
        <v>972</v>
      </c>
      <c r="F102" s="4" t="s">
        <v>972</v>
      </c>
      <c r="G102" s="5" t="s">
        <v>947</v>
      </c>
      <c r="H102" s="5" t="str">
        <f>TEXT(Table3[[#This Row],[Value Date]],"mmmm")</f>
        <v>March</v>
      </c>
    </row>
    <row r="103" spans="1:8">
      <c r="A103" s="3">
        <f t="shared" si="3"/>
        <v>233769.97000000009</v>
      </c>
      <c r="B103" s="364"/>
      <c r="C103" s="364">
        <v>30000</v>
      </c>
      <c r="D103" s="4" t="s">
        <v>972</v>
      </c>
      <c r="E103" s="4" t="s">
        <v>972</v>
      </c>
      <c r="F103" s="4" t="s">
        <v>972</v>
      </c>
      <c r="G103" s="5" t="s">
        <v>670</v>
      </c>
      <c r="H103" s="5" t="str">
        <f>TEXT(Table3[[#This Row],[Value Date]],"mmmm")</f>
        <v>March</v>
      </c>
    </row>
    <row r="104" spans="1:8">
      <c r="A104" s="3">
        <f t="shared" si="3"/>
        <v>218769.97000000009</v>
      </c>
      <c r="B104" s="364"/>
      <c r="C104" s="364">
        <v>15000</v>
      </c>
      <c r="D104" s="4" t="s">
        <v>972</v>
      </c>
      <c r="E104" s="4" t="s">
        <v>972</v>
      </c>
      <c r="F104" s="4" t="s">
        <v>972</v>
      </c>
      <c r="G104" s="5" t="s">
        <v>315</v>
      </c>
      <c r="H104" s="5" t="str">
        <f>TEXT(Table3[[#This Row],[Value Date]],"mmmm")</f>
        <v>March</v>
      </c>
    </row>
    <row r="105" spans="1:8">
      <c r="A105" s="3">
        <f t="shared" si="3"/>
        <v>203769.97000000009</v>
      </c>
      <c r="B105" s="364"/>
      <c r="C105" s="364">
        <v>15000</v>
      </c>
      <c r="D105" s="4" t="s">
        <v>972</v>
      </c>
      <c r="E105" s="4" t="s">
        <v>972</v>
      </c>
      <c r="F105" s="4" t="s">
        <v>972</v>
      </c>
      <c r="G105" s="5" t="s">
        <v>315</v>
      </c>
      <c r="H105" s="5" t="str">
        <f>TEXT(Table3[[#This Row],[Value Date]],"mmmm")</f>
        <v>March</v>
      </c>
    </row>
    <row r="106" spans="1:8">
      <c r="A106" s="3">
        <f t="shared" si="3"/>
        <v>188769.97000000009</v>
      </c>
      <c r="B106" s="364"/>
      <c r="C106" s="364">
        <v>15000</v>
      </c>
      <c r="D106" s="4" t="s">
        <v>973</v>
      </c>
      <c r="E106" s="4" t="s">
        <v>973</v>
      </c>
      <c r="F106" s="4" t="s">
        <v>973</v>
      </c>
      <c r="G106" s="5" t="s">
        <v>945</v>
      </c>
      <c r="H106" s="5" t="str">
        <f>TEXT(Table3[[#This Row],[Value Date]],"mmmm")</f>
        <v>March</v>
      </c>
    </row>
    <row r="107" spans="1:8">
      <c r="A107" s="3">
        <f t="shared" si="3"/>
        <v>173769.97000000009</v>
      </c>
      <c r="B107" s="364"/>
      <c r="C107" s="364">
        <v>15000</v>
      </c>
      <c r="D107" s="4" t="s">
        <v>973</v>
      </c>
      <c r="E107" s="4" t="s">
        <v>973</v>
      </c>
      <c r="F107" s="4" t="s">
        <v>973</v>
      </c>
      <c r="G107" s="5" t="s">
        <v>945</v>
      </c>
      <c r="H107" s="5" t="str">
        <f>TEXT(Table3[[#This Row],[Value Date]],"mmmm")</f>
        <v>March</v>
      </c>
    </row>
    <row r="108" spans="1:8">
      <c r="A108" s="3">
        <f t="shared" si="3"/>
        <v>158769.97000000009</v>
      </c>
      <c r="B108" s="364"/>
      <c r="C108" s="364">
        <v>15000</v>
      </c>
      <c r="D108" s="4" t="s">
        <v>974</v>
      </c>
      <c r="E108" s="4" t="s">
        <v>974</v>
      </c>
      <c r="F108" s="4" t="s">
        <v>974</v>
      </c>
      <c r="G108" s="5" t="s">
        <v>790</v>
      </c>
      <c r="H108" s="5" t="str">
        <f>TEXT(Table3[[#This Row],[Value Date]],"mmmm")</f>
        <v>March</v>
      </c>
    </row>
    <row r="109" spans="1:8">
      <c r="A109" s="3">
        <f t="shared" si="3"/>
        <v>143769.97000000009</v>
      </c>
      <c r="B109" s="364"/>
      <c r="C109" s="364">
        <v>15000</v>
      </c>
      <c r="D109" s="4" t="s">
        <v>974</v>
      </c>
      <c r="E109" s="4" t="s">
        <v>974</v>
      </c>
      <c r="F109" s="4" t="s">
        <v>974</v>
      </c>
      <c r="G109" s="5" t="s">
        <v>790</v>
      </c>
      <c r="H109" s="5" t="str">
        <f>TEXT(Table3[[#This Row],[Value Date]],"mmmm")</f>
        <v>March</v>
      </c>
    </row>
    <row r="110" spans="1:8">
      <c r="A110" s="3">
        <f t="shared" si="3"/>
        <v>216888.03000000009</v>
      </c>
      <c r="B110" s="364">
        <v>73118.06</v>
      </c>
      <c r="C110" s="364"/>
      <c r="D110" s="4" t="s">
        <v>975</v>
      </c>
      <c r="E110" s="4" t="s">
        <v>975</v>
      </c>
      <c r="F110" s="4" t="s">
        <v>975</v>
      </c>
      <c r="G110" s="5" t="s">
        <v>976</v>
      </c>
      <c r="H110" s="5" t="str">
        <f>TEXT(Table3[[#This Row],[Value Date]],"mmmm")</f>
        <v>March</v>
      </c>
    </row>
    <row r="111" spans="1:8">
      <c r="A111" s="3">
        <f t="shared" si="3"/>
        <v>408973.53000000009</v>
      </c>
      <c r="B111" s="364">
        <v>192085.5</v>
      </c>
      <c r="C111" s="364"/>
      <c r="D111" s="4" t="s">
        <v>975</v>
      </c>
      <c r="E111" s="4" t="s">
        <v>975</v>
      </c>
      <c r="F111" s="4" t="s">
        <v>975</v>
      </c>
      <c r="G111" s="5" t="s">
        <v>977</v>
      </c>
      <c r="H111" s="5" t="str">
        <f>TEXT(Table3[[#This Row],[Value Date]],"mmmm")</f>
        <v>March</v>
      </c>
    </row>
    <row r="112" spans="1:8">
      <c r="A112" s="3">
        <f t="shared" si="3"/>
        <v>393973.53000000009</v>
      </c>
      <c r="B112" s="364"/>
      <c r="C112" s="364">
        <v>15000</v>
      </c>
      <c r="D112" s="4" t="s">
        <v>980</v>
      </c>
      <c r="E112" s="4" t="s">
        <v>980</v>
      </c>
      <c r="F112" s="4" t="s">
        <v>980</v>
      </c>
      <c r="G112" s="5" t="s">
        <v>353</v>
      </c>
      <c r="H112" s="5" t="str">
        <f>TEXT(Table3[[#This Row],[Value Date]],"mmmm")</f>
        <v>March</v>
      </c>
    </row>
    <row r="113" spans="1:8">
      <c r="A113" s="3">
        <f t="shared" si="3"/>
        <v>378973.53000000009</v>
      </c>
      <c r="B113" s="364"/>
      <c r="C113" s="364">
        <v>15000</v>
      </c>
      <c r="D113" s="4" t="s">
        <v>980</v>
      </c>
      <c r="E113" s="4" t="s">
        <v>980</v>
      </c>
      <c r="F113" s="4" t="s">
        <v>980</v>
      </c>
      <c r="G113" s="5" t="s">
        <v>353</v>
      </c>
      <c r="H113" s="5" t="str">
        <f>TEXT(Table3[[#This Row],[Value Date]],"mmmm")</f>
        <v>March</v>
      </c>
    </row>
    <row r="114" spans="1:8">
      <c r="A114" s="3">
        <f t="shared" si="3"/>
        <v>363973.53000000009</v>
      </c>
      <c r="B114" s="364"/>
      <c r="C114" s="364">
        <v>15000</v>
      </c>
      <c r="D114" s="4" t="s">
        <v>981</v>
      </c>
      <c r="E114" s="4" t="s">
        <v>982</v>
      </c>
      <c r="F114" s="4" t="s">
        <v>982</v>
      </c>
      <c r="G114" s="5" t="s">
        <v>353</v>
      </c>
      <c r="H114" s="5" t="str">
        <f>TEXT(Table3[[#This Row],[Value Date]],"mmmm")</f>
        <v>March</v>
      </c>
    </row>
    <row r="115" spans="1:8">
      <c r="A115" s="3">
        <f t="shared" si="3"/>
        <v>348973.53000000009</v>
      </c>
      <c r="B115" s="364"/>
      <c r="C115" s="364">
        <v>15000</v>
      </c>
      <c r="D115" s="4" t="s">
        <v>981</v>
      </c>
      <c r="E115" s="4" t="s">
        <v>982</v>
      </c>
      <c r="F115" s="4" t="s">
        <v>982</v>
      </c>
      <c r="G115" s="5" t="s">
        <v>353</v>
      </c>
      <c r="H115" s="5" t="str">
        <f>TEXT(Table3[[#This Row],[Value Date]],"mmmm")</f>
        <v>March</v>
      </c>
    </row>
    <row r="116" spans="1:8">
      <c r="A116" s="3">
        <f t="shared" si="3"/>
        <v>333973.53000000009</v>
      </c>
      <c r="B116" s="364"/>
      <c r="C116" s="364">
        <v>15000</v>
      </c>
      <c r="D116" s="4" t="s">
        <v>983</v>
      </c>
      <c r="E116" s="4" t="s">
        <v>983</v>
      </c>
      <c r="F116" s="4" t="s">
        <v>981</v>
      </c>
      <c r="G116" s="5" t="s">
        <v>984</v>
      </c>
      <c r="H116" s="5" t="str">
        <f>TEXT(Table3[[#This Row],[Value Date]],"mmmm")</f>
        <v>March</v>
      </c>
    </row>
    <row r="117" spans="1:8">
      <c r="A117" s="3">
        <f t="shared" si="3"/>
        <v>318973.53000000009</v>
      </c>
      <c r="B117" s="364"/>
      <c r="C117" s="364">
        <v>15000</v>
      </c>
      <c r="D117" s="4" t="s">
        <v>983</v>
      </c>
      <c r="E117" s="4" t="s">
        <v>983</v>
      </c>
      <c r="F117" s="4" t="s">
        <v>981</v>
      </c>
      <c r="G117" s="5" t="s">
        <v>984</v>
      </c>
      <c r="H117" s="5" t="str">
        <f>TEXT(Table3[[#This Row],[Value Date]],"mmmm")</f>
        <v>March</v>
      </c>
    </row>
    <row r="118" spans="1:8">
      <c r="A118" s="3">
        <f t="shared" si="3"/>
        <v>325751.53000000009</v>
      </c>
      <c r="B118" s="364">
        <v>6778</v>
      </c>
      <c r="C118" s="364"/>
      <c r="D118" s="4" t="s">
        <v>983</v>
      </c>
      <c r="E118" s="4" t="s">
        <v>983</v>
      </c>
      <c r="F118" s="4" t="s">
        <v>983</v>
      </c>
      <c r="G118" s="5" t="s">
        <v>985</v>
      </c>
      <c r="H118" s="5" t="str">
        <f>TEXT(Table3[[#This Row],[Value Date]],"mmmm")</f>
        <v>March</v>
      </c>
    </row>
    <row r="119" spans="1:8">
      <c r="A119" s="3">
        <f t="shared" si="3"/>
        <v>400343.53000000009</v>
      </c>
      <c r="B119" s="364">
        <v>74592</v>
      </c>
      <c r="C119" s="364"/>
      <c r="D119" s="4" t="s">
        <v>983</v>
      </c>
      <c r="E119" s="4" t="s">
        <v>983</v>
      </c>
      <c r="F119" s="4" t="s">
        <v>983</v>
      </c>
      <c r="G119" s="5" t="s">
        <v>985</v>
      </c>
      <c r="H119" s="5" t="str">
        <f>TEXT(Table3[[#This Row],[Value Date]],"mmmm")</f>
        <v>March</v>
      </c>
    </row>
    <row r="120" spans="1:8">
      <c r="A120" s="3">
        <f t="shared" si="3"/>
        <v>400333.53000000009</v>
      </c>
      <c r="B120" s="364"/>
      <c r="C120" s="364">
        <v>10</v>
      </c>
      <c r="D120" s="4" t="s">
        <v>983</v>
      </c>
      <c r="E120" s="4" t="s">
        <v>983</v>
      </c>
      <c r="F120" s="4" t="s">
        <v>983</v>
      </c>
      <c r="G120" s="5" t="s">
        <v>991</v>
      </c>
      <c r="H120" s="5" t="str">
        <f>TEXT(Table3[[#This Row],[Value Date]],"mmmm")</f>
        <v>March</v>
      </c>
    </row>
    <row r="121" spans="1:8">
      <c r="A121" s="3">
        <f t="shared" si="3"/>
        <v>385333.53000000009</v>
      </c>
      <c r="B121" s="364"/>
      <c r="C121" s="364">
        <v>15000</v>
      </c>
      <c r="D121" s="4" t="s">
        <v>992</v>
      </c>
      <c r="E121" s="4" t="s">
        <v>992</v>
      </c>
      <c r="F121" s="4" t="s">
        <v>993</v>
      </c>
      <c r="G121" s="5" t="s">
        <v>617</v>
      </c>
      <c r="H121" s="5" t="str">
        <f>TEXT(Table3[[#This Row],[Value Date]],"mmmm")</f>
        <v>March</v>
      </c>
    </row>
    <row r="122" spans="1:8">
      <c r="A122" s="3">
        <f t="shared" si="3"/>
        <v>370333.53000000009</v>
      </c>
      <c r="B122" s="364"/>
      <c r="C122" s="364">
        <v>15000</v>
      </c>
      <c r="D122" s="4" t="s">
        <v>992</v>
      </c>
      <c r="E122" s="4" t="s">
        <v>992</v>
      </c>
      <c r="F122" s="4" t="s">
        <v>993</v>
      </c>
      <c r="G122" s="5" t="s">
        <v>617</v>
      </c>
      <c r="H122" s="5" t="str">
        <f>TEXT(Table3[[#This Row],[Value Date]],"mmmm")</f>
        <v>March</v>
      </c>
    </row>
    <row r="123" spans="1:8">
      <c r="A123" s="3">
        <f t="shared" si="3"/>
        <v>355333.53000000009</v>
      </c>
      <c r="B123" s="364"/>
      <c r="C123" s="364">
        <v>15000</v>
      </c>
      <c r="D123" s="4" t="s">
        <v>992</v>
      </c>
      <c r="E123" s="4" t="s">
        <v>992</v>
      </c>
      <c r="F123" s="4" t="s">
        <v>992</v>
      </c>
      <c r="G123" s="5" t="s">
        <v>617</v>
      </c>
      <c r="H123" s="5" t="str">
        <f>TEXT(Table3[[#This Row],[Value Date]],"mmmm")</f>
        <v>March</v>
      </c>
    </row>
    <row r="124" spans="1:8">
      <c r="A124" s="3">
        <f t="shared" si="3"/>
        <v>340333.53000000009</v>
      </c>
      <c r="B124" s="364"/>
      <c r="C124" s="364">
        <v>15000</v>
      </c>
      <c r="D124" s="4" t="s">
        <v>992</v>
      </c>
      <c r="E124" s="4" t="s">
        <v>992</v>
      </c>
      <c r="F124" s="4" t="s">
        <v>992</v>
      </c>
      <c r="G124" s="5" t="s">
        <v>617</v>
      </c>
      <c r="H124" s="5" t="str">
        <f>TEXT(Table3[[#This Row],[Value Date]],"mmmm")</f>
        <v>March</v>
      </c>
    </row>
    <row r="125" spans="1:8">
      <c r="A125" s="3">
        <f t="shared" si="3"/>
        <v>325333.53000000009</v>
      </c>
      <c r="B125" s="364"/>
      <c r="C125" s="364">
        <v>15000</v>
      </c>
      <c r="D125" s="4" t="s">
        <v>994</v>
      </c>
      <c r="E125" s="4" t="s">
        <v>994</v>
      </c>
      <c r="F125" s="4" t="s">
        <v>994</v>
      </c>
      <c r="G125" s="5" t="s">
        <v>790</v>
      </c>
      <c r="H125" s="5" t="str">
        <f>TEXT(Table3[[#This Row],[Value Date]],"mmmm")</f>
        <v>March</v>
      </c>
    </row>
    <row r="126" spans="1:8">
      <c r="A126" s="3">
        <f t="shared" si="3"/>
        <v>310333.53000000009</v>
      </c>
      <c r="B126" s="364"/>
      <c r="C126" s="364">
        <v>15000</v>
      </c>
      <c r="D126" s="4" t="s">
        <v>994</v>
      </c>
      <c r="E126" s="4" t="s">
        <v>994</v>
      </c>
      <c r="F126" s="4" t="s">
        <v>994</v>
      </c>
      <c r="G126" s="5" t="s">
        <v>697</v>
      </c>
      <c r="H126" s="5" t="str">
        <f>TEXT(Table3[[#This Row],[Value Date]],"mmmm")</f>
        <v>March</v>
      </c>
    </row>
    <row r="127" spans="1:8">
      <c r="A127" s="3">
        <f t="shared" si="3"/>
        <v>332533.53000000009</v>
      </c>
      <c r="B127" s="364">
        <v>22200</v>
      </c>
      <c r="C127" s="364"/>
      <c r="D127" s="4" t="s">
        <v>995</v>
      </c>
      <c r="E127" s="4" t="s">
        <v>995</v>
      </c>
      <c r="F127" s="4" t="s">
        <v>995</v>
      </c>
      <c r="G127" s="5" t="s">
        <v>996</v>
      </c>
      <c r="H127" s="5" t="str">
        <f>TEXT(Table3[[#This Row],[Value Date]],"mmmm")</f>
        <v>March</v>
      </c>
    </row>
    <row r="128" spans="1:8">
      <c r="A128" s="3">
        <f t="shared" si="3"/>
        <v>322533.53000000009</v>
      </c>
      <c r="B128" s="364"/>
      <c r="C128" s="364">
        <v>10000</v>
      </c>
      <c r="D128" s="4" t="s">
        <v>995</v>
      </c>
      <c r="E128" s="4" t="s">
        <v>995</v>
      </c>
      <c r="F128" s="4" t="s">
        <v>995</v>
      </c>
      <c r="G128" s="5" t="s">
        <v>617</v>
      </c>
      <c r="H128" s="5" t="str">
        <f>TEXT(Table3[[#This Row],[Value Date]],"mmmm")</f>
        <v>March</v>
      </c>
    </row>
    <row r="129" spans="1:8">
      <c r="A129" s="3">
        <f t="shared" si="3"/>
        <v>485359.40000000008</v>
      </c>
      <c r="B129" s="364">
        <v>162825.87</v>
      </c>
      <c r="C129" s="364"/>
      <c r="D129" s="4" t="s">
        <v>997</v>
      </c>
      <c r="E129" s="4" t="s">
        <v>997</v>
      </c>
      <c r="F129" s="4" t="s">
        <v>997</v>
      </c>
      <c r="G129" s="5" t="s">
        <v>998</v>
      </c>
      <c r="H129" s="5" t="str">
        <f>TEXT(Table3[[#This Row],[Value Date]],"mmmm")</f>
        <v>March</v>
      </c>
    </row>
    <row r="130" spans="1:8">
      <c r="A130" s="3">
        <f t="shared" si="3"/>
        <v>395359.40000000008</v>
      </c>
      <c r="B130" s="364"/>
      <c r="C130" s="364">
        <v>90000</v>
      </c>
      <c r="D130" s="4" t="s">
        <v>1005</v>
      </c>
      <c r="E130" s="4" t="s">
        <v>1005</v>
      </c>
      <c r="F130" s="4" t="s">
        <v>1002</v>
      </c>
      <c r="G130" s="5" t="s">
        <v>1008</v>
      </c>
      <c r="H130" s="5" t="str">
        <f>TEXT(Table3[[#This Row],[Value Date]],"mmmm")</f>
        <v>March</v>
      </c>
    </row>
    <row r="131" spans="1:8">
      <c r="A131" s="3">
        <f t="shared" si="3"/>
        <v>338802.40000000008</v>
      </c>
      <c r="B131" s="364"/>
      <c r="C131" s="364">
        <v>56557</v>
      </c>
      <c r="D131" s="4" t="s">
        <v>1005</v>
      </c>
      <c r="E131" s="4" t="s">
        <v>1005</v>
      </c>
      <c r="F131" s="4" t="s">
        <v>1002</v>
      </c>
      <c r="G131" s="5" t="s">
        <v>1008</v>
      </c>
      <c r="H131" s="5" t="str">
        <f>TEXT(Table3[[#This Row],[Value Date]],"mmmm")</f>
        <v>March</v>
      </c>
    </row>
    <row r="132" spans="1:8">
      <c r="A132" s="3">
        <f t="shared" si="3"/>
        <v>323802.40000000008</v>
      </c>
      <c r="B132" s="364"/>
      <c r="C132" s="364">
        <v>15000</v>
      </c>
      <c r="D132" s="4" t="s">
        <v>1002</v>
      </c>
      <c r="E132" s="4" t="s">
        <v>1002</v>
      </c>
      <c r="F132" s="4" t="s">
        <v>1003</v>
      </c>
      <c r="G132" s="5" t="s">
        <v>617</v>
      </c>
      <c r="H132" s="5" t="str">
        <f>TEXT(Table3[[#This Row],[Value Date]],"mmmm")</f>
        <v>March</v>
      </c>
    </row>
    <row r="133" spans="1:8">
      <c r="A133" s="3">
        <f t="shared" si="3"/>
        <v>308802.40000000008</v>
      </c>
      <c r="B133" s="364"/>
      <c r="C133" s="364">
        <v>15000</v>
      </c>
      <c r="D133" s="4" t="s">
        <v>1002</v>
      </c>
      <c r="E133" s="4" t="s">
        <v>1002</v>
      </c>
      <c r="F133" s="4" t="s">
        <v>1003</v>
      </c>
      <c r="G133" s="5" t="s">
        <v>617</v>
      </c>
      <c r="H133" s="5" t="str">
        <f>TEXT(Table3[[#This Row],[Value Date]],"mmmm")</f>
        <v>March</v>
      </c>
    </row>
    <row r="134" spans="1:8">
      <c r="A134" s="3">
        <f t="shared" si="3"/>
        <v>293802.40000000008</v>
      </c>
      <c r="B134" s="364"/>
      <c r="C134" s="364">
        <v>15000</v>
      </c>
      <c r="D134" s="4" t="s">
        <v>1002</v>
      </c>
      <c r="E134" s="4" t="s">
        <v>1002</v>
      </c>
      <c r="F134" s="4" t="s">
        <v>1002</v>
      </c>
      <c r="G134" s="5" t="s">
        <v>790</v>
      </c>
      <c r="H134" s="5" t="str">
        <f>TEXT(Table3[[#This Row],[Value Date]],"mmmm")</f>
        <v>March</v>
      </c>
    </row>
    <row r="135" spans="1:8">
      <c r="A135" s="3">
        <f t="shared" si="3"/>
        <v>308802.40000000008</v>
      </c>
      <c r="B135" s="364">
        <v>15000</v>
      </c>
      <c r="C135" s="364"/>
      <c r="D135" s="4" t="s">
        <v>1002</v>
      </c>
      <c r="E135" s="4" t="s">
        <v>1002</v>
      </c>
      <c r="F135" s="4" t="s">
        <v>1002</v>
      </c>
      <c r="G135" s="5" t="s">
        <v>790</v>
      </c>
      <c r="H135" s="5" t="str">
        <f>TEXT(Table3[[#This Row],[Value Date]],"mmmm")</f>
        <v>March</v>
      </c>
    </row>
    <row r="136" spans="1:8">
      <c r="A136" s="3">
        <f t="shared" si="3"/>
        <v>293802.40000000008</v>
      </c>
      <c r="B136" s="364"/>
      <c r="C136" s="364">
        <v>15000</v>
      </c>
      <c r="D136" s="4" t="s">
        <v>1002</v>
      </c>
      <c r="E136" s="4" t="s">
        <v>1002</v>
      </c>
      <c r="F136" s="4" t="s">
        <v>1002</v>
      </c>
      <c r="G136" s="5" t="s">
        <v>945</v>
      </c>
      <c r="H136" s="5" t="str">
        <f>TEXT(Table3[[#This Row],[Value Date]],"mmmm")</f>
        <v>March</v>
      </c>
    </row>
    <row r="137" spans="1:8">
      <c r="A137" s="3">
        <f t="shared" si="3"/>
        <v>278802.40000000008</v>
      </c>
      <c r="B137" s="364"/>
      <c r="C137" s="364">
        <v>15000</v>
      </c>
      <c r="D137" s="4" t="s">
        <v>1002</v>
      </c>
      <c r="E137" s="4" t="s">
        <v>1002</v>
      </c>
      <c r="F137" s="4" t="s">
        <v>1002</v>
      </c>
      <c r="G137" s="5" t="s">
        <v>945</v>
      </c>
      <c r="H137" s="5" t="str">
        <f>TEXT(Table3[[#This Row],[Value Date]],"mmmm")</f>
        <v>March</v>
      </c>
    </row>
    <row r="138" spans="1:8">
      <c r="A138" s="3">
        <f t="shared" si="3"/>
        <v>248802.40000000008</v>
      </c>
      <c r="B138" s="364"/>
      <c r="C138" s="364">
        <v>30000</v>
      </c>
      <c r="D138" s="4" t="s">
        <v>1002</v>
      </c>
      <c r="E138" s="4" t="s">
        <v>1002</v>
      </c>
      <c r="F138" s="4" t="s">
        <v>1002</v>
      </c>
      <c r="G138" s="5" t="s">
        <v>1004</v>
      </c>
      <c r="H138" s="5" t="str">
        <f>TEXT(Table3[[#This Row],[Value Date]],"mmmm")</f>
        <v>March</v>
      </c>
    </row>
    <row r="139" spans="1:8">
      <c r="A139" s="3">
        <f t="shared" si="3"/>
        <v>218802.40000000008</v>
      </c>
      <c r="B139" s="364"/>
      <c r="C139" s="364">
        <v>30000</v>
      </c>
      <c r="D139" s="4" t="s">
        <v>1005</v>
      </c>
      <c r="E139" s="4" t="s">
        <v>1005</v>
      </c>
      <c r="F139" s="4" t="s">
        <v>1005</v>
      </c>
      <c r="G139" s="5" t="s">
        <v>1006</v>
      </c>
      <c r="H139" s="5" t="str">
        <f>TEXT(Table3[[#This Row],[Value Date]],"mmmm")</f>
        <v>March</v>
      </c>
    </row>
    <row r="140" spans="1:8">
      <c r="A140" s="3">
        <f t="shared" si="3"/>
        <v>203802.40000000008</v>
      </c>
      <c r="B140" s="364"/>
      <c r="C140" s="364">
        <v>15000</v>
      </c>
      <c r="D140" s="4" t="s">
        <v>1005</v>
      </c>
      <c r="E140" s="4" t="s">
        <v>1005</v>
      </c>
      <c r="F140" s="4" t="s">
        <v>1005</v>
      </c>
      <c r="G140" s="5" t="s">
        <v>945</v>
      </c>
      <c r="H140" s="5" t="str">
        <f>TEXT(Table3[[#This Row],[Value Date]],"mmmm")</f>
        <v>March</v>
      </c>
    </row>
    <row r="141" spans="1:8">
      <c r="A141" s="3">
        <f t="shared" si="3"/>
        <v>188802.40000000008</v>
      </c>
      <c r="B141" s="364"/>
      <c r="C141" s="364">
        <v>15000</v>
      </c>
      <c r="D141" s="4" t="s">
        <v>1005</v>
      </c>
      <c r="E141" s="4" t="s">
        <v>1005</v>
      </c>
      <c r="F141" s="4" t="s">
        <v>1005</v>
      </c>
      <c r="G141" s="5" t="s">
        <v>945</v>
      </c>
      <c r="H141" s="5" t="str">
        <f>TEXT(Table3[[#This Row],[Value Date]],"mmmm")</f>
        <v>March</v>
      </c>
    </row>
    <row r="142" spans="1:8">
      <c r="A142" s="3">
        <f t="shared" si="3"/>
        <v>355087.96000000008</v>
      </c>
      <c r="B142" s="364">
        <v>166285.56</v>
      </c>
      <c r="C142" s="364"/>
      <c r="D142" s="4" t="s">
        <v>1005</v>
      </c>
      <c r="E142" s="4" t="s">
        <v>1005</v>
      </c>
      <c r="F142" s="4" t="s">
        <v>1005</v>
      </c>
      <c r="G142" s="5" t="s">
        <v>1007</v>
      </c>
      <c r="H142" s="5" t="str">
        <f>TEXT(Table3[[#This Row],[Value Date]],"mmmm")</f>
        <v>March</v>
      </c>
    </row>
    <row r="143" spans="1:8">
      <c r="A143" s="3">
        <f t="shared" si="3"/>
        <v>325087.96000000008</v>
      </c>
      <c r="B143" s="364"/>
      <c r="C143" s="364">
        <v>30000</v>
      </c>
      <c r="D143" s="4" t="s">
        <v>1009</v>
      </c>
      <c r="E143" s="4" t="s">
        <v>1009</v>
      </c>
      <c r="F143" s="4" t="s">
        <v>1009</v>
      </c>
      <c r="G143" s="5" t="s">
        <v>922</v>
      </c>
      <c r="H143" s="5" t="str">
        <f>TEXT(Table3[[#This Row],[Value Date]],"mmmm")</f>
        <v>March</v>
      </c>
    </row>
    <row r="144" spans="1:8">
      <c r="A144" s="3">
        <f t="shared" si="3"/>
        <v>310087.96000000008</v>
      </c>
      <c r="B144" s="364"/>
      <c r="C144" s="364">
        <v>15000</v>
      </c>
      <c r="D144" s="4" t="s">
        <v>1009</v>
      </c>
      <c r="E144" s="4" t="s">
        <v>1009</v>
      </c>
      <c r="F144" s="4" t="s">
        <v>1009</v>
      </c>
      <c r="G144" s="5" t="s">
        <v>790</v>
      </c>
      <c r="H144" s="5" t="str">
        <f>TEXT(Table3[[#This Row],[Value Date]],"mmmm")</f>
        <v>March</v>
      </c>
    </row>
    <row r="145" spans="1:8">
      <c r="A145" s="3">
        <f t="shared" si="3"/>
        <v>295087.96000000008</v>
      </c>
      <c r="B145" s="364"/>
      <c r="C145" s="364">
        <v>15000</v>
      </c>
      <c r="D145" s="4" t="s">
        <v>1009</v>
      </c>
      <c r="E145" s="4" t="s">
        <v>1009</v>
      </c>
      <c r="F145" s="4" t="s">
        <v>1009</v>
      </c>
      <c r="G145" s="5" t="s">
        <v>790</v>
      </c>
      <c r="H145" s="5" t="str">
        <f>TEXT(Table3[[#This Row],[Value Date]],"mmmm")</f>
        <v>March</v>
      </c>
    </row>
    <row r="146" spans="1:8">
      <c r="A146" s="3">
        <f t="shared" si="3"/>
        <v>170087.96000000008</v>
      </c>
      <c r="B146" s="364"/>
      <c r="C146" s="364">
        <v>125000</v>
      </c>
      <c r="D146" s="4" t="s">
        <v>1010</v>
      </c>
      <c r="E146" s="4" t="s">
        <v>1010</v>
      </c>
      <c r="F146" s="4" t="s">
        <v>1010</v>
      </c>
      <c r="G146" s="5" t="s">
        <v>1011</v>
      </c>
      <c r="H146" s="5" t="str">
        <f>TEXT(Table3[[#This Row],[Value Date]],"mmmm")</f>
        <v>March</v>
      </c>
    </row>
    <row r="147" spans="1:8">
      <c r="A147" s="3">
        <f t="shared" si="3"/>
        <v>140087.96000000008</v>
      </c>
      <c r="B147" s="364"/>
      <c r="C147" s="364">
        <v>30000</v>
      </c>
      <c r="D147" s="4" t="s">
        <v>1010</v>
      </c>
      <c r="E147" s="4" t="s">
        <v>1010</v>
      </c>
      <c r="F147" s="4" t="s">
        <v>1010</v>
      </c>
      <c r="G147" s="5" t="s">
        <v>1004</v>
      </c>
      <c r="H147" s="5" t="str">
        <f>TEXT(Table3[[#This Row],[Value Date]],"mmmm")</f>
        <v>March</v>
      </c>
    </row>
    <row r="148" spans="1:8">
      <c r="A148" s="3">
        <f t="shared" si="3"/>
        <v>110087.96000000008</v>
      </c>
      <c r="B148" s="364"/>
      <c r="C148" s="364">
        <v>30000</v>
      </c>
      <c r="D148" s="4" t="s">
        <v>1012</v>
      </c>
      <c r="E148" s="4" t="s">
        <v>1012</v>
      </c>
      <c r="F148" s="4" t="s">
        <v>1012</v>
      </c>
      <c r="G148" s="5" t="s">
        <v>731</v>
      </c>
      <c r="H148" s="5" t="str">
        <f>TEXT(Table3[[#This Row],[Value Date]],"mmmm")</f>
        <v>March</v>
      </c>
    </row>
    <row r="149" spans="1:8">
      <c r="A149" s="3">
        <f t="shared" si="3"/>
        <v>86087.960000000079</v>
      </c>
      <c r="B149" s="364"/>
      <c r="C149" s="364">
        <v>24000</v>
      </c>
      <c r="D149" s="4" t="s">
        <v>1012</v>
      </c>
      <c r="E149" s="4" t="s">
        <v>1012</v>
      </c>
      <c r="F149" s="4" t="s">
        <v>1012</v>
      </c>
      <c r="G149" s="5" t="s">
        <v>733</v>
      </c>
      <c r="H149" s="5" t="str">
        <f>TEXT(Table3[[#This Row],[Value Date]],"mmmm")</f>
        <v>March</v>
      </c>
    </row>
    <row r="150" spans="1:8">
      <c r="A150" s="3">
        <f t="shared" si="3"/>
        <v>61087.960000000079</v>
      </c>
      <c r="B150" s="364"/>
      <c r="C150" s="364">
        <v>25000</v>
      </c>
      <c r="D150" s="4" t="s">
        <v>1012</v>
      </c>
      <c r="E150" s="4" t="s">
        <v>1012</v>
      </c>
      <c r="F150" s="4" t="s">
        <v>1012</v>
      </c>
      <c r="G150" s="5" t="s">
        <v>732</v>
      </c>
      <c r="H150" s="5" t="str">
        <f>TEXT(Table3[[#This Row],[Value Date]],"mmmm")</f>
        <v>March</v>
      </c>
    </row>
    <row r="151" spans="1:8">
      <c r="A151" s="3">
        <f t="shared" si="3"/>
        <v>12087.960000000079</v>
      </c>
      <c r="B151" s="364"/>
      <c r="C151" s="364">
        <v>49000</v>
      </c>
      <c r="D151" s="4" t="s">
        <v>1012</v>
      </c>
      <c r="E151" s="4" t="s">
        <v>1012</v>
      </c>
      <c r="F151" s="4" t="s">
        <v>1012</v>
      </c>
      <c r="G151" s="5" t="s">
        <v>735</v>
      </c>
      <c r="H151" s="5" t="str">
        <f>TEXT(Table3[[#This Row],[Value Date]],"mmmm")</f>
        <v>March</v>
      </c>
    </row>
    <row r="152" spans="1:8">
      <c r="A152" s="3">
        <f t="shared" si="3"/>
        <v>234358.03000000009</v>
      </c>
      <c r="B152" s="364">
        <v>222270.07</v>
      </c>
      <c r="C152" s="364"/>
      <c r="D152" s="4" t="s">
        <v>1012</v>
      </c>
      <c r="E152" s="4" t="s">
        <v>1012</v>
      </c>
      <c r="F152" s="4" t="s">
        <v>1012</v>
      </c>
      <c r="G152" s="5" t="s">
        <v>1013</v>
      </c>
      <c r="H152" s="5" t="str">
        <f>TEXT(Table3[[#This Row],[Value Date]],"mmmm")</f>
        <v>March</v>
      </c>
    </row>
    <row r="153" spans="1:8">
      <c r="A153" s="3">
        <f t="shared" si="3"/>
        <v>234318.03000000009</v>
      </c>
      <c r="B153" s="364"/>
      <c r="C153" s="364">
        <v>40</v>
      </c>
      <c r="D153" s="4" t="s">
        <v>1012</v>
      </c>
      <c r="E153" s="4" t="s">
        <v>1012</v>
      </c>
      <c r="F153" s="4" t="s">
        <v>1012</v>
      </c>
      <c r="G153" s="5" t="s">
        <v>736</v>
      </c>
      <c r="H153" s="5" t="str">
        <f>TEXT(Table3[[#This Row],[Value Date]],"mmmm")</f>
        <v>March</v>
      </c>
    </row>
    <row r="154" spans="1:8">
      <c r="A154" s="3">
        <f t="shared" si="3"/>
        <v>234278.03000000009</v>
      </c>
      <c r="B154" s="364"/>
      <c r="C154" s="364">
        <v>40</v>
      </c>
      <c r="D154" s="4" t="s">
        <v>1012</v>
      </c>
      <c r="E154" s="4" t="s">
        <v>1012</v>
      </c>
      <c r="F154" s="4" t="s">
        <v>1012</v>
      </c>
      <c r="G154" s="5" t="s">
        <v>736</v>
      </c>
      <c r="H154" s="5" t="str">
        <f>TEXT(Table3[[#This Row],[Value Date]],"mmmm")</f>
        <v>March</v>
      </c>
    </row>
    <row r="155" spans="1:8" s="224" customFormat="1">
      <c r="A155" s="223">
        <f t="shared" si="3"/>
        <v>234238.03000000009</v>
      </c>
      <c r="B155" s="365"/>
      <c r="C155" s="365">
        <v>40</v>
      </c>
      <c r="D155" s="224" t="s">
        <v>1012</v>
      </c>
      <c r="E155" s="224" t="s">
        <v>1012</v>
      </c>
      <c r="F155" s="224" t="s">
        <v>1012</v>
      </c>
      <c r="G155" s="225" t="s">
        <v>736</v>
      </c>
      <c r="H155" s="225" t="str">
        <f>TEXT(Table3[[#This Row],[Value Date]],"mmmm")</f>
        <v>March</v>
      </c>
    </row>
    <row r="156" spans="1:8">
      <c r="A156" s="3">
        <f t="shared" si="3"/>
        <v>219238.03000000009</v>
      </c>
      <c r="B156" s="364"/>
      <c r="C156" s="364">
        <v>15000</v>
      </c>
      <c r="D156" s="4" t="s">
        <v>1015</v>
      </c>
      <c r="E156" s="4" t="s">
        <v>1015</v>
      </c>
      <c r="F156" s="4" t="s">
        <v>1015</v>
      </c>
      <c r="G156" s="5" t="s">
        <v>697</v>
      </c>
      <c r="H156" s="5" t="str">
        <f>TEXT(Table3[[#This Row],[Value Date]],"mmmm")</f>
        <v>April</v>
      </c>
    </row>
    <row r="157" spans="1:8">
      <c r="A157" s="3">
        <f t="shared" si="3"/>
        <v>204238.03000000009</v>
      </c>
      <c r="B157" s="364"/>
      <c r="C157" s="364">
        <v>15000</v>
      </c>
      <c r="D157" s="4" t="s">
        <v>1015</v>
      </c>
      <c r="E157" s="4" t="s">
        <v>1015</v>
      </c>
      <c r="F157" s="4" t="s">
        <v>1015</v>
      </c>
      <c r="G157" s="5" t="s">
        <v>697</v>
      </c>
      <c r="H157" s="5" t="str">
        <f>TEXT(Table3[[#This Row],[Value Date]],"mmmm")</f>
        <v>April</v>
      </c>
    </row>
    <row r="158" spans="1:8">
      <c r="A158" s="3">
        <f t="shared" si="3"/>
        <v>281559.47000000009</v>
      </c>
      <c r="B158" s="364">
        <v>77321.440000000002</v>
      </c>
      <c r="C158" s="364"/>
      <c r="D158" s="4" t="s">
        <v>1015</v>
      </c>
      <c r="E158" s="4" t="s">
        <v>1015</v>
      </c>
      <c r="F158" s="4" t="s">
        <v>1015</v>
      </c>
      <c r="G158" s="5" t="s">
        <v>1016</v>
      </c>
      <c r="H158" s="5" t="str">
        <f>TEXT(Table3[[#This Row],[Value Date]],"mmmm")</f>
        <v>April</v>
      </c>
    </row>
    <row r="159" spans="1:8">
      <c r="A159" s="3">
        <f t="shared" si="3"/>
        <v>281558.47000000009</v>
      </c>
      <c r="B159" s="351"/>
      <c r="C159" s="351">
        <v>1</v>
      </c>
      <c r="D159" s="4" t="s">
        <v>1021</v>
      </c>
      <c r="E159" s="4" t="s">
        <v>1021</v>
      </c>
      <c r="F159" s="4" t="s">
        <v>1021</v>
      </c>
      <c r="G159" s="5" t="s">
        <v>1022</v>
      </c>
      <c r="H159" s="5" t="str">
        <f>TEXT(Table3[[#This Row],[Value Date]],"mmmm")</f>
        <v>April</v>
      </c>
    </row>
    <row r="160" spans="1:8">
      <c r="A160" s="3">
        <f t="shared" si="3"/>
        <v>251558.47000000009</v>
      </c>
      <c r="B160" s="364"/>
      <c r="C160" s="364">
        <v>30000</v>
      </c>
      <c r="D160" s="4" t="s">
        <v>1023</v>
      </c>
      <c r="E160" s="4" t="s">
        <v>1023</v>
      </c>
      <c r="F160" s="4" t="s">
        <v>1023</v>
      </c>
      <c r="G160" s="5" t="s">
        <v>1024</v>
      </c>
      <c r="H160" s="5" t="str">
        <f>TEXT(Table3[[#This Row],[Value Date]],"mmmm")</f>
        <v>April</v>
      </c>
    </row>
    <row r="161" spans="1:8">
      <c r="A161" s="3">
        <f t="shared" si="3"/>
        <v>236558.47000000009</v>
      </c>
      <c r="B161" s="364"/>
      <c r="C161" s="364">
        <v>15000</v>
      </c>
      <c r="D161" s="4" t="s">
        <v>1023</v>
      </c>
      <c r="E161" s="4" t="s">
        <v>1023</v>
      </c>
      <c r="F161" s="4" t="s">
        <v>1023</v>
      </c>
      <c r="G161" s="5" t="s">
        <v>353</v>
      </c>
      <c r="H161" s="5" t="str">
        <f>TEXT(Table3[[#This Row],[Value Date]],"mmmm")</f>
        <v>April</v>
      </c>
    </row>
    <row r="162" spans="1:8">
      <c r="A162" s="3">
        <f t="shared" si="3"/>
        <v>221558.47000000009</v>
      </c>
      <c r="B162" s="364"/>
      <c r="C162" s="364">
        <v>15000</v>
      </c>
      <c r="D162" s="4" t="s">
        <v>1023</v>
      </c>
      <c r="E162" s="4" t="s">
        <v>1023</v>
      </c>
      <c r="F162" s="4" t="s">
        <v>1023</v>
      </c>
      <c r="G162" s="5" t="s">
        <v>353</v>
      </c>
      <c r="H162" s="5" t="str">
        <f>TEXT(Table3[[#This Row],[Value Date]],"mmmm")</f>
        <v>April</v>
      </c>
    </row>
    <row r="163" spans="1:8">
      <c r="A163" s="3">
        <f t="shared" si="3"/>
        <v>206558.47000000009</v>
      </c>
      <c r="B163" s="364"/>
      <c r="C163" s="364">
        <v>15000</v>
      </c>
      <c r="D163" s="4" t="s">
        <v>1025</v>
      </c>
      <c r="E163" s="4" t="s">
        <v>1025</v>
      </c>
      <c r="F163" s="4" t="s">
        <v>1025</v>
      </c>
      <c r="G163" s="5" t="s">
        <v>945</v>
      </c>
      <c r="H163" s="5" t="str">
        <f>TEXT(Table3[[#This Row],[Value Date]],"mmmm")</f>
        <v>April</v>
      </c>
    </row>
    <row r="164" spans="1:8">
      <c r="A164" s="3">
        <f t="shared" si="3"/>
        <v>191558.47000000009</v>
      </c>
      <c r="B164" s="364"/>
      <c r="C164" s="364">
        <v>15000</v>
      </c>
      <c r="D164" s="4" t="s">
        <v>1025</v>
      </c>
      <c r="E164" s="4" t="s">
        <v>1025</v>
      </c>
      <c r="F164" s="4" t="s">
        <v>1025</v>
      </c>
      <c r="G164" s="5" t="s">
        <v>945</v>
      </c>
      <c r="H164" s="5" t="str">
        <f>TEXT(Table3[[#This Row],[Value Date]],"mmmm")</f>
        <v>April</v>
      </c>
    </row>
    <row r="165" spans="1:8">
      <c r="A165" s="3">
        <f t="shared" ref="A165:A227" si="4">A164+B165-C165</f>
        <v>374983.57000000007</v>
      </c>
      <c r="B165" s="364">
        <v>183425.1</v>
      </c>
      <c r="C165" s="364"/>
      <c r="D165" s="4" t="s">
        <v>1019</v>
      </c>
      <c r="E165" s="4" t="s">
        <v>1019</v>
      </c>
      <c r="F165" s="4" t="s">
        <v>1019</v>
      </c>
      <c r="G165" s="5" t="s">
        <v>1020</v>
      </c>
      <c r="H165" s="5" t="str">
        <f>TEXT(Table3[[#This Row],[Value Date]],"mmmm")</f>
        <v>April</v>
      </c>
    </row>
    <row r="166" spans="1:8">
      <c r="A166" s="3">
        <f t="shared" si="4"/>
        <v>359983.57000000007</v>
      </c>
      <c r="B166" s="364"/>
      <c r="C166" s="364">
        <v>15000</v>
      </c>
      <c r="D166" s="4" t="s">
        <v>1029</v>
      </c>
      <c r="E166" s="4" t="s">
        <v>1029</v>
      </c>
      <c r="F166" s="4" t="s">
        <v>1029</v>
      </c>
      <c r="G166" s="5" t="s">
        <v>790</v>
      </c>
      <c r="H166" s="5" t="str">
        <f>TEXT(Table3[[#This Row],[Value Date]],"mmmm")</f>
        <v>April</v>
      </c>
    </row>
    <row r="167" spans="1:8">
      <c r="A167" s="3">
        <f t="shared" si="4"/>
        <v>344983.57000000007</v>
      </c>
      <c r="B167" s="364"/>
      <c r="C167" s="364">
        <v>15000</v>
      </c>
      <c r="D167" s="4" t="s">
        <v>1029</v>
      </c>
      <c r="E167" s="4" t="s">
        <v>1029</v>
      </c>
      <c r="F167" s="4" t="s">
        <v>1029</v>
      </c>
      <c r="G167" s="5" t="s">
        <v>790</v>
      </c>
      <c r="H167" s="5" t="str">
        <f>TEXT(Table3[[#This Row],[Value Date]],"mmmm")</f>
        <v>April</v>
      </c>
    </row>
    <row r="168" spans="1:8">
      <c r="A168" s="3">
        <f t="shared" si="4"/>
        <v>329983.57000000007</v>
      </c>
      <c r="B168" s="364"/>
      <c r="C168" s="364">
        <v>15000</v>
      </c>
      <c r="D168" s="4" t="s">
        <v>1030</v>
      </c>
      <c r="E168" s="4" t="s">
        <v>1030</v>
      </c>
      <c r="F168" s="4" t="s">
        <v>1030</v>
      </c>
      <c r="G168" s="5" t="s">
        <v>315</v>
      </c>
      <c r="H168" s="5" t="str">
        <f>TEXT(Table3[[#This Row],[Value Date]],"mmmm")</f>
        <v>April</v>
      </c>
    </row>
    <row r="169" spans="1:8">
      <c r="A169" s="3">
        <f t="shared" si="4"/>
        <v>314983.57000000007</v>
      </c>
      <c r="B169" s="364"/>
      <c r="C169" s="364">
        <v>15000</v>
      </c>
      <c r="D169" s="4" t="s">
        <v>1030</v>
      </c>
      <c r="E169" s="4" t="s">
        <v>1030</v>
      </c>
      <c r="F169" s="4" t="s">
        <v>1030</v>
      </c>
      <c r="G169" s="5" t="s">
        <v>315</v>
      </c>
      <c r="H169" s="5" t="str">
        <f>TEXT(Table3[[#This Row],[Value Date]],"mmmm")</f>
        <v>April</v>
      </c>
    </row>
    <row r="170" spans="1:8">
      <c r="A170" s="3">
        <f t="shared" si="4"/>
        <v>299983.57000000007</v>
      </c>
      <c r="B170" s="364"/>
      <c r="C170" s="364">
        <v>15000</v>
      </c>
      <c r="D170" s="4" t="s">
        <v>1031</v>
      </c>
      <c r="E170" s="4" t="s">
        <v>1031</v>
      </c>
      <c r="F170" s="4" t="s">
        <v>1031</v>
      </c>
      <c r="G170" s="5" t="s">
        <v>945</v>
      </c>
      <c r="H170" s="5" t="str">
        <f>TEXT(Table3[[#This Row],[Value Date]],"mmmm")</f>
        <v>April</v>
      </c>
    </row>
    <row r="171" spans="1:8">
      <c r="A171" s="3">
        <f t="shared" si="4"/>
        <v>284983.57000000007</v>
      </c>
      <c r="B171" s="364"/>
      <c r="C171" s="364">
        <v>15000</v>
      </c>
      <c r="D171" s="4" t="s">
        <v>1031</v>
      </c>
      <c r="E171" s="4" t="s">
        <v>1031</v>
      </c>
      <c r="F171" s="4" t="s">
        <v>1031</v>
      </c>
      <c r="G171" s="5" t="s">
        <v>945</v>
      </c>
      <c r="H171" s="5" t="str">
        <f>TEXT(Table3[[#This Row],[Value Date]],"mmmm")</f>
        <v>April</v>
      </c>
    </row>
    <row r="172" spans="1:8">
      <c r="A172" s="3">
        <f t="shared" si="4"/>
        <v>402237.96000000008</v>
      </c>
      <c r="B172" s="364">
        <v>117254.39</v>
      </c>
      <c r="C172" s="364"/>
      <c r="D172" s="4" t="s">
        <v>1031</v>
      </c>
      <c r="E172" s="4" t="s">
        <v>1031</v>
      </c>
      <c r="F172" s="4" t="s">
        <v>1031</v>
      </c>
      <c r="G172" s="5" t="s">
        <v>947</v>
      </c>
      <c r="H172" s="5" t="str">
        <f>TEXT(Table3[[#This Row],[Value Date]],"mmmm")</f>
        <v>April</v>
      </c>
    </row>
    <row r="173" spans="1:8">
      <c r="A173" s="3">
        <f t="shared" si="4"/>
        <v>387237.96000000008</v>
      </c>
      <c r="B173" s="364"/>
      <c r="C173" s="364">
        <v>15000</v>
      </c>
      <c r="D173" s="4" t="s">
        <v>1039</v>
      </c>
      <c r="E173" s="4" t="s">
        <v>1039</v>
      </c>
      <c r="F173" s="4" t="s">
        <v>1039</v>
      </c>
      <c r="G173" s="5" t="s">
        <v>790</v>
      </c>
      <c r="H173" s="5" t="str">
        <f>TEXT(Table3[[#This Row],[Value Date]],"mmmm")</f>
        <v>April</v>
      </c>
    </row>
    <row r="174" spans="1:8">
      <c r="A174" s="3">
        <f t="shared" si="4"/>
        <v>372237.96000000008</v>
      </c>
      <c r="B174" s="364"/>
      <c r="C174" s="364">
        <v>15000</v>
      </c>
      <c r="D174" s="4" t="s">
        <v>1039</v>
      </c>
      <c r="E174" s="4" t="s">
        <v>1039</v>
      </c>
      <c r="F174" s="4" t="s">
        <v>1039</v>
      </c>
      <c r="G174" s="5" t="s">
        <v>790</v>
      </c>
      <c r="H174" s="5" t="str">
        <f>TEXT(Table3[[#This Row],[Value Date]],"mmmm")</f>
        <v>April</v>
      </c>
    </row>
    <row r="175" spans="1:8">
      <c r="A175" s="3">
        <f t="shared" si="4"/>
        <v>352237.96000000008</v>
      </c>
      <c r="B175" s="364"/>
      <c r="C175" s="364">
        <v>20000</v>
      </c>
      <c r="D175" s="4" t="s">
        <v>1040</v>
      </c>
      <c r="E175" s="4" t="s">
        <v>1040</v>
      </c>
      <c r="F175" s="4" t="s">
        <v>1040</v>
      </c>
      <c r="G175" s="5" t="s">
        <v>790</v>
      </c>
      <c r="H175" s="5" t="str">
        <f>TEXT(Table3[[#This Row],[Value Date]],"mmmm")</f>
        <v>April</v>
      </c>
    </row>
    <row r="176" spans="1:8">
      <c r="A176" s="3">
        <f t="shared" si="4"/>
        <v>152237.96000000008</v>
      </c>
      <c r="B176" s="364"/>
      <c r="C176" s="364">
        <v>200000</v>
      </c>
      <c r="D176" s="4" t="s">
        <v>1040</v>
      </c>
      <c r="E176" s="4" t="s">
        <v>1040</v>
      </c>
      <c r="F176" s="4" t="s">
        <v>1040</v>
      </c>
      <c r="G176" s="5" t="s">
        <v>1041</v>
      </c>
      <c r="H176" s="5" t="str">
        <f>TEXT(Table3[[#This Row],[Value Date]],"mmmm")</f>
        <v>April</v>
      </c>
    </row>
    <row r="177" spans="1:8">
      <c r="A177" s="3">
        <f t="shared" si="4"/>
        <v>150000.96000000008</v>
      </c>
      <c r="B177" s="364"/>
      <c r="C177" s="364">
        <v>2237</v>
      </c>
      <c r="D177" s="4" t="s">
        <v>1040</v>
      </c>
      <c r="E177" s="4" t="s">
        <v>1040</v>
      </c>
      <c r="F177" s="4" t="s">
        <v>1040</v>
      </c>
      <c r="G177" s="5" t="s">
        <v>1042</v>
      </c>
      <c r="H177" s="5" t="str">
        <f>TEXT(Table3[[#This Row],[Value Date]],"mmmm")</f>
        <v>April</v>
      </c>
    </row>
    <row r="178" spans="1:8">
      <c r="A178" s="3">
        <f t="shared" si="4"/>
        <v>268348.30000000005</v>
      </c>
      <c r="B178" s="364">
        <v>118347.34</v>
      </c>
      <c r="C178" s="364"/>
      <c r="D178" s="4" t="s">
        <v>1043</v>
      </c>
      <c r="E178" s="4" t="s">
        <v>1043</v>
      </c>
      <c r="F178" s="4" t="s">
        <v>1043</v>
      </c>
      <c r="G178" s="5" t="s">
        <v>1044</v>
      </c>
      <c r="H178" s="5" t="str">
        <f>TEXT(Table3[[#This Row],[Value Date]],"mmmm")</f>
        <v>April</v>
      </c>
    </row>
    <row r="179" spans="1:8">
      <c r="A179" s="3">
        <f t="shared" si="4"/>
        <v>253348.30000000005</v>
      </c>
      <c r="B179" s="364"/>
      <c r="C179" s="364">
        <v>15000</v>
      </c>
      <c r="D179" s="4" t="s">
        <v>1043</v>
      </c>
      <c r="E179" s="4" t="s">
        <v>1043</v>
      </c>
      <c r="F179" s="4" t="s">
        <v>1043</v>
      </c>
      <c r="G179" s="5" t="s">
        <v>315</v>
      </c>
      <c r="H179" s="5" t="str">
        <f>TEXT(Table3[[#This Row],[Value Date]],"mmmm")</f>
        <v>April</v>
      </c>
    </row>
    <row r="180" spans="1:8">
      <c r="A180" s="3">
        <f t="shared" si="4"/>
        <v>238348.30000000005</v>
      </c>
      <c r="B180" s="364"/>
      <c r="C180" s="364">
        <v>15000</v>
      </c>
      <c r="D180" s="4" t="s">
        <v>1043</v>
      </c>
      <c r="E180" s="4" t="s">
        <v>1043</v>
      </c>
      <c r="F180" s="4" t="s">
        <v>1043</v>
      </c>
      <c r="G180" s="5" t="s">
        <v>315</v>
      </c>
      <c r="H180" s="5" t="str">
        <f>TEXT(Table3[[#This Row],[Value Date]],"mmmm")</f>
        <v>April</v>
      </c>
    </row>
    <row r="181" spans="1:8">
      <c r="A181" s="3">
        <f t="shared" si="4"/>
        <v>223348.30000000005</v>
      </c>
      <c r="B181" s="364"/>
      <c r="C181" s="364">
        <v>15000</v>
      </c>
      <c r="D181" s="4" t="s">
        <v>1051</v>
      </c>
      <c r="E181" s="4" t="s">
        <v>1051</v>
      </c>
      <c r="F181" s="4" t="s">
        <v>1051</v>
      </c>
      <c r="G181" s="5" t="s">
        <v>697</v>
      </c>
      <c r="H181" s="5" t="str">
        <f>TEXT(Table3[[#This Row],[Value Date]],"mmmm")</f>
        <v>April</v>
      </c>
    </row>
    <row r="182" spans="1:8">
      <c r="A182" s="3">
        <f t="shared" si="4"/>
        <v>208348.30000000005</v>
      </c>
      <c r="B182" s="364"/>
      <c r="C182" s="364">
        <v>15000</v>
      </c>
      <c r="D182" s="4" t="s">
        <v>1051</v>
      </c>
      <c r="E182" s="4" t="s">
        <v>1051</v>
      </c>
      <c r="F182" s="4" t="s">
        <v>1051</v>
      </c>
      <c r="G182" s="5" t="s">
        <v>697</v>
      </c>
      <c r="H182" s="5" t="str">
        <f>TEXT(Table3[[#This Row],[Value Date]],"mmmm")</f>
        <v>April</v>
      </c>
    </row>
    <row r="183" spans="1:8">
      <c r="A183" s="3">
        <f t="shared" si="4"/>
        <v>331882.66000000003</v>
      </c>
      <c r="B183" s="364">
        <v>123534.36</v>
      </c>
      <c r="C183" s="364"/>
      <c r="D183" s="4" t="s">
        <v>1051</v>
      </c>
      <c r="E183" s="4" t="s">
        <v>1051</v>
      </c>
      <c r="F183" s="4" t="s">
        <v>1051</v>
      </c>
      <c r="G183" s="5" t="s">
        <v>1052</v>
      </c>
      <c r="H183" s="5" t="str">
        <f>TEXT(Table3[[#This Row],[Value Date]],"mmmm")</f>
        <v>April</v>
      </c>
    </row>
    <row r="184" spans="1:8">
      <c r="A184" s="3">
        <f t="shared" si="4"/>
        <v>372052.99000000005</v>
      </c>
      <c r="B184" s="364">
        <v>40170.33</v>
      </c>
      <c r="C184" s="364"/>
      <c r="D184" s="4" t="s">
        <v>1051</v>
      </c>
      <c r="E184" s="4" t="s">
        <v>1051</v>
      </c>
      <c r="F184" s="4" t="s">
        <v>1051</v>
      </c>
      <c r="G184" s="5" t="s">
        <v>1053</v>
      </c>
      <c r="H184" s="5" t="str">
        <f>TEXT(Table3[[#This Row],[Value Date]],"mmmm")</f>
        <v>April</v>
      </c>
    </row>
    <row r="185" spans="1:8">
      <c r="A185" s="3">
        <f t="shared" si="4"/>
        <v>212052.99000000005</v>
      </c>
      <c r="B185" s="364"/>
      <c r="C185" s="364">
        <v>160000</v>
      </c>
      <c r="D185" s="4" t="s">
        <v>1055</v>
      </c>
      <c r="E185" s="4" t="s">
        <v>1055</v>
      </c>
      <c r="F185" s="4" t="s">
        <v>1055</v>
      </c>
      <c r="G185" s="5" t="s">
        <v>735</v>
      </c>
      <c r="H185" s="5" t="str">
        <f>TEXT(Table3[[#This Row],[Value Date]],"mmmm")</f>
        <v>April</v>
      </c>
    </row>
    <row r="186" spans="1:8">
      <c r="A186" s="3">
        <f t="shared" si="4"/>
        <v>280133.44000000006</v>
      </c>
      <c r="B186" s="364">
        <v>68080.45</v>
      </c>
      <c r="C186" s="364"/>
      <c r="D186" s="4" t="s">
        <v>1055</v>
      </c>
      <c r="E186" s="4" t="s">
        <v>1055</v>
      </c>
      <c r="F186" s="4" t="s">
        <v>1055</v>
      </c>
      <c r="G186" s="5" t="s">
        <v>1056</v>
      </c>
      <c r="H186" s="5" t="str">
        <f>TEXT(Table3[[#This Row],[Value Date]],"mmmm")</f>
        <v>April</v>
      </c>
    </row>
    <row r="187" spans="1:8" ht="45">
      <c r="A187" s="3">
        <f t="shared" si="4"/>
        <v>290131.74000000005</v>
      </c>
      <c r="B187" s="364">
        <v>9998.2999999999993</v>
      </c>
      <c r="C187" s="364"/>
      <c r="D187" s="4" t="s">
        <v>1057</v>
      </c>
      <c r="E187" s="4" t="s">
        <v>1057</v>
      </c>
      <c r="F187" s="4" t="s">
        <v>1057</v>
      </c>
      <c r="G187" s="5" t="s">
        <v>1058</v>
      </c>
      <c r="H187" s="5" t="str">
        <f>TEXT(Table3[[#This Row],[Value Date]],"mmmm")</f>
        <v>April</v>
      </c>
    </row>
    <row r="188" spans="1:8">
      <c r="A188" s="3">
        <f t="shared" si="4"/>
        <v>265131.74000000005</v>
      </c>
      <c r="B188" s="364"/>
      <c r="C188" s="364">
        <v>25000</v>
      </c>
      <c r="D188" s="4" t="s">
        <v>1057</v>
      </c>
      <c r="E188" s="4" t="s">
        <v>1057</v>
      </c>
      <c r="F188" s="4" t="s">
        <v>1057</v>
      </c>
      <c r="G188" s="5" t="s">
        <v>790</v>
      </c>
      <c r="H188" s="5" t="str">
        <f>TEXT(Table3[[#This Row],[Value Date]],"mmmm")</f>
        <v>April</v>
      </c>
    </row>
    <row r="189" spans="1:8">
      <c r="A189" s="3">
        <f t="shared" si="4"/>
        <v>13476.380000000063</v>
      </c>
      <c r="B189" s="364"/>
      <c r="C189" s="364">
        <v>251655.36</v>
      </c>
      <c r="D189" s="4" t="s">
        <v>1057</v>
      </c>
      <c r="E189" s="4" t="s">
        <v>1057</v>
      </c>
      <c r="F189" s="4" t="s">
        <v>1057</v>
      </c>
      <c r="G189" s="5" t="s">
        <v>1059</v>
      </c>
      <c r="H189" s="5" t="str">
        <f>TEXT(Table3[[#This Row],[Value Date]],"mmmm")</f>
        <v>April</v>
      </c>
    </row>
    <row r="190" spans="1:8">
      <c r="A190" s="3">
        <f t="shared" si="4"/>
        <v>13176.380000000063</v>
      </c>
      <c r="B190" s="364"/>
      <c r="C190" s="364">
        <v>300</v>
      </c>
      <c r="D190" s="4" t="s">
        <v>1057</v>
      </c>
      <c r="E190" s="4" t="s">
        <v>1057</v>
      </c>
      <c r="F190" s="4" t="s">
        <v>1057</v>
      </c>
      <c r="G190" s="5" t="s">
        <v>1060</v>
      </c>
      <c r="H190" s="5" t="str">
        <f>TEXT(Table3[[#This Row],[Value Date]],"mmmm")</f>
        <v>April</v>
      </c>
    </row>
    <row r="191" spans="1:8">
      <c r="A191" s="3">
        <f t="shared" si="4"/>
        <v>3176.3800000000629</v>
      </c>
      <c r="B191" s="364"/>
      <c r="C191" s="364">
        <v>10000</v>
      </c>
      <c r="D191" s="4" t="s">
        <v>1057</v>
      </c>
      <c r="E191" s="4" t="s">
        <v>1057</v>
      </c>
      <c r="F191" s="4" t="s">
        <v>1057</v>
      </c>
      <c r="G191" s="5" t="s">
        <v>1061</v>
      </c>
      <c r="H191" s="5" t="str">
        <f>TEXT(Table3[[#This Row],[Value Date]],"mmmm")</f>
        <v>April</v>
      </c>
    </row>
    <row r="192" spans="1:8">
      <c r="A192" s="3">
        <f t="shared" si="4"/>
        <v>75392.320000000065</v>
      </c>
      <c r="B192" s="364">
        <v>72215.94</v>
      </c>
      <c r="C192" s="364"/>
      <c r="D192" s="4" t="s">
        <v>1062</v>
      </c>
      <c r="E192" s="4" t="s">
        <v>1062</v>
      </c>
      <c r="F192" s="4" t="s">
        <v>1062</v>
      </c>
      <c r="G192" s="5" t="s">
        <v>1013</v>
      </c>
      <c r="H192" s="5" t="str">
        <f>TEXT(Table3[[#This Row],[Value Date]],"mmmm")</f>
        <v>May</v>
      </c>
    </row>
    <row r="193" spans="1:8">
      <c r="A193" s="3">
        <f t="shared" si="4"/>
        <v>362882.32000000007</v>
      </c>
      <c r="B193" s="364">
        <v>287490</v>
      </c>
      <c r="C193" s="364"/>
      <c r="D193" s="4" t="s">
        <v>1062</v>
      </c>
      <c r="E193" s="4" t="s">
        <v>1062</v>
      </c>
      <c r="F193" s="4" t="s">
        <v>1062</v>
      </c>
      <c r="G193" s="5" t="s">
        <v>1013</v>
      </c>
      <c r="H193" s="5" t="str">
        <f>TEXT(Table3[[#This Row],[Value Date]],"mmmm")</f>
        <v>May</v>
      </c>
    </row>
    <row r="194" spans="1:8">
      <c r="A194" s="3">
        <f t="shared" si="4"/>
        <v>347882.32000000007</v>
      </c>
      <c r="B194" s="364"/>
      <c r="C194" s="364">
        <v>15000</v>
      </c>
      <c r="D194" s="4" t="s">
        <v>1064</v>
      </c>
      <c r="E194" s="4" t="s">
        <v>1064</v>
      </c>
      <c r="F194" s="4" t="s">
        <v>1064</v>
      </c>
      <c r="G194" s="5" t="s">
        <v>315</v>
      </c>
      <c r="H194" s="5" t="str">
        <f>TEXT(Table3[[#This Row],[Value Date]],"mmmm")</f>
        <v>May</v>
      </c>
    </row>
    <row r="195" spans="1:8">
      <c r="A195" s="3">
        <f t="shared" si="4"/>
        <v>332882.32000000007</v>
      </c>
      <c r="B195" s="364"/>
      <c r="C195" s="364">
        <v>15000</v>
      </c>
      <c r="D195" s="4" t="s">
        <v>1064</v>
      </c>
      <c r="E195" s="4" t="s">
        <v>1064</v>
      </c>
      <c r="F195" s="4" t="s">
        <v>1064</v>
      </c>
      <c r="G195" s="5" t="s">
        <v>315</v>
      </c>
      <c r="H195" s="5" t="str">
        <f>TEXT(Table3[[#This Row],[Value Date]],"mmmm")</f>
        <v>May</v>
      </c>
    </row>
    <row r="196" spans="1:8">
      <c r="A196" s="3">
        <f t="shared" si="4"/>
        <v>317882.32000000007</v>
      </c>
      <c r="B196" s="364"/>
      <c r="C196" s="364">
        <v>15000</v>
      </c>
      <c r="D196" s="4" t="s">
        <v>1067</v>
      </c>
      <c r="E196" s="4" t="s">
        <v>1067</v>
      </c>
      <c r="F196" s="4" t="s">
        <v>1067</v>
      </c>
      <c r="G196" s="5" t="s">
        <v>315</v>
      </c>
      <c r="H196" s="5" t="str">
        <f>TEXT(Table3[[#This Row],[Value Date]],"mmmm")</f>
        <v>May</v>
      </c>
    </row>
    <row r="197" spans="1:8">
      <c r="A197" s="3">
        <f t="shared" si="4"/>
        <v>302882.32000000007</v>
      </c>
      <c r="B197" s="364"/>
      <c r="C197" s="364">
        <v>15000</v>
      </c>
      <c r="D197" s="4" t="s">
        <v>1067</v>
      </c>
      <c r="E197" s="4" t="s">
        <v>1067</v>
      </c>
      <c r="F197" s="4" t="s">
        <v>1067</v>
      </c>
      <c r="G197" s="5" t="s">
        <v>315</v>
      </c>
      <c r="H197" s="5" t="str">
        <f>TEXT(Table3[[#This Row],[Value Date]],"mmmm")</f>
        <v>May</v>
      </c>
    </row>
    <row r="198" spans="1:8">
      <c r="A198" s="3">
        <f t="shared" si="4"/>
        <v>287882.32000000007</v>
      </c>
      <c r="B198" s="364"/>
      <c r="C198" s="364">
        <v>15000</v>
      </c>
      <c r="D198" s="4" t="s">
        <v>1068</v>
      </c>
      <c r="E198" s="4" t="s">
        <v>1068</v>
      </c>
      <c r="F198" s="4" t="s">
        <v>1068</v>
      </c>
      <c r="G198" s="5" t="s">
        <v>315</v>
      </c>
      <c r="H198" s="5" t="str">
        <f>TEXT(Table3[[#This Row],[Value Date]],"mmmm")</f>
        <v>May</v>
      </c>
    </row>
    <row r="199" spans="1:8">
      <c r="A199" s="3">
        <f t="shared" si="4"/>
        <v>272882.32000000007</v>
      </c>
      <c r="B199" s="364"/>
      <c r="C199" s="364">
        <v>15000</v>
      </c>
      <c r="D199" s="4" t="s">
        <v>1068</v>
      </c>
      <c r="E199" s="4" t="s">
        <v>1068</v>
      </c>
      <c r="F199" s="4" t="s">
        <v>1068</v>
      </c>
      <c r="G199" s="5" t="s">
        <v>315</v>
      </c>
      <c r="H199" s="5" t="str">
        <f>TEXT(Table3[[#This Row],[Value Date]],"mmmm")</f>
        <v>May</v>
      </c>
    </row>
    <row r="200" spans="1:8">
      <c r="A200" s="3">
        <f t="shared" si="4"/>
        <v>242882.32000000007</v>
      </c>
      <c r="B200" s="364"/>
      <c r="C200" s="364">
        <v>30000</v>
      </c>
      <c r="D200" s="4" t="s">
        <v>1069</v>
      </c>
      <c r="E200" s="4" t="s">
        <v>1069</v>
      </c>
      <c r="F200" s="4" t="s">
        <v>1070</v>
      </c>
      <c r="G200" s="5" t="s">
        <v>404</v>
      </c>
      <c r="H200" s="5" t="str">
        <f>TEXT(Table3[[#This Row],[Value Date]],"mmmm")</f>
        <v>May</v>
      </c>
    </row>
    <row r="201" spans="1:8">
      <c r="A201" s="3">
        <f t="shared" si="4"/>
        <v>227882.32000000007</v>
      </c>
      <c r="B201" s="364"/>
      <c r="C201" s="364">
        <v>15000</v>
      </c>
      <c r="D201" s="4" t="s">
        <v>1069</v>
      </c>
      <c r="E201" s="4" t="s">
        <v>1069</v>
      </c>
      <c r="F201" s="4" t="s">
        <v>1070</v>
      </c>
      <c r="G201" s="5" t="s">
        <v>353</v>
      </c>
      <c r="H201" s="5" t="str">
        <f>TEXT(Table3[[#This Row],[Value Date]],"mmmm")</f>
        <v>May</v>
      </c>
    </row>
    <row r="202" spans="1:8">
      <c r="A202" s="3">
        <f t="shared" si="4"/>
        <v>212882.32000000007</v>
      </c>
      <c r="B202" s="364"/>
      <c r="C202" s="364">
        <v>15000</v>
      </c>
      <c r="D202" s="4" t="s">
        <v>1069</v>
      </c>
      <c r="E202" s="4" t="s">
        <v>1069</v>
      </c>
      <c r="F202" s="4" t="s">
        <v>1070</v>
      </c>
      <c r="G202" s="5" t="s">
        <v>353</v>
      </c>
      <c r="H202" s="5" t="str">
        <f>TEXT(Table3[[#This Row],[Value Date]],"mmmm")</f>
        <v>May</v>
      </c>
    </row>
    <row r="203" spans="1:8">
      <c r="A203" s="3">
        <f t="shared" si="4"/>
        <v>227882.32000000007</v>
      </c>
      <c r="B203" s="364">
        <v>15000</v>
      </c>
      <c r="C203" s="364"/>
      <c r="D203" s="4" t="s">
        <v>1069</v>
      </c>
      <c r="E203" s="4" t="s">
        <v>1069</v>
      </c>
      <c r="F203" s="4" t="s">
        <v>1070</v>
      </c>
      <c r="G203" s="5" t="s">
        <v>353</v>
      </c>
      <c r="H203" s="5" t="str">
        <f>TEXT(Table3[[#This Row],[Value Date]],"mmmm")</f>
        <v>May</v>
      </c>
    </row>
    <row r="204" spans="1:8">
      <c r="A204" s="3">
        <f t="shared" si="4"/>
        <v>212882.32000000007</v>
      </c>
      <c r="B204" s="364"/>
      <c r="C204" s="364">
        <v>15000</v>
      </c>
      <c r="D204" s="4" t="s">
        <v>1069</v>
      </c>
      <c r="E204" s="4" t="s">
        <v>1069</v>
      </c>
      <c r="F204" s="4" t="s">
        <v>1070</v>
      </c>
      <c r="G204" s="5" t="s">
        <v>353</v>
      </c>
      <c r="H204" s="5" t="str">
        <f>TEXT(Table3[[#This Row],[Value Date]],"mmmm")</f>
        <v>May</v>
      </c>
    </row>
    <row r="205" spans="1:8">
      <c r="A205" s="3">
        <f t="shared" si="4"/>
        <v>227882.32000000007</v>
      </c>
      <c r="B205" s="364">
        <v>15000</v>
      </c>
      <c r="C205" s="364"/>
      <c r="D205" s="4" t="s">
        <v>1069</v>
      </c>
      <c r="E205" s="4" t="s">
        <v>1069</v>
      </c>
      <c r="F205" s="4" t="s">
        <v>1070</v>
      </c>
      <c r="G205" s="5" t="s">
        <v>353</v>
      </c>
      <c r="H205" s="5" t="str">
        <f>TEXT(Table3[[#This Row],[Value Date]],"mmmm")</f>
        <v>May</v>
      </c>
    </row>
    <row r="206" spans="1:8">
      <c r="A206" s="3">
        <f t="shared" si="4"/>
        <v>219882.32000000007</v>
      </c>
      <c r="B206" s="364"/>
      <c r="C206" s="364">
        <v>8000</v>
      </c>
      <c r="D206" s="4" t="s">
        <v>1069</v>
      </c>
      <c r="E206" s="4" t="s">
        <v>1069</v>
      </c>
      <c r="F206" s="4" t="s">
        <v>1070</v>
      </c>
      <c r="G206" s="5" t="s">
        <v>315</v>
      </c>
      <c r="H206" s="5" t="str">
        <f>TEXT(Table3[[#This Row],[Value Date]],"mmmm")</f>
        <v>May</v>
      </c>
    </row>
    <row r="207" spans="1:8">
      <c r="A207" s="3">
        <f t="shared" si="4"/>
        <v>212882.32000000007</v>
      </c>
      <c r="B207" s="364"/>
      <c r="C207" s="364">
        <v>7000</v>
      </c>
      <c r="D207" s="4" t="s">
        <v>1069</v>
      </c>
      <c r="E207" s="4" t="s">
        <v>1069</v>
      </c>
      <c r="F207" s="4" t="s">
        <v>1070</v>
      </c>
      <c r="G207" s="5" t="s">
        <v>315</v>
      </c>
      <c r="H207" s="5" t="str">
        <f>TEXT(Table3[[#This Row],[Value Date]],"mmmm")</f>
        <v>May</v>
      </c>
    </row>
    <row r="208" spans="1:8">
      <c r="A208" s="3">
        <f t="shared" si="4"/>
        <v>341467.35000000009</v>
      </c>
      <c r="B208" s="364">
        <v>128585.03</v>
      </c>
      <c r="C208" s="364"/>
      <c r="D208" s="4" t="s">
        <v>1069</v>
      </c>
      <c r="E208" s="4" t="s">
        <v>1069</v>
      </c>
      <c r="F208" s="4" t="s">
        <v>1069</v>
      </c>
      <c r="G208" s="5" t="s">
        <v>1071</v>
      </c>
      <c r="H208" s="5" t="str">
        <f>TEXT(Table3[[#This Row],[Value Date]],"mmmm")</f>
        <v>May</v>
      </c>
    </row>
    <row r="209" spans="1:8">
      <c r="A209" s="3">
        <f t="shared" si="4"/>
        <v>326467.35000000009</v>
      </c>
      <c r="B209" s="364"/>
      <c r="C209" s="364">
        <v>15000</v>
      </c>
      <c r="D209" s="4" t="s">
        <v>1072</v>
      </c>
      <c r="E209" s="4" t="s">
        <v>1072</v>
      </c>
      <c r="F209" s="4" t="s">
        <v>1072</v>
      </c>
      <c r="G209" s="5" t="s">
        <v>945</v>
      </c>
      <c r="H209" s="5" t="str">
        <f>TEXT(Table3[[#This Row],[Value Date]],"mmmm")</f>
        <v>May</v>
      </c>
    </row>
    <row r="210" spans="1:8">
      <c r="A210" s="3">
        <f t="shared" si="4"/>
        <v>311467.35000000009</v>
      </c>
      <c r="B210" s="364"/>
      <c r="C210" s="364">
        <v>15000</v>
      </c>
      <c r="D210" s="4" t="s">
        <v>1072</v>
      </c>
      <c r="E210" s="4" t="s">
        <v>1072</v>
      </c>
      <c r="F210" s="4" t="s">
        <v>1072</v>
      </c>
      <c r="G210" s="5" t="s">
        <v>945</v>
      </c>
      <c r="H210" s="5" t="str">
        <f>TEXT(Table3[[#This Row],[Value Date]],"mmmm")</f>
        <v>May</v>
      </c>
    </row>
    <row r="211" spans="1:8">
      <c r="A211" s="3">
        <f t="shared" si="4"/>
        <v>296467.35000000009</v>
      </c>
      <c r="B211" s="364"/>
      <c r="C211" s="364">
        <v>15000</v>
      </c>
      <c r="D211" s="4" t="s">
        <v>1073</v>
      </c>
      <c r="E211" s="4" t="s">
        <v>1073</v>
      </c>
      <c r="F211" s="4" t="s">
        <v>1073</v>
      </c>
      <c r="G211" s="5" t="s">
        <v>945</v>
      </c>
      <c r="H211" s="5" t="str">
        <f>TEXT(Table3[[#This Row],[Value Date]],"mmmm")</f>
        <v>May</v>
      </c>
    </row>
    <row r="212" spans="1:8">
      <c r="A212" s="3">
        <f t="shared" si="4"/>
        <v>281467.35000000009</v>
      </c>
      <c r="B212" s="364"/>
      <c r="C212" s="364">
        <v>15000</v>
      </c>
      <c r="D212" s="4" t="s">
        <v>1073</v>
      </c>
      <c r="E212" s="4" t="s">
        <v>1073</v>
      </c>
      <c r="F212" s="4" t="s">
        <v>1073</v>
      </c>
      <c r="G212" s="5" t="s">
        <v>945</v>
      </c>
      <c r="H212" s="5" t="str">
        <f>TEXT(Table3[[#This Row],[Value Date]],"mmmm")</f>
        <v>May</v>
      </c>
    </row>
    <row r="213" spans="1:8">
      <c r="A213" s="3">
        <f t="shared" si="4"/>
        <v>251467.35000000009</v>
      </c>
      <c r="B213" s="364"/>
      <c r="C213" s="364">
        <v>30000</v>
      </c>
      <c r="D213" s="4" t="s">
        <v>1074</v>
      </c>
      <c r="E213" s="4" t="s">
        <v>1073</v>
      </c>
      <c r="F213" s="4" t="s">
        <v>1073</v>
      </c>
      <c r="G213" s="5" t="s">
        <v>1075</v>
      </c>
      <c r="H213" s="5" t="str">
        <f>TEXT(Table3[[#This Row],[Value Date]],"mmmm")</f>
        <v>May</v>
      </c>
    </row>
    <row r="214" spans="1:8">
      <c r="A214" s="3">
        <f t="shared" si="4"/>
        <v>236467.35000000009</v>
      </c>
      <c r="B214" s="364"/>
      <c r="C214" s="364">
        <v>15000</v>
      </c>
      <c r="D214" s="4" t="s">
        <v>1074</v>
      </c>
      <c r="E214" s="4" t="s">
        <v>1073</v>
      </c>
      <c r="F214" s="4" t="s">
        <v>1073</v>
      </c>
      <c r="G214" s="5" t="s">
        <v>353</v>
      </c>
      <c r="H214" s="5" t="str">
        <f>TEXT(Table3[[#This Row],[Value Date]],"mmmm")</f>
        <v>May</v>
      </c>
    </row>
    <row r="215" spans="1:8">
      <c r="A215" s="3">
        <f t="shared" si="4"/>
        <v>251467.35000000009</v>
      </c>
      <c r="B215" s="364">
        <v>15000</v>
      </c>
      <c r="C215" s="364"/>
      <c r="D215" s="4" t="s">
        <v>1074</v>
      </c>
      <c r="E215" s="4" t="s">
        <v>1073</v>
      </c>
      <c r="F215" s="4" t="s">
        <v>1073</v>
      </c>
      <c r="G215" s="5" t="s">
        <v>353</v>
      </c>
      <c r="H215" s="5" t="str">
        <f>TEXT(Table3[[#This Row],[Value Date]],"mmmm")</f>
        <v>May</v>
      </c>
    </row>
    <row r="216" spans="1:8">
      <c r="A216" s="3">
        <f t="shared" si="4"/>
        <v>236467.35000000009</v>
      </c>
      <c r="B216" s="364"/>
      <c r="C216" s="364">
        <v>15000</v>
      </c>
      <c r="D216" s="4" t="s">
        <v>1074</v>
      </c>
      <c r="E216" s="4" t="s">
        <v>1074</v>
      </c>
      <c r="F216" s="4" t="s">
        <v>1074</v>
      </c>
      <c r="G216" s="5" t="s">
        <v>945</v>
      </c>
      <c r="H216" s="5" t="str">
        <f>TEXT(Table3[[#This Row],[Value Date]],"mmmm")</f>
        <v>May</v>
      </c>
    </row>
    <row r="217" spans="1:8">
      <c r="A217" s="3">
        <f t="shared" si="4"/>
        <v>221467.35000000009</v>
      </c>
      <c r="B217" s="364"/>
      <c r="C217" s="364">
        <v>15000</v>
      </c>
      <c r="D217" s="4" t="s">
        <v>1074</v>
      </c>
      <c r="E217" s="4" t="s">
        <v>1074</v>
      </c>
      <c r="F217" s="4" t="s">
        <v>1074</v>
      </c>
      <c r="G217" s="5" t="s">
        <v>945</v>
      </c>
      <c r="H217" s="5" t="str">
        <f>TEXT(Table3[[#This Row],[Value Date]],"mmmm")</f>
        <v>May</v>
      </c>
    </row>
    <row r="218" spans="1:8">
      <c r="A218" s="3">
        <f t="shared" si="4"/>
        <v>351558.81000000011</v>
      </c>
      <c r="B218" s="364">
        <v>130091.46</v>
      </c>
      <c r="C218" s="364"/>
      <c r="D218" s="4" t="s">
        <v>1076</v>
      </c>
      <c r="E218" s="4" t="s">
        <v>1076</v>
      </c>
      <c r="F218" s="4" t="s">
        <v>1076</v>
      </c>
      <c r="G218" s="5" t="s">
        <v>1077</v>
      </c>
      <c r="H218" s="5" t="str">
        <f>TEXT(Table3[[#This Row],[Value Date]],"mmmm")</f>
        <v>May</v>
      </c>
    </row>
    <row r="219" spans="1:8">
      <c r="A219" s="3">
        <f t="shared" si="4"/>
        <v>336558.81000000011</v>
      </c>
      <c r="B219" s="364"/>
      <c r="C219" s="364">
        <v>15000</v>
      </c>
      <c r="D219" s="4" t="s">
        <v>1082</v>
      </c>
      <c r="E219" s="4" t="s">
        <v>1082</v>
      </c>
      <c r="F219" s="4" t="s">
        <v>1083</v>
      </c>
      <c r="G219" s="5" t="s">
        <v>353</v>
      </c>
      <c r="H219" s="5" t="str">
        <f>TEXT(Table3[[#This Row],[Value Date]],"mmmm")</f>
        <v>May</v>
      </c>
    </row>
    <row r="220" spans="1:8">
      <c r="A220" s="3">
        <f t="shared" si="4"/>
        <v>321558.81000000011</v>
      </c>
      <c r="B220" s="364"/>
      <c r="C220" s="364">
        <v>15000</v>
      </c>
      <c r="D220" s="4" t="s">
        <v>1082</v>
      </c>
      <c r="E220" s="4" t="s">
        <v>1082</v>
      </c>
      <c r="F220" s="4" t="s">
        <v>1083</v>
      </c>
      <c r="G220" s="5" t="s">
        <v>353</v>
      </c>
      <c r="H220" s="5" t="str">
        <f>TEXT(Table3[[#This Row],[Value Date]],"mmmm")</f>
        <v>May</v>
      </c>
    </row>
    <row r="221" spans="1:8">
      <c r="A221" s="3">
        <f t="shared" si="4"/>
        <v>306558.81000000011</v>
      </c>
      <c r="B221" s="364"/>
      <c r="C221" s="364">
        <v>15000</v>
      </c>
      <c r="D221" s="4" t="s">
        <v>1084</v>
      </c>
      <c r="E221" s="4" t="s">
        <v>1082</v>
      </c>
      <c r="F221" s="4" t="s">
        <v>1082</v>
      </c>
      <c r="G221" s="5" t="s">
        <v>353</v>
      </c>
      <c r="H221" s="5" t="str">
        <f>TEXT(Table3[[#This Row],[Value Date]],"mmmm")</f>
        <v>May</v>
      </c>
    </row>
    <row r="222" spans="1:8">
      <c r="A222" s="3">
        <f t="shared" si="4"/>
        <v>291558.81000000011</v>
      </c>
      <c r="B222" s="364"/>
      <c r="C222" s="364">
        <v>15000</v>
      </c>
      <c r="D222" s="4" t="s">
        <v>1084</v>
      </c>
      <c r="E222" s="4" t="s">
        <v>1082</v>
      </c>
      <c r="F222" s="4" t="s">
        <v>1082</v>
      </c>
      <c r="G222" s="5" t="s">
        <v>353</v>
      </c>
      <c r="H222" s="5" t="str">
        <f>TEXT(Table3[[#This Row],[Value Date]],"mmmm")</f>
        <v>May</v>
      </c>
    </row>
    <row r="223" spans="1:8">
      <c r="A223" s="3">
        <f t="shared" si="4"/>
        <v>458936.66000000015</v>
      </c>
      <c r="B223" s="364">
        <v>167377.85</v>
      </c>
      <c r="C223" s="364"/>
      <c r="D223" s="4" t="s">
        <v>1084</v>
      </c>
      <c r="E223" s="4" t="s">
        <v>1084</v>
      </c>
      <c r="F223" s="4" t="s">
        <v>1084</v>
      </c>
      <c r="G223" s="5" t="s">
        <v>969</v>
      </c>
      <c r="H223" s="5" t="str">
        <f>TEXT(Table3[[#This Row],[Value Date]],"mmmm")</f>
        <v>May</v>
      </c>
    </row>
    <row r="224" spans="1:8">
      <c r="A224" s="3">
        <f t="shared" si="4"/>
        <v>533470.99000000011</v>
      </c>
      <c r="B224" s="364">
        <v>74534.33</v>
      </c>
      <c r="C224" s="364"/>
      <c r="D224" s="4" t="s">
        <v>1085</v>
      </c>
      <c r="E224" s="4" t="s">
        <v>1085</v>
      </c>
      <c r="F224" s="4" t="s">
        <v>1085</v>
      </c>
      <c r="G224" s="5" t="s">
        <v>1086</v>
      </c>
      <c r="H224" s="5" t="str">
        <f>TEXT(Table3[[#This Row],[Value Date]],"mmmm")</f>
        <v>May</v>
      </c>
    </row>
    <row r="225" spans="1:8">
      <c r="A225" s="3">
        <f t="shared" si="4"/>
        <v>559245.19000000006</v>
      </c>
      <c r="B225" s="364">
        <v>25774.2</v>
      </c>
      <c r="C225" s="364"/>
      <c r="D225" s="4" t="s">
        <v>1085</v>
      </c>
      <c r="E225" s="4" t="s">
        <v>1085</v>
      </c>
      <c r="F225" s="4" t="s">
        <v>1085</v>
      </c>
      <c r="G225" s="5" t="s">
        <v>1087</v>
      </c>
      <c r="H225" s="5" t="str">
        <f>TEXT(Table3[[#This Row],[Value Date]],"mmmm")</f>
        <v>May</v>
      </c>
    </row>
    <row r="226" spans="1:8">
      <c r="A226" s="3">
        <f t="shared" si="4"/>
        <v>601256.29</v>
      </c>
      <c r="B226" s="364">
        <v>42011.1</v>
      </c>
      <c r="C226" s="364"/>
      <c r="D226" s="4" t="s">
        <v>1085</v>
      </c>
      <c r="E226" s="4" t="s">
        <v>1085</v>
      </c>
      <c r="F226" s="4" t="s">
        <v>1085</v>
      </c>
      <c r="G226" s="5" t="s">
        <v>1088</v>
      </c>
      <c r="H226" s="5" t="str">
        <f>TEXT(Table3[[#This Row],[Value Date]],"mmmm")</f>
        <v>May</v>
      </c>
    </row>
    <row r="227" spans="1:8">
      <c r="A227" s="3">
        <f t="shared" si="4"/>
        <v>586256.29</v>
      </c>
      <c r="B227" s="364"/>
      <c r="C227" s="364">
        <v>15000</v>
      </c>
      <c r="D227" s="4" t="s">
        <v>1089</v>
      </c>
      <c r="E227" s="4" t="s">
        <v>1089</v>
      </c>
      <c r="F227" s="4" t="s">
        <v>1089</v>
      </c>
      <c r="G227" s="5" t="s">
        <v>945</v>
      </c>
      <c r="H227" s="5" t="str">
        <f>TEXT(Table3[[#This Row],[Value Date]],"mmmm")</f>
        <v>May</v>
      </c>
    </row>
    <row r="228" spans="1:8">
      <c r="A228" s="3">
        <f t="shared" ref="A228:A291" si="5">A227+B228-C228</f>
        <v>571256.29</v>
      </c>
      <c r="B228" s="364"/>
      <c r="C228" s="364">
        <v>15000</v>
      </c>
      <c r="D228" s="4" t="s">
        <v>1089</v>
      </c>
      <c r="E228" s="4" t="s">
        <v>1089</v>
      </c>
      <c r="F228" s="4" t="s">
        <v>1089</v>
      </c>
      <c r="G228" s="5" t="s">
        <v>945</v>
      </c>
      <c r="H228" s="5" t="str">
        <f>TEXT(Table3[[#This Row],[Value Date]],"mmmm")</f>
        <v>May</v>
      </c>
    </row>
    <row r="229" spans="1:8">
      <c r="A229" s="3">
        <f t="shared" si="5"/>
        <v>461256.29000000004</v>
      </c>
      <c r="B229" s="364"/>
      <c r="C229" s="364">
        <v>110000</v>
      </c>
      <c r="D229" s="4" t="s">
        <v>1092</v>
      </c>
      <c r="E229" s="4" t="s">
        <v>1092</v>
      </c>
      <c r="F229" s="4" t="s">
        <v>1092</v>
      </c>
      <c r="G229" s="5" t="s">
        <v>735</v>
      </c>
    </row>
    <row r="230" spans="1:8">
      <c r="A230" s="3">
        <f t="shared" si="5"/>
        <v>446256.29000000004</v>
      </c>
      <c r="B230" s="364"/>
      <c r="C230" s="364">
        <v>15000</v>
      </c>
      <c r="D230" s="4" t="s">
        <v>1092</v>
      </c>
      <c r="E230" s="4" t="s">
        <v>1092</v>
      </c>
      <c r="F230" s="4" t="s">
        <v>1092</v>
      </c>
      <c r="G230" s="5" t="s">
        <v>790</v>
      </c>
      <c r="H230" s="5" t="str">
        <f>TEXT(Table3[[#This Row],[Value Date]],"mmmm")</f>
        <v>May</v>
      </c>
    </row>
    <row r="231" spans="1:8">
      <c r="A231" s="3">
        <f t="shared" si="5"/>
        <v>431256.29000000004</v>
      </c>
      <c r="B231" s="364"/>
      <c r="C231" s="364">
        <v>15000</v>
      </c>
      <c r="D231" s="4" t="s">
        <v>1092</v>
      </c>
      <c r="E231" s="4" t="s">
        <v>1092</v>
      </c>
      <c r="F231" s="4" t="s">
        <v>1092</v>
      </c>
      <c r="G231" s="5" t="s">
        <v>790</v>
      </c>
      <c r="H231" s="5" t="str">
        <f>TEXT(Table3[[#This Row],[Value Date]],"mmmm")</f>
        <v>May</v>
      </c>
    </row>
    <row r="232" spans="1:8">
      <c r="A232" s="3">
        <f t="shared" si="5"/>
        <v>181256.29000000004</v>
      </c>
      <c r="B232" s="364"/>
      <c r="C232" s="364">
        <v>250000</v>
      </c>
      <c r="D232" s="4" t="s">
        <v>1093</v>
      </c>
      <c r="E232" s="4" t="s">
        <v>1093</v>
      </c>
      <c r="F232" s="4" t="s">
        <v>1093</v>
      </c>
      <c r="G232" s="5" t="s">
        <v>1094</v>
      </c>
      <c r="H232" s="5" t="str">
        <f>TEXT(Table3[[#This Row],[Value Date]],"mmmm")</f>
        <v>May</v>
      </c>
    </row>
    <row r="233" spans="1:8">
      <c r="A233" s="3">
        <f t="shared" si="5"/>
        <v>361631.29000000004</v>
      </c>
      <c r="B233" s="364">
        <v>180375</v>
      </c>
      <c r="C233" s="364"/>
      <c r="D233" s="4" t="s">
        <v>1095</v>
      </c>
      <c r="E233" s="4" t="s">
        <v>1095</v>
      </c>
      <c r="F233" s="4" t="s">
        <v>1095</v>
      </c>
      <c r="G233" s="5" t="s">
        <v>1096</v>
      </c>
      <c r="H233" s="5" t="str">
        <f>TEXT(Table3[[#This Row],[Value Date]],"mmmm")</f>
        <v>May</v>
      </c>
    </row>
    <row r="234" spans="1:8">
      <c r="A234" s="3">
        <f t="shared" si="5"/>
        <v>346631.29000000004</v>
      </c>
      <c r="B234" s="364"/>
      <c r="C234" s="364">
        <v>15000</v>
      </c>
      <c r="D234" s="4" t="s">
        <v>1098</v>
      </c>
      <c r="E234" s="4" t="s">
        <v>1095</v>
      </c>
      <c r="F234" s="4" t="s">
        <v>1095</v>
      </c>
      <c r="G234" s="5" t="s">
        <v>617</v>
      </c>
      <c r="H234" s="5" t="str">
        <f>TEXT(Table3[[#This Row],[Value Date]],"mmmm")</f>
        <v>May</v>
      </c>
    </row>
    <row r="235" spans="1:8">
      <c r="A235" s="3">
        <f t="shared" si="5"/>
        <v>361631.29000000004</v>
      </c>
      <c r="B235" s="364">
        <v>15000</v>
      </c>
      <c r="C235" s="364"/>
      <c r="D235" s="4" t="s">
        <v>1098</v>
      </c>
      <c r="E235" s="4" t="s">
        <v>1095</v>
      </c>
      <c r="F235" s="4" t="s">
        <v>1095</v>
      </c>
      <c r="G235" s="5" t="s">
        <v>617</v>
      </c>
      <c r="H235" s="5" t="str">
        <f>TEXT(Table3[[#This Row],[Value Date]],"mmmm")</f>
        <v>May</v>
      </c>
    </row>
    <row r="236" spans="1:8">
      <c r="A236" s="3">
        <f t="shared" si="5"/>
        <v>353631.29000000004</v>
      </c>
      <c r="B236" s="364"/>
      <c r="C236" s="364">
        <v>8000</v>
      </c>
      <c r="D236" s="4" t="s">
        <v>1098</v>
      </c>
      <c r="E236" s="4" t="s">
        <v>1095</v>
      </c>
      <c r="F236" s="4" t="s">
        <v>1095</v>
      </c>
      <c r="G236" s="5" t="s">
        <v>617</v>
      </c>
      <c r="H236" s="5" t="str">
        <f>TEXT(Table3[[#This Row],[Value Date]],"mmmm")</f>
        <v>May</v>
      </c>
    </row>
    <row r="237" spans="1:8">
      <c r="A237" s="3">
        <f t="shared" si="5"/>
        <v>338631.29000000004</v>
      </c>
      <c r="B237" s="364"/>
      <c r="C237" s="364">
        <v>15000</v>
      </c>
      <c r="D237" s="4" t="s">
        <v>1098</v>
      </c>
      <c r="E237" s="4" t="s">
        <v>1098</v>
      </c>
      <c r="F237" s="4" t="s">
        <v>1098</v>
      </c>
      <c r="G237" s="5" t="s">
        <v>945</v>
      </c>
      <c r="H237" s="5" t="str">
        <f>TEXT(Table3[[#This Row],[Value Date]],"mmmm")</f>
        <v>May</v>
      </c>
    </row>
    <row r="238" spans="1:8">
      <c r="A238" s="3">
        <f t="shared" si="5"/>
        <v>323631.29000000004</v>
      </c>
      <c r="B238" s="364"/>
      <c r="C238" s="364">
        <v>15000</v>
      </c>
      <c r="D238" s="4" t="s">
        <v>1098</v>
      </c>
      <c r="E238" s="4" t="s">
        <v>1098</v>
      </c>
      <c r="F238" s="4" t="s">
        <v>1098</v>
      </c>
      <c r="G238" s="5" t="s">
        <v>945</v>
      </c>
      <c r="H238" s="5" t="str">
        <f>TEXT(Table3[[#This Row],[Value Date]],"mmmm")</f>
        <v>May</v>
      </c>
    </row>
    <row r="239" spans="1:8">
      <c r="A239" s="3">
        <f t="shared" si="5"/>
        <v>423631.29000000004</v>
      </c>
      <c r="B239" s="364">
        <v>100000</v>
      </c>
      <c r="C239" s="364"/>
      <c r="D239" s="4" t="s">
        <v>1098</v>
      </c>
      <c r="E239" s="4" t="s">
        <v>1098</v>
      </c>
      <c r="F239" s="4" t="s">
        <v>1098</v>
      </c>
      <c r="G239" s="5" t="s">
        <v>1099</v>
      </c>
      <c r="H239" s="5" t="str">
        <f>TEXT(Table3[[#This Row],[Value Date]],"mmmm")</f>
        <v>May</v>
      </c>
    </row>
    <row r="240" spans="1:8">
      <c r="A240" s="3">
        <f t="shared" si="5"/>
        <v>85258.870000000054</v>
      </c>
      <c r="B240" s="364"/>
      <c r="C240" s="364">
        <v>338372.42</v>
      </c>
      <c r="D240" s="4" t="s">
        <v>1098</v>
      </c>
      <c r="E240" s="4" t="s">
        <v>1098</v>
      </c>
      <c r="F240" s="4" t="s">
        <v>1098</v>
      </c>
      <c r="G240" s="5" t="s">
        <v>1100</v>
      </c>
      <c r="H240" s="5" t="str">
        <f>TEXT(Table3[[#This Row],[Value Date]],"mmmm")</f>
        <v>May</v>
      </c>
    </row>
    <row r="241" spans="1:8">
      <c r="A241" s="3">
        <f t="shared" si="5"/>
        <v>30128.870000000054</v>
      </c>
      <c r="B241" s="364"/>
      <c r="C241" s="364">
        <v>55130</v>
      </c>
      <c r="D241" s="4" t="s">
        <v>1101</v>
      </c>
      <c r="E241" s="4" t="s">
        <v>1101</v>
      </c>
      <c r="F241" s="4" t="s">
        <v>1098</v>
      </c>
      <c r="G241" s="5" t="s">
        <v>1008</v>
      </c>
      <c r="H241" s="5" t="str">
        <f>TEXT(Table3[[#This Row],[Value Date]],"mmmm")</f>
        <v>May</v>
      </c>
    </row>
    <row r="242" spans="1:8">
      <c r="A242" s="3">
        <f t="shared" si="5"/>
        <v>29828.870000000054</v>
      </c>
      <c r="B242" s="364"/>
      <c r="C242" s="364">
        <v>300</v>
      </c>
      <c r="D242" s="4" t="s">
        <v>1101</v>
      </c>
      <c r="E242" s="4" t="s">
        <v>1101</v>
      </c>
      <c r="F242" s="4" t="s">
        <v>1098</v>
      </c>
      <c r="G242" s="5" t="s">
        <v>1008</v>
      </c>
      <c r="H242" s="5" t="str">
        <f>TEXT(Table3[[#This Row],[Value Date]],"mmmm")</f>
        <v>May</v>
      </c>
    </row>
    <row r="243" spans="1:8">
      <c r="A243" s="3">
        <f t="shared" si="5"/>
        <v>25504.870000000054</v>
      </c>
      <c r="B243" s="364"/>
      <c r="C243" s="364">
        <v>4324</v>
      </c>
      <c r="D243" s="4" t="s">
        <v>1101</v>
      </c>
      <c r="E243" s="4" t="s">
        <v>1101</v>
      </c>
      <c r="F243" s="4" t="s">
        <v>1098</v>
      </c>
      <c r="G243" s="5" t="s">
        <v>1008</v>
      </c>
      <c r="H243" s="5" t="str">
        <f>TEXT(Table3[[#This Row],[Value Date]],"mmmm")</f>
        <v>May</v>
      </c>
    </row>
    <row r="244" spans="1:8">
      <c r="A244" s="3">
        <f t="shared" si="5"/>
        <v>504.87000000005355</v>
      </c>
      <c r="B244" s="364"/>
      <c r="C244" s="364">
        <v>25000</v>
      </c>
      <c r="D244" s="4" t="s">
        <v>1101</v>
      </c>
      <c r="E244" s="4" t="s">
        <v>1101</v>
      </c>
      <c r="F244" s="4" t="s">
        <v>1102</v>
      </c>
      <c r="G244" s="5" t="s">
        <v>1103</v>
      </c>
      <c r="H244" s="5" t="str">
        <f>TEXT(Table3[[#This Row],[Value Date]],"mmmm")</f>
        <v>May</v>
      </c>
    </row>
    <row r="245" spans="1:8">
      <c r="A245" s="3">
        <f t="shared" si="5"/>
        <v>8504.8700000000536</v>
      </c>
      <c r="B245" s="364">
        <v>8000</v>
      </c>
      <c r="C245" s="364"/>
      <c r="D245" s="4" t="s">
        <v>1101</v>
      </c>
      <c r="E245" s="4" t="s">
        <v>1101</v>
      </c>
      <c r="F245" s="4" t="s">
        <v>1101</v>
      </c>
      <c r="G245" s="5" t="s">
        <v>1104</v>
      </c>
      <c r="H245" s="5" t="str">
        <f>TEXT(Table3[[#This Row],[Value Date]],"mmmm")</f>
        <v>June</v>
      </c>
    </row>
    <row r="246" spans="1:8">
      <c r="A246" s="3">
        <f t="shared" si="5"/>
        <v>102565.48000000005</v>
      </c>
      <c r="B246" s="364">
        <v>94060.61</v>
      </c>
      <c r="C246" s="364"/>
      <c r="D246" s="4" t="s">
        <v>1105</v>
      </c>
      <c r="E246" s="4" t="s">
        <v>1105</v>
      </c>
      <c r="F246" s="4" t="s">
        <v>1105</v>
      </c>
      <c r="G246" s="5" t="s">
        <v>1106</v>
      </c>
      <c r="H246" s="5" t="str">
        <f>TEXT(Table3[[#This Row],[Value Date]],"mmmm")</f>
        <v>June</v>
      </c>
    </row>
    <row r="247" spans="1:8">
      <c r="A247" s="3">
        <f t="shared" si="5"/>
        <v>199365.25000000006</v>
      </c>
      <c r="B247" s="364">
        <v>96799.77</v>
      </c>
      <c r="C247" s="364"/>
      <c r="D247" s="4" t="s">
        <v>1105</v>
      </c>
      <c r="E247" s="4" t="s">
        <v>1105</v>
      </c>
      <c r="F247" s="4" t="s">
        <v>1105</v>
      </c>
      <c r="G247" s="5" t="s">
        <v>1109</v>
      </c>
      <c r="H247" s="5" t="str">
        <f>TEXT(Table3[[#This Row],[Value Date]],"mmmm")</f>
        <v>June</v>
      </c>
    </row>
    <row r="248" spans="1:8">
      <c r="A248" s="3">
        <f t="shared" si="5"/>
        <v>181365.25000000006</v>
      </c>
      <c r="B248" s="364"/>
      <c r="C248" s="364">
        <v>18000</v>
      </c>
      <c r="D248" s="4" t="s">
        <v>1105</v>
      </c>
      <c r="E248" s="4" t="s">
        <v>1105</v>
      </c>
      <c r="F248" s="4" t="s">
        <v>1105</v>
      </c>
      <c r="G248" s="5" t="s">
        <v>1004</v>
      </c>
      <c r="H248" s="5" t="str">
        <f>TEXT(Table3[[#This Row],[Value Date]],"mmmm")</f>
        <v>June</v>
      </c>
    </row>
    <row r="249" spans="1:8">
      <c r="A249" s="3">
        <f t="shared" si="5"/>
        <v>166365.25000000006</v>
      </c>
      <c r="B249" s="364"/>
      <c r="C249" s="364">
        <v>15000</v>
      </c>
      <c r="D249" s="4" t="s">
        <v>1105</v>
      </c>
      <c r="E249" s="4" t="s">
        <v>1105</v>
      </c>
      <c r="F249" s="4" t="s">
        <v>1105</v>
      </c>
      <c r="G249" s="5" t="s">
        <v>617</v>
      </c>
      <c r="H249" s="5" t="str">
        <f>TEXT(Table3[[#This Row],[Value Date]],"mmmm")</f>
        <v>June</v>
      </c>
    </row>
    <row r="250" spans="1:8">
      <c r="A250" s="3">
        <f t="shared" si="5"/>
        <v>151365.25000000006</v>
      </c>
      <c r="B250" s="364"/>
      <c r="C250" s="364">
        <v>15000</v>
      </c>
      <c r="D250" s="4" t="s">
        <v>1105</v>
      </c>
      <c r="E250" s="4" t="s">
        <v>1105</v>
      </c>
      <c r="F250" s="4" t="s">
        <v>1105</v>
      </c>
      <c r="G250" s="5" t="s">
        <v>617</v>
      </c>
      <c r="H250" s="5" t="str">
        <f>TEXT(Table3[[#This Row],[Value Date]],"mmmm")</f>
        <v>June</v>
      </c>
    </row>
    <row r="251" spans="1:8">
      <c r="A251" s="3">
        <f t="shared" si="5"/>
        <v>136365.25000000006</v>
      </c>
      <c r="B251" s="364"/>
      <c r="C251" s="364">
        <v>15000</v>
      </c>
      <c r="D251" s="4" t="s">
        <v>1110</v>
      </c>
      <c r="E251" s="4" t="s">
        <v>1110</v>
      </c>
      <c r="F251" s="4" t="s">
        <v>1110</v>
      </c>
      <c r="G251" s="5" t="s">
        <v>945</v>
      </c>
      <c r="H251" s="5" t="str">
        <f>TEXT(Table3[[#This Row],[Value Date]],"mmmm")</f>
        <v>June</v>
      </c>
    </row>
    <row r="252" spans="1:8">
      <c r="A252" s="3">
        <f t="shared" si="5"/>
        <v>121365.25000000006</v>
      </c>
      <c r="B252" s="364"/>
      <c r="C252" s="364">
        <v>15000</v>
      </c>
      <c r="D252" s="4" t="s">
        <v>1110</v>
      </c>
      <c r="E252" s="4" t="s">
        <v>1110</v>
      </c>
      <c r="F252" s="4" t="s">
        <v>1110</v>
      </c>
      <c r="G252" s="5" t="s">
        <v>945</v>
      </c>
      <c r="H252" s="5" t="str">
        <f>TEXT(Table3[[#This Row],[Value Date]],"mmmm")</f>
        <v>June</v>
      </c>
    </row>
    <row r="253" spans="1:8">
      <c r="A253" s="3">
        <f t="shared" si="5"/>
        <v>160908.11000000004</v>
      </c>
      <c r="B253" s="364">
        <v>39542.86</v>
      </c>
      <c r="C253" s="364"/>
      <c r="D253" s="4" t="s">
        <v>1110</v>
      </c>
      <c r="E253" s="4" t="s">
        <v>1110</v>
      </c>
      <c r="F253" s="4" t="s">
        <v>1110</v>
      </c>
      <c r="G253" s="5" t="s">
        <v>1111</v>
      </c>
      <c r="H253" s="5" t="str">
        <f>TEXT(Table3[[#This Row],[Value Date]],"mmmm")</f>
        <v>June</v>
      </c>
    </row>
    <row r="254" spans="1:8">
      <c r="A254" s="3">
        <f t="shared" si="5"/>
        <v>130908.11000000004</v>
      </c>
      <c r="B254" s="364"/>
      <c r="C254" s="364">
        <v>30000</v>
      </c>
      <c r="D254" s="4" t="s">
        <v>1112</v>
      </c>
      <c r="E254" s="4" t="s">
        <v>1112</v>
      </c>
      <c r="F254" s="4" t="s">
        <v>1112</v>
      </c>
      <c r="G254" s="5" t="s">
        <v>1024</v>
      </c>
      <c r="H254" s="5" t="str">
        <f>TEXT(Table3[[#This Row],[Value Date]],"mmmm")</f>
        <v>June</v>
      </c>
    </row>
    <row r="255" spans="1:8">
      <c r="A255" s="3">
        <f t="shared" si="5"/>
        <v>115908.11000000004</v>
      </c>
      <c r="B255" s="364"/>
      <c r="C255" s="364">
        <v>15000</v>
      </c>
      <c r="D255" s="4" t="s">
        <v>1112</v>
      </c>
      <c r="E255" s="4" t="s">
        <v>1112</v>
      </c>
      <c r="F255" s="4" t="s">
        <v>1112</v>
      </c>
      <c r="G255" s="5" t="s">
        <v>315</v>
      </c>
      <c r="H255" s="5" t="str">
        <f>TEXT(Table3[[#This Row],[Value Date]],"mmmm")</f>
        <v>June</v>
      </c>
    </row>
    <row r="256" spans="1:8">
      <c r="A256" s="3">
        <f t="shared" si="5"/>
        <v>100908.11000000004</v>
      </c>
      <c r="B256" s="364"/>
      <c r="C256" s="364">
        <v>15000</v>
      </c>
      <c r="D256" s="4" t="s">
        <v>1112</v>
      </c>
      <c r="E256" s="4" t="s">
        <v>1112</v>
      </c>
      <c r="F256" s="4" t="s">
        <v>1112</v>
      </c>
      <c r="G256" s="5" t="s">
        <v>315</v>
      </c>
      <c r="H256" s="5" t="str">
        <f>TEXT(Table3[[#This Row],[Value Date]],"mmmm")</f>
        <v>June</v>
      </c>
    </row>
    <row r="257" spans="1:8">
      <c r="A257" s="3">
        <f t="shared" si="5"/>
        <v>85908.110000000044</v>
      </c>
      <c r="B257" s="364"/>
      <c r="C257" s="364">
        <v>15000</v>
      </c>
      <c r="D257" s="4" t="s">
        <v>1118</v>
      </c>
      <c r="E257" s="4" t="s">
        <v>1118</v>
      </c>
      <c r="F257" s="4" t="s">
        <v>1119</v>
      </c>
      <c r="G257" s="5" t="s">
        <v>353</v>
      </c>
      <c r="H257" s="5" t="str">
        <f>TEXT(Table3[[#This Row],[Value Date]],"mmmm")</f>
        <v>June</v>
      </c>
    </row>
    <row r="258" spans="1:8">
      <c r="A258" s="3">
        <f t="shared" si="5"/>
        <v>70908.110000000044</v>
      </c>
      <c r="B258" s="364"/>
      <c r="C258" s="364">
        <v>15000</v>
      </c>
      <c r="D258" s="4" t="s">
        <v>1118</v>
      </c>
      <c r="E258" s="4" t="s">
        <v>1118</v>
      </c>
      <c r="F258" s="4" t="s">
        <v>1119</v>
      </c>
      <c r="G258" s="5" t="s">
        <v>353</v>
      </c>
      <c r="H258" s="5" t="str">
        <f>TEXT(Table3[[#This Row],[Value Date]],"mmmm")</f>
        <v>June</v>
      </c>
    </row>
    <row r="259" spans="1:8">
      <c r="A259" s="3">
        <f t="shared" si="5"/>
        <v>55908.110000000044</v>
      </c>
      <c r="B259" s="364"/>
      <c r="C259" s="364">
        <v>15000</v>
      </c>
      <c r="D259" s="4" t="s">
        <v>1118</v>
      </c>
      <c r="E259" s="4" t="s">
        <v>1118</v>
      </c>
      <c r="F259" s="4" t="s">
        <v>1118</v>
      </c>
      <c r="G259" s="5" t="s">
        <v>315</v>
      </c>
      <c r="H259" s="5" t="str">
        <f>TEXT(Table3[[#This Row],[Value Date]],"mmmm")</f>
        <v>June</v>
      </c>
    </row>
    <row r="260" spans="1:8">
      <c r="A260" s="3">
        <f t="shared" si="5"/>
        <v>40908.110000000044</v>
      </c>
      <c r="B260" s="364"/>
      <c r="C260" s="364">
        <v>15000</v>
      </c>
      <c r="D260" s="4" t="s">
        <v>1118</v>
      </c>
      <c r="E260" s="4" t="s">
        <v>1118</v>
      </c>
      <c r="F260" s="4" t="s">
        <v>1118</v>
      </c>
      <c r="G260" s="5" t="s">
        <v>315</v>
      </c>
      <c r="H260" s="5" t="str">
        <f>TEXT(Table3[[#This Row],[Value Date]],"mmmm")</f>
        <v>June</v>
      </c>
    </row>
    <row r="261" spans="1:8">
      <c r="A261" s="3">
        <f t="shared" si="5"/>
        <v>155598.86000000004</v>
      </c>
      <c r="B261" s="364">
        <v>114690.75</v>
      </c>
      <c r="C261" s="364"/>
      <c r="D261" s="4" t="s">
        <v>1118</v>
      </c>
      <c r="E261" s="4" t="s">
        <v>1118</v>
      </c>
      <c r="F261" s="4" t="s">
        <v>1118</v>
      </c>
      <c r="G261" s="5" t="s">
        <v>1120</v>
      </c>
      <c r="H261" s="5" t="str">
        <f>TEXT(Table3[[#This Row],[Value Date]],"mmmm")</f>
        <v>June</v>
      </c>
    </row>
    <row r="262" spans="1:8">
      <c r="A262" s="3">
        <f t="shared" si="5"/>
        <v>140598.86000000004</v>
      </c>
      <c r="B262" s="364"/>
      <c r="C262" s="364">
        <v>15000</v>
      </c>
      <c r="D262" s="4" t="s">
        <v>1122</v>
      </c>
      <c r="E262" s="4" t="s">
        <v>1122</v>
      </c>
      <c r="F262" s="4" t="s">
        <v>1122</v>
      </c>
      <c r="G262" s="5" t="s">
        <v>945</v>
      </c>
      <c r="H262" s="5" t="str">
        <f>TEXT(Table3[[#This Row],[Value Date]],"mmmm")</f>
        <v>June</v>
      </c>
    </row>
    <row r="263" spans="1:8">
      <c r="A263" s="3">
        <f t="shared" si="5"/>
        <v>125598.86000000004</v>
      </c>
      <c r="B263" s="364"/>
      <c r="C263" s="364">
        <v>15000</v>
      </c>
      <c r="D263" s="4" t="s">
        <v>1122</v>
      </c>
      <c r="E263" s="4" t="s">
        <v>1122</v>
      </c>
      <c r="F263" s="4" t="s">
        <v>1122</v>
      </c>
      <c r="G263" s="5" t="s">
        <v>945</v>
      </c>
      <c r="H263" s="5" t="str">
        <f>TEXT(Table3[[#This Row],[Value Date]],"mmmm")</f>
        <v>June</v>
      </c>
    </row>
    <row r="264" spans="1:8">
      <c r="A264" s="3">
        <f t="shared" si="5"/>
        <v>95598.860000000044</v>
      </c>
      <c r="B264" s="364"/>
      <c r="C264" s="364">
        <v>30000</v>
      </c>
      <c r="D264" s="4" t="s">
        <v>1123</v>
      </c>
      <c r="E264" s="4" t="s">
        <v>1122</v>
      </c>
      <c r="F264" s="4" t="s">
        <v>1122</v>
      </c>
      <c r="G264" s="5" t="s">
        <v>1124</v>
      </c>
      <c r="H264" s="5" t="str">
        <f>TEXT(Table3[[#This Row],[Value Date]],"mmmm")</f>
        <v>June</v>
      </c>
    </row>
    <row r="265" spans="1:8">
      <c r="A265" s="3">
        <f t="shared" si="5"/>
        <v>65598.860000000044</v>
      </c>
      <c r="B265" s="364"/>
      <c r="C265" s="364">
        <v>30000</v>
      </c>
      <c r="D265" s="4" t="s">
        <v>1123</v>
      </c>
      <c r="E265" s="4" t="s">
        <v>1123</v>
      </c>
      <c r="F265" s="4" t="s">
        <v>1123</v>
      </c>
      <c r="G265" s="5" t="s">
        <v>1125</v>
      </c>
      <c r="H265" s="5" t="str">
        <f>TEXT(Table3[[#This Row],[Value Date]],"mmmm")</f>
        <v>June</v>
      </c>
    </row>
    <row r="266" spans="1:8">
      <c r="A266" s="3">
        <f t="shared" si="5"/>
        <v>50598.860000000044</v>
      </c>
      <c r="B266" s="364"/>
      <c r="C266" s="364">
        <v>15000</v>
      </c>
      <c r="D266" s="4" t="s">
        <v>1123</v>
      </c>
      <c r="E266" s="4" t="s">
        <v>1123</v>
      </c>
      <c r="F266" s="4" t="s">
        <v>1123</v>
      </c>
      <c r="G266" s="5" t="s">
        <v>790</v>
      </c>
      <c r="H266" s="5" t="str">
        <f>TEXT(Table3[[#This Row],[Value Date]],"mmmm")</f>
        <v>June</v>
      </c>
    </row>
    <row r="267" spans="1:8">
      <c r="A267" s="3">
        <f t="shared" si="5"/>
        <v>35598.860000000044</v>
      </c>
      <c r="B267" s="364"/>
      <c r="C267" s="364">
        <v>15000</v>
      </c>
      <c r="D267" s="4" t="s">
        <v>1123</v>
      </c>
      <c r="E267" s="4" t="s">
        <v>1123</v>
      </c>
      <c r="F267" s="4" t="s">
        <v>1123</v>
      </c>
      <c r="G267" s="5" t="s">
        <v>790</v>
      </c>
      <c r="H267" s="5" t="str">
        <f>TEXT(Table3[[#This Row],[Value Date]],"mmmm")</f>
        <v>June</v>
      </c>
    </row>
    <row r="268" spans="1:8">
      <c r="A268" s="3">
        <f t="shared" si="5"/>
        <v>118716.84000000004</v>
      </c>
      <c r="B268" s="364">
        <v>83117.98</v>
      </c>
      <c r="C268" s="364"/>
      <c r="D268" s="4" t="s">
        <v>1123</v>
      </c>
      <c r="E268" s="4" t="s">
        <v>1123</v>
      </c>
      <c r="F268" s="4" t="s">
        <v>1123</v>
      </c>
      <c r="G268" s="5" t="s">
        <v>1126</v>
      </c>
      <c r="H268" s="5" t="str">
        <f>TEXT(Table3[[#This Row],[Value Date]],"mmmm")</f>
        <v>June</v>
      </c>
    </row>
    <row r="269" spans="1:8">
      <c r="A269" s="3">
        <f t="shared" si="5"/>
        <v>304783.36000000004</v>
      </c>
      <c r="B269" s="364">
        <v>186066.52</v>
      </c>
      <c r="C269" s="364"/>
      <c r="D269" s="4" t="s">
        <v>1127</v>
      </c>
      <c r="E269" s="4" t="s">
        <v>1127</v>
      </c>
      <c r="F269" s="4" t="s">
        <v>1127</v>
      </c>
      <c r="G269" s="5" t="s">
        <v>1128</v>
      </c>
      <c r="H269" s="5" t="str">
        <f>TEXT(Table3[[#This Row],[Value Date]],"mmmm")</f>
        <v>June</v>
      </c>
    </row>
    <row r="270" spans="1:8" ht="45">
      <c r="A270" s="3">
        <f t="shared" si="5"/>
        <v>289783.36000000004</v>
      </c>
      <c r="B270" s="364"/>
      <c r="C270" s="364">
        <v>15000</v>
      </c>
      <c r="D270" s="4" t="s">
        <v>1127</v>
      </c>
      <c r="E270" s="4" t="s">
        <v>1127</v>
      </c>
      <c r="F270" s="4" t="s">
        <v>1127</v>
      </c>
      <c r="G270" s="5" t="s">
        <v>1129</v>
      </c>
      <c r="H270" s="5" t="str">
        <f>TEXT(Table3[[#This Row],[Value Date]],"mmmm")</f>
        <v>June</v>
      </c>
    </row>
    <row r="271" spans="1:8">
      <c r="A271" s="3">
        <f t="shared" si="5"/>
        <v>364031.41000000003</v>
      </c>
      <c r="B271" s="364">
        <v>74248.05</v>
      </c>
      <c r="C271" s="364"/>
      <c r="D271" s="4" t="s">
        <v>1130</v>
      </c>
      <c r="E271" s="4" t="s">
        <v>1130</v>
      </c>
      <c r="F271" s="4" t="s">
        <v>1130</v>
      </c>
      <c r="G271" s="5" t="s">
        <v>1131</v>
      </c>
      <c r="H271" s="5" t="str">
        <f>TEXT(Table3[[#This Row],[Value Date]],"mmmm")</f>
        <v>June</v>
      </c>
    </row>
    <row r="272" spans="1:8">
      <c r="A272" s="3">
        <f t="shared" si="5"/>
        <v>349031.41000000003</v>
      </c>
      <c r="B272" s="364"/>
      <c r="C272" s="364">
        <v>15000</v>
      </c>
      <c r="D272" s="4" t="s">
        <v>1134</v>
      </c>
      <c r="E272" s="4" t="s">
        <v>1134</v>
      </c>
      <c r="F272" s="4" t="s">
        <v>1134</v>
      </c>
      <c r="G272" s="5" t="s">
        <v>945</v>
      </c>
      <c r="H272" s="5" t="str">
        <f>TEXT(Table3[[#This Row],[Value Date]],"mmmm")</f>
        <v>June</v>
      </c>
    </row>
    <row r="273" spans="1:8">
      <c r="A273" s="3">
        <f t="shared" si="5"/>
        <v>334031.41000000003</v>
      </c>
      <c r="B273" s="364"/>
      <c r="C273" s="364">
        <v>15000</v>
      </c>
      <c r="D273" s="4" t="s">
        <v>1134</v>
      </c>
      <c r="E273" s="4" t="s">
        <v>1134</v>
      </c>
      <c r="F273" s="4" t="s">
        <v>1134</v>
      </c>
      <c r="G273" s="5" t="s">
        <v>945</v>
      </c>
      <c r="H273" s="5" t="str">
        <f>TEXT(Table3[[#This Row],[Value Date]],"mmmm")</f>
        <v>June</v>
      </c>
    </row>
    <row r="274" spans="1:8">
      <c r="A274" s="3">
        <f t="shared" si="5"/>
        <v>344132.41000000003</v>
      </c>
      <c r="B274" s="364">
        <v>10101</v>
      </c>
      <c r="C274" s="364"/>
      <c r="D274" s="4" t="s">
        <v>1134</v>
      </c>
      <c r="E274" s="4" t="s">
        <v>1134</v>
      </c>
      <c r="F274" s="4" t="s">
        <v>1134</v>
      </c>
      <c r="G274" s="5" t="s">
        <v>1135</v>
      </c>
      <c r="H274" s="5" t="str">
        <f>TEXT(Table3[[#This Row],[Value Date]],"mmmm")</f>
        <v>June</v>
      </c>
    </row>
    <row r="275" spans="1:8">
      <c r="A275" s="3">
        <f t="shared" si="5"/>
        <v>657405.22</v>
      </c>
      <c r="B275" s="364">
        <v>313272.81</v>
      </c>
      <c r="C275" s="364"/>
      <c r="D275" s="4" t="s">
        <v>1136</v>
      </c>
      <c r="E275" s="4" t="s">
        <v>1136</v>
      </c>
      <c r="F275" s="4" t="s">
        <v>1136</v>
      </c>
      <c r="G275" s="5" t="s">
        <v>1013</v>
      </c>
      <c r="H275" s="5" t="str">
        <f>TEXT(Table3[[#This Row],[Value Date]],"mmmm")</f>
        <v>June</v>
      </c>
    </row>
    <row r="276" spans="1:8">
      <c r="A276" s="3">
        <f t="shared" si="5"/>
        <v>567405.22</v>
      </c>
      <c r="B276" s="364"/>
      <c r="C276" s="364">
        <v>90000</v>
      </c>
      <c r="D276" s="4" t="s">
        <v>1136</v>
      </c>
      <c r="E276" s="4" t="s">
        <v>1136</v>
      </c>
      <c r="F276" s="4" t="s">
        <v>1136</v>
      </c>
      <c r="G276" s="5" t="s">
        <v>735</v>
      </c>
      <c r="H276" s="5" t="str">
        <f>TEXT(Table3[[#This Row],[Value Date]],"mmmm")</f>
        <v>June</v>
      </c>
    </row>
    <row r="277" spans="1:8">
      <c r="A277" s="3">
        <f t="shared" si="5"/>
        <v>537405.22</v>
      </c>
      <c r="B277" s="364"/>
      <c r="C277" s="364">
        <v>30000</v>
      </c>
      <c r="D277" s="4" t="s">
        <v>1140</v>
      </c>
      <c r="E277" s="4" t="s">
        <v>1140</v>
      </c>
      <c r="F277" s="4" t="s">
        <v>1141</v>
      </c>
      <c r="G277" s="5" t="s">
        <v>921</v>
      </c>
      <c r="H277" s="5" t="str">
        <f>TEXT(Table3[[#This Row],[Value Date]],"mmmm")</f>
        <v>June</v>
      </c>
    </row>
    <row r="278" spans="1:8">
      <c r="A278" s="3">
        <f t="shared" si="5"/>
        <v>522405.22</v>
      </c>
      <c r="B278" s="364"/>
      <c r="C278" s="364">
        <v>15000</v>
      </c>
      <c r="D278" s="4" t="s">
        <v>1140</v>
      </c>
      <c r="E278" s="4" t="s">
        <v>1140</v>
      </c>
      <c r="F278" s="4" t="s">
        <v>1141</v>
      </c>
      <c r="G278" s="5" t="s">
        <v>315</v>
      </c>
      <c r="H278" s="5" t="str">
        <f>TEXT(Table3[[#This Row],[Value Date]],"mmmm")</f>
        <v>June</v>
      </c>
    </row>
    <row r="279" spans="1:8">
      <c r="A279" s="3">
        <f t="shared" si="5"/>
        <v>507405.22</v>
      </c>
      <c r="B279" s="364"/>
      <c r="C279" s="364">
        <v>15000</v>
      </c>
      <c r="D279" s="4" t="s">
        <v>1140</v>
      </c>
      <c r="E279" s="4" t="s">
        <v>1140</v>
      </c>
      <c r="F279" s="4" t="s">
        <v>1141</v>
      </c>
      <c r="G279" s="5" t="s">
        <v>315</v>
      </c>
      <c r="H279" s="5" t="str">
        <f>TEXT(Table3[[#This Row],[Value Date]],"mmmm")</f>
        <v>June</v>
      </c>
    </row>
    <row r="280" spans="1:8">
      <c r="A280" s="3">
        <f t="shared" si="5"/>
        <v>492405.22</v>
      </c>
      <c r="B280" s="364"/>
      <c r="C280" s="364">
        <v>15000</v>
      </c>
      <c r="D280" s="4" t="s">
        <v>1142</v>
      </c>
      <c r="E280" s="4" t="s">
        <v>1140</v>
      </c>
      <c r="F280" s="4" t="s">
        <v>1140</v>
      </c>
      <c r="G280" s="5" t="s">
        <v>353</v>
      </c>
      <c r="H280" s="5" t="str">
        <f>TEXT(Table3[[#This Row],[Value Date]],"mmmm")</f>
        <v>June</v>
      </c>
    </row>
    <row r="281" spans="1:8">
      <c r="A281" s="3">
        <f t="shared" si="5"/>
        <v>477405.22</v>
      </c>
      <c r="B281" s="364"/>
      <c r="C281" s="364">
        <v>15000</v>
      </c>
      <c r="D281" s="4" t="s">
        <v>1142</v>
      </c>
      <c r="E281" s="4" t="s">
        <v>1140</v>
      </c>
      <c r="F281" s="4" t="s">
        <v>1140</v>
      </c>
      <c r="G281" s="5" t="s">
        <v>353</v>
      </c>
      <c r="H281" s="5" t="str">
        <f>TEXT(Table3[[#This Row],[Value Date]],"mmmm")</f>
        <v>June</v>
      </c>
    </row>
    <row r="282" spans="1:8">
      <c r="A282" s="3">
        <f t="shared" si="5"/>
        <v>462405.22</v>
      </c>
      <c r="B282" s="364"/>
      <c r="C282" s="364">
        <v>15000</v>
      </c>
      <c r="D282" s="4" t="s">
        <v>1142</v>
      </c>
      <c r="E282" s="4" t="s">
        <v>1140</v>
      </c>
      <c r="F282" s="4" t="s">
        <v>1140</v>
      </c>
      <c r="G282" s="5" t="s">
        <v>315</v>
      </c>
      <c r="H282" s="5" t="str">
        <f>TEXT(Table3[[#This Row],[Value Date]],"mmmm")</f>
        <v>June</v>
      </c>
    </row>
    <row r="283" spans="1:8">
      <c r="A283" s="3">
        <f t="shared" si="5"/>
        <v>447405.22</v>
      </c>
      <c r="B283" s="364"/>
      <c r="C283" s="364">
        <v>15000</v>
      </c>
      <c r="D283" s="4" t="s">
        <v>1142</v>
      </c>
      <c r="E283" s="4" t="s">
        <v>1140</v>
      </c>
      <c r="F283" s="4" t="s">
        <v>1140</v>
      </c>
      <c r="G283" s="5" t="s">
        <v>315</v>
      </c>
      <c r="H283" s="5" t="str">
        <f>TEXT(Table3[[#This Row],[Value Date]],"mmmm")</f>
        <v>June</v>
      </c>
    </row>
    <row r="284" spans="1:8">
      <c r="A284" s="3">
        <f t="shared" si="5"/>
        <v>82103.219999999972</v>
      </c>
      <c r="B284" s="364"/>
      <c r="C284" s="364">
        <v>365302</v>
      </c>
      <c r="D284" s="4" t="s">
        <v>1142</v>
      </c>
      <c r="E284" s="4" t="s">
        <v>1142</v>
      </c>
      <c r="F284" s="4" t="s">
        <v>1142</v>
      </c>
      <c r="G284" s="5" t="s">
        <v>1143</v>
      </c>
      <c r="H284" s="5" t="str">
        <f>TEXT(Table3[[#This Row],[Value Date]],"mmmm")</f>
        <v>June</v>
      </c>
    </row>
    <row r="285" spans="1:8">
      <c r="A285" s="3">
        <f t="shared" si="5"/>
        <v>81953.219999999972</v>
      </c>
      <c r="B285" s="364"/>
      <c r="C285" s="364">
        <v>150</v>
      </c>
      <c r="D285" s="4" t="s">
        <v>1142</v>
      </c>
      <c r="E285" s="4" t="s">
        <v>1142</v>
      </c>
      <c r="F285" s="4" t="s">
        <v>1142</v>
      </c>
      <c r="G285" s="5" t="s">
        <v>1144</v>
      </c>
      <c r="H285" s="5" t="str">
        <f>TEXT(Table3[[#This Row],[Value Date]],"mmmm")</f>
        <v>June</v>
      </c>
    </row>
    <row r="286" spans="1:8">
      <c r="A286" s="3">
        <f t="shared" si="5"/>
        <v>108558.21999999997</v>
      </c>
      <c r="B286" s="364">
        <v>26605</v>
      </c>
      <c r="C286" s="364"/>
      <c r="D286" s="4" t="s">
        <v>1145</v>
      </c>
      <c r="E286" s="4" t="s">
        <v>1145</v>
      </c>
      <c r="F286" s="4" t="s">
        <v>1145</v>
      </c>
      <c r="G286" s="5" t="s">
        <v>1146</v>
      </c>
      <c r="H286" s="5" t="str">
        <f>TEXT(Table3[[#This Row],[Value Date]],"mmmm")</f>
        <v>July</v>
      </c>
    </row>
    <row r="287" spans="1:8">
      <c r="A287" s="3">
        <f t="shared" si="5"/>
        <v>93558.219999999972</v>
      </c>
      <c r="B287" s="364"/>
      <c r="C287" s="364">
        <v>15000</v>
      </c>
      <c r="D287" s="4" t="s">
        <v>1151</v>
      </c>
      <c r="E287" s="4" t="s">
        <v>1151</v>
      </c>
      <c r="F287" s="4" t="s">
        <v>1152</v>
      </c>
      <c r="G287" s="5" t="s">
        <v>315</v>
      </c>
      <c r="H287" s="5" t="str">
        <f>TEXT(Table3[[#This Row],[Value Date]],"mmmm")</f>
        <v>July</v>
      </c>
    </row>
    <row r="288" spans="1:8">
      <c r="A288" s="3">
        <f t="shared" si="5"/>
        <v>78558.219999999972</v>
      </c>
      <c r="B288" s="364"/>
      <c r="C288" s="364">
        <v>15000</v>
      </c>
      <c r="D288" s="4" t="s">
        <v>1151</v>
      </c>
      <c r="E288" s="4" t="s">
        <v>1151</v>
      </c>
      <c r="F288" s="4" t="s">
        <v>1152</v>
      </c>
      <c r="G288" s="5" t="s">
        <v>315</v>
      </c>
      <c r="H288" s="5" t="str">
        <f>TEXT(Table3[[#This Row],[Value Date]],"mmmm")</f>
        <v>July</v>
      </c>
    </row>
    <row r="289" spans="1:8">
      <c r="A289" s="3">
        <f t="shared" si="5"/>
        <v>63558.219999999972</v>
      </c>
      <c r="B289" s="364"/>
      <c r="C289" s="364">
        <v>15000</v>
      </c>
      <c r="D289" s="4" t="s">
        <v>1153</v>
      </c>
      <c r="E289" s="4" t="s">
        <v>1151</v>
      </c>
      <c r="F289" s="4" t="s">
        <v>1151</v>
      </c>
      <c r="G289" s="5" t="s">
        <v>315</v>
      </c>
      <c r="H289" s="5" t="str">
        <f>TEXT(Table3[[#This Row],[Value Date]],"mmmm")</f>
        <v>July</v>
      </c>
    </row>
    <row r="290" spans="1:8">
      <c r="A290" s="3">
        <f t="shared" si="5"/>
        <v>48558.219999999972</v>
      </c>
      <c r="B290" s="364"/>
      <c r="C290" s="364">
        <v>15000</v>
      </c>
      <c r="D290" s="4" t="s">
        <v>1153</v>
      </c>
      <c r="E290" s="4" t="s">
        <v>1151</v>
      </c>
      <c r="F290" s="4" t="s">
        <v>1151</v>
      </c>
      <c r="G290" s="5" t="s">
        <v>315</v>
      </c>
      <c r="H290" s="5" t="str">
        <f>TEXT(Table3[[#This Row],[Value Date]],"mmmm")</f>
        <v>July</v>
      </c>
    </row>
    <row r="291" spans="1:8">
      <c r="A291" s="3">
        <f t="shared" si="5"/>
        <v>269836.71999999997</v>
      </c>
      <c r="B291" s="364">
        <v>221278.5</v>
      </c>
      <c r="C291" s="364"/>
      <c r="D291" s="4" t="s">
        <v>1154</v>
      </c>
      <c r="E291" s="4" t="s">
        <v>1154</v>
      </c>
      <c r="F291" s="4" t="s">
        <v>1154</v>
      </c>
      <c r="G291" s="5" t="s">
        <v>1155</v>
      </c>
      <c r="H291" s="5" t="str">
        <f>TEXT(Table3[[#This Row],[Value Date]],"mmmm")</f>
        <v>July</v>
      </c>
    </row>
    <row r="292" spans="1:8">
      <c r="A292" s="3">
        <f t="shared" ref="A292:A355" si="6">A291+B292-C292</f>
        <v>551046.32999999996</v>
      </c>
      <c r="B292" s="364">
        <v>281209.61</v>
      </c>
      <c r="C292" s="364"/>
      <c r="D292" s="4" t="s">
        <v>1154</v>
      </c>
      <c r="E292" s="4" t="s">
        <v>1154</v>
      </c>
      <c r="F292" s="4" t="s">
        <v>1154</v>
      </c>
      <c r="G292" s="5" t="s">
        <v>1156</v>
      </c>
      <c r="H292" s="5" t="str">
        <f>TEXT(Table3[[#This Row],[Value Date]],"mmmm")</f>
        <v>July</v>
      </c>
    </row>
    <row r="293" spans="1:8">
      <c r="A293" s="3">
        <f t="shared" si="6"/>
        <v>536046.32999999996</v>
      </c>
      <c r="B293" s="364"/>
      <c r="C293" s="364">
        <v>15000</v>
      </c>
      <c r="D293" s="4" t="s">
        <v>1154</v>
      </c>
      <c r="E293" s="4" t="s">
        <v>1154</v>
      </c>
      <c r="F293" s="4" t="s">
        <v>1154</v>
      </c>
      <c r="G293" s="5" t="s">
        <v>353</v>
      </c>
      <c r="H293" s="5" t="str">
        <f>TEXT(Table3[[#This Row],[Value Date]],"mmmm")</f>
        <v>July</v>
      </c>
    </row>
    <row r="294" spans="1:8">
      <c r="A294" s="3">
        <f t="shared" si="6"/>
        <v>551046.32999999996</v>
      </c>
      <c r="B294" s="364">
        <v>15000</v>
      </c>
      <c r="C294" s="364"/>
      <c r="D294" s="4" t="s">
        <v>1154</v>
      </c>
      <c r="E294" s="4" t="s">
        <v>1154</v>
      </c>
      <c r="F294" s="4" t="s">
        <v>1154</v>
      </c>
      <c r="G294" s="5" t="s">
        <v>353</v>
      </c>
      <c r="H294" s="5" t="str">
        <f>TEXT(Table3[[#This Row],[Value Date]],"mmmm")</f>
        <v>July</v>
      </c>
    </row>
    <row r="295" spans="1:8">
      <c r="A295" s="3">
        <f t="shared" si="6"/>
        <v>541046.32999999996</v>
      </c>
      <c r="B295" s="364"/>
      <c r="C295" s="364">
        <v>10000</v>
      </c>
      <c r="D295" s="4" t="s">
        <v>1154</v>
      </c>
      <c r="E295" s="4" t="s">
        <v>1154</v>
      </c>
      <c r="F295" s="4" t="s">
        <v>1154</v>
      </c>
      <c r="G295" s="5" t="s">
        <v>353</v>
      </c>
      <c r="H295" s="5" t="str">
        <f>TEXT(Table3[[#This Row],[Value Date]],"mmmm")</f>
        <v>July</v>
      </c>
    </row>
    <row r="296" spans="1:8">
      <c r="A296" s="3">
        <f t="shared" si="6"/>
        <v>531046.32999999996</v>
      </c>
      <c r="B296" s="364"/>
      <c r="C296" s="364">
        <v>10000</v>
      </c>
      <c r="D296" s="4" t="s">
        <v>1154</v>
      </c>
      <c r="E296" s="4" t="s">
        <v>1154</v>
      </c>
      <c r="F296" s="4" t="s">
        <v>1154</v>
      </c>
      <c r="G296" s="5" t="s">
        <v>353</v>
      </c>
      <c r="H296" s="5" t="str">
        <f>TEXT(Table3[[#This Row],[Value Date]],"mmmm")</f>
        <v>July</v>
      </c>
    </row>
    <row r="297" spans="1:8">
      <c r="A297" s="3">
        <f t="shared" si="6"/>
        <v>541046.32999999996</v>
      </c>
      <c r="B297" s="364">
        <v>10000</v>
      </c>
      <c r="C297" s="364"/>
      <c r="D297" s="4" t="s">
        <v>1154</v>
      </c>
      <c r="E297" s="4" t="s">
        <v>1154</v>
      </c>
      <c r="F297" s="4" t="s">
        <v>1154</v>
      </c>
      <c r="G297" s="5" t="s">
        <v>353</v>
      </c>
      <c r="H297" s="5" t="str">
        <f>TEXT(Table3[[#This Row],[Value Date]],"mmmm")</f>
        <v>July</v>
      </c>
    </row>
    <row r="298" spans="1:8">
      <c r="A298" s="3">
        <f t="shared" si="6"/>
        <v>531046.32999999996</v>
      </c>
      <c r="B298" s="364"/>
      <c r="C298" s="364">
        <v>10000</v>
      </c>
      <c r="D298" s="4" t="s">
        <v>1154</v>
      </c>
      <c r="E298" s="4" t="s">
        <v>1154</v>
      </c>
      <c r="F298" s="4" t="s">
        <v>1154</v>
      </c>
      <c r="G298" s="5" t="s">
        <v>353</v>
      </c>
      <c r="H298" s="5" t="str">
        <f>TEXT(Table3[[#This Row],[Value Date]],"mmmm")</f>
        <v>July</v>
      </c>
    </row>
    <row r="299" spans="1:8">
      <c r="A299" s="3">
        <f t="shared" si="6"/>
        <v>541046.32999999996</v>
      </c>
      <c r="B299" s="364">
        <v>10000</v>
      </c>
      <c r="C299" s="364"/>
      <c r="D299" s="4" t="s">
        <v>1154</v>
      </c>
      <c r="E299" s="4" t="s">
        <v>1154</v>
      </c>
      <c r="F299" s="4" t="s">
        <v>1154</v>
      </c>
      <c r="G299" s="5" t="s">
        <v>353</v>
      </c>
      <c r="H299" s="5" t="str">
        <f>TEXT(Table3[[#This Row],[Value Date]],"mmmm")</f>
        <v>July</v>
      </c>
    </row>
    <row r="300" spans="1:8">
      <c r="A300" s="3">
        <f t="shared" si="6"/>
        <v>673257.32</v>
      </c>
      <c r="B300" s="364">
        <v>132210.99</v>
      </c>
      <c r="C300" s="364"/>
      <c r="D300" s="4" t="s">
        <v>1158</v>
      </c>
      <c r="E300" s="4" t="s">
        <v>1158</v>
      </c>
      <c r="F300" s="4" t="s">
        <v>1158</v>
      </c>
      <c r="G300" s="5" t="s">
        <v>1159</v>
      </c>
      <c r="H300" s="5" t="str">
        <f>TEXT(Table3[[#This Row],[Value Date]],"mmmm")</f>
        <v>July</v>
      </c>
    </row>
    <row r="301" spans="1:8">
      <c r="A301" s="3">
        <f t="shared" si="6"/>
        <v>663257.31999999995</v>
      </c>
      <c r="B301" s="364"/>
      <c r="C301" s="364">
        <v>10000</v>
      </c>
      <c r="D301" s="4" t="s">
        <v>1160</v>
      </c>
      <c r="E301" s="4" t="s">
        <v>1158</v>
      </c>
      <c r="F301" s="4" t="s">
        <v>1158</v>
      </c>
      <c r="G301" s="5" t="s">
        <v>1161</v>
      </c>
      <c r="H301" s="5" t="str">
        <f>TEXT(Table3[[#This Row],[Value Date]],"mmmm")</f>
        <v>July</v>
      </c>
    </row>
    <row r="302" spans="1:8">
      <c r="A302" s="3">
        <f t="shared" si="6"/>
        <v>673257.32</v>
      </c>
      <c r="B302" s="364">
        <v>10000</v>
      </c>
      <c r="C302" s="364"/>
      <c r="D302" s="4" t="s">
        <v>1160</v>
      </c>
      <c r="E302" s="4" t="s">
        <v>1158</v>
      </c>
      <c r="F302" s="4" t="s">
        <v>1158</v>
      </c>
      <c r="G302" s="5" t="s">
        <v>1161</v>
      </c>
      <c r="H302" s="5" t="str">
        <f>TEXT(Table3[[#This Row],[Value Date]],"mmmm")</f>
        <v>July</v>
      </c>
    </row>
    <row r="303" spans="1:8">
      <c r="A303" s="3">
        <f t="shared" si="6"/>
        <v>668257.31999999995</v>
      </c>
      <c r="B303" s="364"/>
      <c r="C303" s="364">
        <v>5000</v>
      </c>
      <c r="D303" s="4" t="s">
        <v>1160</v>
      </c>
      <c r="E303" s="4" t="s">
        <v>1158</v>
      </c>
      <c r="F303" s="4" t="s">
        <v>1158</v>
      </c>
      <c r="G303" s="5" t="s">
        <v>1161</v>
      </c>
      <c r="H303" s="5" t="str">
        <f>TEXT(Table3[[#This Row],[Value Date]],"mmmm")</f>
        <v>July</v>
      </c>
    </row>
    <row r="304" spans="1:8">
      <c r="A304" s="3">
        <f t="shared" si="6"/>
        <v>661257.31999999995</v>
      </c>
      <c r="B304" s="364"/>
      <c r="C304" s="364">
        <v>7000</v>
      </c>
      <c r="D304" s="4" t="s">
        <v>1160</v>
      </c>
      <c r="E304" s="4" t="s">
        <v>1158</v>
      </c>
      <c r="F304" s="4" t="s">
        <v>1158</v>
      </c>
      <c r="G304" s="5" t="s">
        <v>1161</v>
      </c>
      <c r="H304" s="5" t="str">
        <f>TEXT(Table3[[#This Row],[Value Date]],"mmmm")</f>
        <v>July</v>
      </c>
    </row>
    <row r="305" spans="1:8">
      <c r="A305" s="3">
        <f t="shared" si="6"/>
        <v>655257.31999999995</v>
      </c>
      <c r="B305" s="364"/>
      <c r="C305" s="364">
        <v>6000</v>
      </c>
      <c r="D305" s="4" t="s">
        <v>1160</v>
      </c>
      <c r="E305" s="4" t="s">
        <v>1158</v>
      </c>
      <c r="F305" s="4" t="s">
        <v>1158</v>
      </c>
      <c r="G305" s="5" t="s">
        <v>1161</v>
      </c>
      <c r="H305" s="5" t="str">
        <f>TEXT(Table3[[#This Row],[Value Date]],"mmmm")</f>
        <v>July</v>
      </c>
    </row>
    <row r="306" spans="1:8">
      <c r="A306" s="3">
        <f t="shared" si="6"/>
        <v>649257.31999999995</v>
      </c>
      <c r="B306" s="364"/>
      <c r="C306" s="364">
        <v>6000</v>
      </c>
      <c r="D306" s="4" t="s">
        <v>1160</v>
      </c>
      <c r="E306" s="4" t="s">
        <v>1158</v>
      </c>
      <c r="F306" s="4" t="s">
        <v>1158</v>
      </c>
      <c r="G306" s="5" t="s">
        <v>1161</v>
      </c>
      <c r="H306" s="5" t="str">
        <f>TEXT(Table3[[#This Row],[Value Date]],"mmmm")</f>
        <v>July</v>
      </c>
    </row>
    <row r="307" spans="1:8">
      <c r="A307" s="3">
        <f t="shared" si="6"/>
        <v>643257.31999999995</v>
      </c>
      <c r="B307" s="364"/>
      <c r="C307" s="364">
        <v>6000</v>
      </c>
      <c r="D307" s="4" t="s">
        <v>1160</v>
      </c>
      <c r="E307" s="4" t="s">
        <v>1158</v>
      </c>
      <c r="F307" s="4" t="s">
        <v>1158</v>
      </c>
      <c r="G307" s="5" t="s">
        <v>1161</v>
      </c>
      <c r="H307" s="5" t="str">
        <f>TEXT(Table3[[#This Row],[Value Date]],"mmmm")</f>
        <v>July</v>
      </c>
    </row>
    <row r="308" spans="1:8">
      <c r="A308" s="3">
        <f t="shared" si="6"/>
        <v>623257.31999999995</v>
      </c>
      <c r="B308" s="364"/>
      <c r="C308" s="364">
        <v>20000</v>
      </c>
      <c r="D308" s="4" t="s">
        <v>1160</v>
      </c>
      <c r="E308" s="4" t="s">
        <v>1158</v>
      </c>
      <c r="F308" s="4" t="s">
        <v>1158</v>
      </c>
      <c r="G308" s="5" t="s">
        <v>1162</v>
      </c>
      <c r="H308" s="5" t="str">
        <f>TEXT(Table3[[#This Row],[Value Date]],"mmmm")</f>
        <v>July</v>
      </c>
    </row>
    <row r="309" spans="1:8">
      <c r="A309" s="3">
        <f t="shared" si="6"/>
        <v>608257.31999999995</v>
      </c>
      <c r="B309" s="364"/>
      <c r="C309" s="364">
        <v>15000</v>
      </c>
      <c r="D309" s="4" t="s">
        <v>1160</v>
      </c>
      <c r="E309" s="4" t="s">
        <v>1160</v>
      </c>
      <c r="F309" s="4" t="s">
        <v>1160</v>
      </c>
      <c r="G309" s="5" t="s">
        <v>945</v>
      </c>
      <c r="H309" s="5" t="str">
        <f>TEXT(Table3[[#This Row],[Value Date]],"mmmm")</f>
        <v>July</v>
      </c>
    </row>
    <row r="310" spans="1:8">
      <c r="A310" s="3">
        <f t="shared" si="6"/>
        <v>593257.31999999995</v>
      </c>
      <c r="B310" s="364"/>
      <c r="C310" s="364">
        <v>15000</v>
      </c>
      <c r="D310" s="4" t="s">
        <v>1160</v>
      </c>
      <c r="E310" s="4" t="s">
        <v>1160</v>
      </c>
      <c r="F310" s="4" t="s">
        <v>1160</v>
      </c>
      <c r="G310" s="5" t="s">
        <v>945</v>
      </c>
      <c r="H310" s="5" t="str">
        <f>TEXT(Table3[[#This Row],[Value Date]],"mmmm")</f>
        <v>July</v>
      </c>
    </row>
    <row r="311" spans="1:8">
      <c r="A311" s="3">
        <f t="shared" si="6"/>
        <v>608257.31999999995</v>
      </c>
      <c r="B311" s="364">
        <v>15000</v>
      </c>
      <c r="C311" s="364"/>
      <c r="D311" s="4" t="s">
        <v>1160</v>
      </c>
      <c r="E311" s="4" t="s">
        <v>1160</v>
      </c>
      <c r="F311" s="4" t="s">
        <v>1160</v>
      </c>
      <c r="G311" s="5" t="s">
        <v>945</v>
      </c>
      <c r="H311" s="5" t="str">
        <f>TEXT(Table3[[#This Row],[Value Date]],"mmmm")</f>
        <v>July</v>
      </c>
    </row>
    <row r="312" spans="1:8">
      <c r="A312" s="3">
        <f t="shared" si="6"/>
        <v>598257.31999999995</v>
      </c>
      <c r="B312" s="364"/>
      <c r="C312" s="364">
        <v>10000</v>
      </c>
      <c r="D312" s="4" t="s">
        <v>1160</v>
      </c>
      <c r="E312" s="4" t="s">
        <v>1160</v>
      </c>
      <c r="F312" s="4" t="s">
        <v>1160</v>
      </c>
      <c r="G312" s="5" t="s">
        <v>945</v>
      </c>
      <c r="H312" s="5" t="str">
        <f>TEXT(Table3[[#This Row],[Value Date]],"mmmm")</f>
        <v>July</v>
      </c>
    </row>
    <row r="313" spans="1:8">
      <c r="A313" s="3">
        <f t="shared" si="6"/>
        <v>593257.31999999995</v>
      </c>
      <c r="B313" s="364"/>
      <c r="C313" s="364">
        <v>5000</v>
      </c>
      <c r="D313" s="4" t="s">
        <v>1160</v>
      </c>
      <c r="E313" s="4" t="s">
        <v>1160</v>
      </c>
      <c r="F313" s="4" t="s">
        <v>1160</v>
      </c>
      <c r="G313" s="5" t="s">
        <v>945</v>
      </c>
      <c r="H313" s="5" t="str">
        <f>TEXT(Table3[[#This Row],[Value Date]],"mmmm")</f>
        <v>July</v>
      </c>
    </row>
    <row r="314" spans="1:8">
      <c r="A314" s="3">
        <f t="shared" si="6"/>
        <v>598257.31999999995</v>
      </c>
      <c r="B314" s="364">
        <v>5000</v>
      </c>
      <c r="C314" s="364"/>
      <c r="D314" s="4" t="s">
        <v>1160</v>
      </c>
      <c r="E314" s="4" t="s">
        <v>1160</v>
      </c>
      <c r="F314" s="4" t="s">
        <v>1160</v>
      </c>
      <c r="G314" s="5" t="s">
        <v>945</v>
      </c>
      <c r="H314" s="5" t="str">
        <f>TEXT(Table3[[#This Row],[Value Date]],"mmmm")</f>
        <v>July</v>
      </c>
    </row>
    <row r="315" spans="1:8">
      <c r="A315" s="3">
        <f t="shared" si="6"/>
        <v>593257.31999999995</v>
      </c>
      <c r="B315" s="364"/>
      <c r="C315" s="364">
        <v>5000</v>
      </c>
      <c r="D315" s="4" t="s">
        <v>1160</v>
      </c>
      <c r="E315" s="4" t="s">
        <v>1160</v>
      </c>
      <c r="F315" s="4" t="s">
        <v>1160</v>
      </c>
      <c r="G315" s="5" t="s">
        <v>790</v>
      </c>
      <c r="H315" s="5" t="str">
        <f>TEXT(Table3[[#This Row],[Value Date]],"mmmm")</f>
        <v>July</v>
      </c>
    </row>
    <row r="316" spans="1:8">
      <c r="A316" s="3">
        <f t="shared" si="6"/>
        <v>578257.31999999995</v>
      </c>
      <c r="B316" s="364"/>
      <c r="C316" s="364">
        <v>15000</v>
      </c>
      <c r="D316" s="4" t="s">
        <v>1165</v>
      </c>
      <c r="E316" s="4" t="s">
        <v>1165</v>
      </c>
      <c r="F316" s="4" t="s">
        <v>1166</v>
      </c>
      <c r="G316" s="5" t="s">
        <v>617</v>
      </c>
      <c r="H316" s="5" t="str">
        <f>TEXT(Table3[[#This Row],[Value Date]],"mmmm")</f>
        <v>July</v>
      </c>
    </row>
    <row r="317" spans="1:8">
      <c r="A317" s="3">
        <f t="shared" si="6"/>
        <v>563257.31999999995</v>
      </c>
      <c r="B317" s="364"/>
      <c r="C317" s="364">
        <v>15000</v>
      </c>
      <c r="D317" s="4" t="s">
        <v>1165</v>
      </c>
      <c r="E317" s="4" t="s">
        <v>1165</v>
      </c>
      <c r="F317" s="4" t="s">
        <v>1166</v>
      </c>
      <c r="G317" s="5" t="s">
        <v>617</v>
      </c>
      <c r="H317" s="5" t="str">
        <f>TEXT(Table3[[#This Row],[Value Date]],"mmmm")</f>
        <v>July</v>
      </c>
    </row>
    <row r="318" spans="1:8">
      <c r="A318" s="3">
        <f t="shared" si="6"/>
        <v>548257.31999999995</v>
      </c>
      <c r="B318" s="364"/>
      <c r="C318" s="364">
        <v>15000</v>
      </c>
      <c r="D318" s="4" t="s">
        <v>1165</v>
      </c>
      <c r="E318" s="4" t="s">
        <v>1165</v>
      </c>
      <c r="F318" s="4" t="s">
        <v>1165</v>
      </c>
      <c r="G318" s="5" t="s">
        <v>315</v>
      </c>
      <c r="H318" s="5" t="str">
        <f>TEXT(Table3[[#This Row],[Value Date]],"mmmm")</f>
        <v>July</v>
      </c>
    </row>
    <row r="319" spans="1:8">
      <c r="A319" s="3">
        <f t="shared" si="6"/>
        <v>533257.31999999995</v>
      </c>
      <c r="B319" s="364"/>
      <c r="C319" s="364">
        <v>15000</v>
      </c>
      <c r="D319" s="4" t="s">
        <v>1165</v>
      </c>
      <c r="E319" s="4" t="s">
        <v>1165</v>
      </c>
      <c r="F319" s="4" t="s">
        <v>1165</v>
      </c>
      <c r="G319" s="5" t="s">
        <v>315</v>
      </c>
      <c r="H319" s="5" t="str">
        <f>TEXT(Table3[[#This Row],[Value Date]],"mmmm")</f>
        <v>July</v>
      </c>
    </row>
    <row r="320" spans="1:8">
      <c r="A320" s="3">
        <f t="shared" si="6"/>
        <v>610227.73</v>
      </c>
      <c r="B320" s="364">
        <v>76970.41</v>
      </c>
      <c r="C320" s="364"/>
      <c r="D320" s="4" t="s">
        <v>1167</v>
      </c>
      <c r="E320" s="4" t="s">
        <v>1167</v>
      </c>
      <c r="F320" s="4" t="s">
        <v>1167</v>
      </c>
      <c r="G320" s="5" t="s">
        <v>1168</v>
      </c>
      <c r="H320" s="5" t="str">
        <f>TEXT(Table3[[#This Row],[Value Date]],"mmmm")</f>
        <v>July</v>
      </c>
    </row>
    <row r="321" spans="1:8">
      <c r="A321" s="3">
        <f t="shared" si="6"/>
        <v>595227.73</v>
      </c>
      <c r="B321" s="364"/>
      <c r="C321" s="364">
        <v>15000</v>
      </c>
      <c r="D321" s="4" t="s">
        <v>1167</v>
      </c>
      <c r="E321" s="4" t="s">
        <v>1167</v>
      </c>
      <c r="F321" s="4" t="s">
        <v>1167</v>
      </c>
      <c r="G321" s="5" t="s">
        <v>315</v>
      </c>
      <c r="H321" s="5" t="str">
        <f>TEXT(Table3[[#This Row],[Value Date]],"mmmm")</f>
        <v>July</v>
      </c>
    </row>
    <row r="322" spans="1:8">
      <c r="A322" s="3">
        <f t="shared" si="6"/>
        <v>580227.73</v>
      </c>
      <c r="B322" s="364"/>
      <c r="C322" s="364">
        <v>15000</v>
      </c>
      <c r="D322" s="4" t="s">
        <v>1167</v>
      </c>
      <c r="E322" s="4" t="s">
        <v>1167</v>
      </c>
      <c r="F322" s="4" t="s">
        <v>1167</v>
      </c>
      <c r="G322" s="5" t="s">
        <v>315</v>
      </c>
      <c r="H322" s="5" t="str">
        <f>TEXT(Table3[[#This Row],[Value Date]],"mmmm")</f>
        <v>July</v>
      </c>
    </row>
    <row r="323" spans="1:8">
      <c r="A323" s="3">
        <f t="shared" si="6"/>
        <v>710174.73</v>
      </c>
      <c r="B323" s="364">
        <v>129947</v>
      </c>
      <c r="C323" s="364"/>
      <c r="D323" s="4" t="s">
        <v>1170</v>
      </c>
      <c r="E323" s="4" t="s">
        <v>1170</v>
      </c>
      <c r="F323" s="4" t="s">
        <v>1170</v>
      </c>
      <c r="G323" s="5" t="s">
        <v>1171</v>
      </c>
      <c r="H323" s="5" t="str">
        <f>TEXT(Table3[[#This Row],[Value Date]],"mmmm")</f>
        <v>July</v>
      </c>
    </row>
    <row r="324" spans="1:8">
      <c r="A324" s="3">
        <f t="shared" si="6"/>
        <v>740778.73</v>
      </c>
      <c r="B324" s="364">
        <v>30604</v>
      </c>
      <c r="C324" s="364"/>
      <c r="D324" s="4" t="s">
        <v>1170</v>
      </c>
      <c r="E324" s="4" t="s">
        <v>1170</v>
      </c>
      <c r="F324" s="4" t="s">
        <v>1170</v>
      </c>
      <c r="G324" s="5" t="s">
        <v>1172</v>
      </c>
      <c r="H324" s="5" t="str">
        <f>TEXT(Table3[[#This Row],[Value Date]],"mmmm")</f>
        <v>July</v>
      </c>
    </row>
    <row r="325" spans="1:8">
      <c r="A325" s="3">
        <f t="shared" si="6"/>
        <v>710778.73</v>
      </c>
      <c r="B325" s="364"/>
      <c r="C325" s="364">
        <v>30000</v>
      </c>
      <c r="D325" s="4" t="s">
        <v>1175</v>
      </c>
      <c r="E325" s="4" t="s">
        <v>1175</v>
      </c>
      <c r="F325" s="4" t="s">
        <v>1176</v>
      </c>
      <c r="G325" s="5" t="s">
        <v>1177</v>
      </c>
      <c r="H325" s="5" t="str">
        <f>TEXT(Table3[[#This Row],[Value Date]],"mmmm")</f>
        <v>July</v>
      </c>
    </row>
    <row r="326" spans="1:8">
      <c r="A326" s="3">
        <f t="shared" si="6"/>
        <v>700778.73</v>
      </c>
      <c r="B326" s="364"/>
      <c r="C326" s="364">
        <v>10000</v>
      </c>
      <c r="D326" s="4" t="s">
        <v>1175</v>
      </c>
      <c r="E326" s="4" t="s">
        <v>1175</v>
      </c>
      <c r="F326" s="4" t="s">
        <v>1176</v>
      </c>
      <c r="G326" s="5" t="s">
        <v>617</v>
      </c>
      <c r="H326" s="5" t="str">
        <f>TEXT(Table3[[#This Row],[Value Date]],"mmmm")</f>
        <v>July</v>
      </c>
    </row>
    <row r="327" spans="1:8">
      <c r="A327" s="3">
        <f t="shared" si="6"/>
        <v>690778.73</v>
      </c>
      <c r="B327" s="364"/>
      <c r="C327" s="364">
        <v>10000</v>
      </c>
      <c r="D327" s="4" t="s">
        <v>1175</v>
      </c>
      <c r="E327" s="4" t="s">
        <v>1175</v>
      </c>
      <c r="F327" s="4" t="s">
        <v>1176</v>
      </c>
      <c r="G327" s="5" t="s">
        <v>617</v>
      </c>
      <c r="H327" s="5" t="str">
        <f>TEXT(Table3[[#This Row],[Value Date]],"mmmm")</f>
        <v>July</v>
      </c>
    </row>
    <row r="328" spans="1:8">
      <c r="A328" s="3">
        <f t="shared" si="6"/>
        <v>680778.73</v>
      </c>
      <c r="B328" s="364"/>
      <c r="C328" s="364">
        <v>10000</v>
      </c>
      <c r="D328" s="4" t="s">
        <v>1175</v>
      </c>
      <c r="E328" s="4" t="s">
        <v>1175</v>
      </c>
      <c r="F328" s="4" t="s">
        <v>1176</v>
      </c>
      <c r="G328" s="5" t="s">
        <v>617</v>
      </c>
      <c r="H328" s="5" t="str">
        <f>TEXT(Table3[[#This Row],[Value Date]],"mmmm")</f>
        <v>July</v>
      </c>
    </row>
    <row r="329" spans="1:8">
      <c r="A329" s="3">
        <f t="shared" si="6"/>
        <v>699019.29999999993</v>
      </c>
      <c r="B329" s="364">
        <v>18240.57</v>
      </c>
      <c r="C329" s="364"/>
      <c r="D329" s="4" t="s">
        <v>1175</v>
      </c>
      <c r="E329" s="4" t="s">
        <v>1175</v>
      </c>
      <c r="F329" s="4" t="s">
        <v>1175</v>
      </c>
      <c r="G329" s="5" t="s">
        <v>1178</v>
      </c>
      <c r="H329" s="5" t="str">
        <f>TEXT(Table3[[#This Row],[Value Date]],"mmmm")</f>
        <v>July</v>
      </c>
    </row>
    <row r="330" spans="1:8">
      <c r="A330" s="3">
        <f t="shared" si="6"/>
        <v>684019.29999999993</v>
      </c>
      <c r="B330" s="364"/>
      <c r="C330" s="364">
        <v>15000</v>
      </c>
      <c r="D330" s="4" t="s">
        <v>1183</v>
      </c>
      <c r="E330" s="4" t="s">
        <v>1183</v>
      </c>
      <c r="F330" s="4" t="s">
        <v>1183</v>
      </c>
      <c r="G330" s="5" t="s">
        <v>617</v>
      </c>
      <c r="H330" s="5" t="str">
        <f>TEXT(Table3[[#This Row],[Value Date]],"mmmm")</f>
        <v>July</v>
      </c>
    </row>
    <row r="331" spans="1:8">
      <c r="A331" s="3">
        <f t="shared" si="6"/>
        <v>669019.29999999993</v>
      </c>
      <c r="B331" s="364"/>
      <c r="C331" s="364">
        <v>15000</v>
      </c>
      <c r="D331" s="4" t="s">
        <v>1183</v>
      </c>
      <c r="E331" s="4" t="s">
        <v>1183</v>
      </c>
      <c r="F331" s="4" t="s">
        <v>1183</v>
      </c>
      <c r="G331" s="5" t="s">
        <v>617</v>
      </c>
      <c r="H331" s="5" t="str">
        <f>TEXT(Table3[[#This Row],[Value Date]],"mmmm")</f>
        <v>July</v>
      </c>
    </row>
    <row r="332" spans="1:8">
      <c r="A332" s="3">
        <f t="shared" si="6"/>
        <v>654019.29999999993</v>
      </c>
      <c r="B332" s="364"/>
      <c r="C332" s="364">
        <v>15000</v>
      </c>
      <c r="D332" s="4" t="s">
        <v>1184</v>
      </c>
      <c r="E332" s="4" t="s">
        <v>1184</v>
      </c>
      <c r="F332" s="4" t="s">
        <v>1184</v>
      </c>
      <c r="G332" s="5" t="s">
        <v>945</v>
      </c>
      <c r="H332" s="5" t="str">
        <f>TEXT(Table3[[#This Row],[Value Date]],"mmmm")</f>
        <v>July</v>
      </c>
    </row>
    <row r="333" spans="1:8">
      <c r="A333" s="3">
        <f t="shared" si="6"/>
        <v>639019.29999999993</v>
      </c>
      <c r="B333" s="364"/>
      <c r="C333" s="364">
        <v>15000</v>
      </c>
      <c r="D333" s="4" t="s">
        <v>1184</v>
      </c>
      <c r="E333" s="4" t="s">
        <v>1184</v>
      </c>
      <c r="F333" s="4" t="s">
        <v>1184</v>
      </c>
      <c r="G333" s="5" t="s">
        <v>945</v>
      </c>
      <c r="H333" s="5" t="str">
        <f>TEXT(Table3[[#This Row],[Value Date]],"mmmm")</f>
        <v>July</v>
      </c>
    </row>
    <row r="334" spans="1:8">
      <c r="A334" s="3">
        <f t="shared" si="6"/>
        <v>609019.29999999993</v>
      </c>
      <c r="B334" s="364"/>
      <c r="C334" s="364">
        <v>30000</v>
      </c>
      <c r="D334" s="4" t="s">
        <v>1185</v>
      </c>
      <c r="E334" s="4" t="s">
        <v>1185</v>
      </c>
      <c r="F334" s="4" t="s">
        <v>1185</v>
      </c>
      <c r="G334" s="5" t="s">
        <v>1006</v>
      </c>
      <c r="H334" s="5" t="str">
        <f>TEXT(Table3[[#This Row],[Value Date]],"mmmm")</f>
        <v>July</v>
      </c>
    </row>
    <row r="335" spans="1:8">
      <c r="A335" s="3">
        <f t="shared" si="6"/>
        <v>594019.29999999993</v>
      </c>
      <c r="B335" s="364"/>
      <c r="C335" s="364">
        <v>15000</v>
      </c>
      <c r="D335" s="4" t="s">
        <v>1185</v>
      </c>
      <c r="E335" s="4" t="s">
        <v>1185</v>
      </c>
      <c r="F335" s="4" t="s">
        <v>1185</v>
      </c>
      <c r="G335" s="5" t="s">
        <v>945</v>
      </c>
      <c r="H335" s="5" t="str">
        <f>TEXT(Table3[[#This Row],[Value Date]],"mmmm")</f>
        <v>July</v>
      </c>
    </row>
    <row r="336" spans="1:8">
      <c r="A336" s="3">
        <f t="shared" si="6"/>
        <v>579019.29999999993</v>
      </c>
      <c r="B336" s="364"/>
      <c r="C336" s="364">
        <v>15000</v>
      </c>
      <c r="D336" s="4" t="s">
        <v>1185</v>
      </c>
      <c r="E336" s="4" t="s">
        <v>1185</v>
      </c>
      <c r="F336" s="4" t="s">
        <v>1185</v>
      </c>
      <c r="G336" s="5" t="s">
        <v>945</v>
      </c>
      <c r="H336" s="5" t="str">
        <f>TEXT(Table3[[#This Row],[Value Date]],"mmmm")</f>
        <v>July</v>
      </c>
    </row>
    <row r="337" spans="1:8">
      <c r="A337" s="3">
        <f t="shared" si="6"/>
        <v>578019.29999999993</v>
      </c>
      <c r="B337" s="364"/>
      <c r="C337" s="364">
        <v>1000</v>
      </c>
      <c r="D337" s="4" t="s">
        <v>1185</v>
      </c>
      <c r="E337" s="4" t="s">
        <v>1185</v>
      </c>
      <c r="F337" s="4" t="s">
        <v>1185</v>
      </c>
      <c r="G337" s="5" t="s">
        <v>1186</v>
      </c>
      <c r="H337" s="5" t="str">
        <f>TEXT(Table3[[#This Row],[Value Date]],"mmmm")</f>
        <v>July</v>
      </c>
    </row>
    <row r="338" spans="1:8">
      <c r="A338" s="3">
        <f t="shared" si="6"/>
        <v>577959.29999999993</v>
      </c>
      <c r="B338" s="364"/>
      <c r="C338" s="364">
        <v>60</v>
      </c>
      <c r="D338" s="4" t="s">
        <v>1185</v>
      </c>
      <c r="E338" s="4" t="s">
        <v>1185</v>
      </c>
      <c r="F338" s="4" t="s">
        <v>1185</v>
      </c>
      <c r="G338" s="5" t="s">
        <v>1187</v>
      </c>
      <c r="H338" s="5" t="str">
        <f>TEXT(Table3[[#This Row],[Value Date]],"mmmm")</f>
        <v>July</v>
      </c>
    </row>
    <row r="339" spans="1:8">
      <c r="A339" s="3">
        <f t="shared" si="6"/>
        <v>577884.29999999993</v>
      </c>
      <c r="B339" s="364"/>
      <c r="C339" s="364">
        <v>75</v>
      </c>
      <c r="D339" s="4" t="s">
        <v>1185</v>
      </c>
      <c r="E339" s="4" t="s">
        <v>1185</v>
      </c>
      <c r="F339" s="4" t="s">
        <v>1185</v>
      </c>
      <c r="G339" s="5" t="s">
        <v>1188</v>
      </c>
      <c r="H339" s="5" t="str">
        <f>TEXT(Table3[[#This Row],[Value Date]],"mmmm")</f>
        <v>July</v>
      </c>
    </row>
    <row r="340" spans="1:8">
      <c r="A340" s="3">
        <f t="shared" si="6"/>
        <v>577864.29999999993</v>
      </c>
      <c r="B340" s="364"/>
      <c r="C340" s="364">
        <v>20</v>
      </c>
      <c r="D340" s="4" t="s">
        <v>1185</v>
      </c>
      <c r="E340" s="4" t="s">
        <v>1185</v>
      </c>
      <c r="F340" s="4" t="s">
        <v>1185</v>
      </c>
      <c r="G340" s="5" t="s">
        <v>1189</v>
      </c>
      <c r="H340" s="5" t="str">
        <f>TEXT(Table3[[#This Row],[Value Date]],"mmmm")</f>
        <v>July</v>
      </c>
    </row>
    <row r="341" spans="1:8">
      <c r="A341" s="3">
        <f t="shared" si="6"/>
        <v>478864.29999999993</v>
      </c>
      <c r="B341" s="364"/>
      <c r="C341" s="364">
        <v>99000</v>
      </c>
      <c r="D341" s="4" t="s">
        <v>1185</v>
      </c>
      <c r="E341" s="4" t="s">
        <v>1185</v>
      </c>
      <c r="F341" s="4" t="s">
        <v>1185</v>
      </c>
      <c r="G341" s="5" t="s">
        <v>1190</v>
      </c>
      <c r="H341" s="5" t="str">
        <f>TEXT(Table3[[#This Row],[Value Date]],"mmmm")</f>
        <v>July</v>
      </c>
    </row>
    <row r="342" spans="1:8">
      <c r="A342" s="3">
        <f t="shared" si="6"/>
        <v>599336.72</v>
      </c>
      <c r="B342" s="364">
        <v>120472.42</v>
      </c>
      <c r="C342" s="364"/>
      <c r="D342" s="4" t="s">
        <v>1192</v>
      </c>
      <c r="E342" s="4" t="s">
        <v>1192</v>
      </c>
      <c r="F342" s="4" t="s">
        <v>1192</v>
      </c>
      <c r="G342" s="5" t="s">
        <v>1193</v>
      </c>
      <c r="H342" s="5" t="str">
        <f>TEXT(Table3[[#This Row],[Value Date]],"mmmm")</f>
        <v>July</v>
      </c>
    </row>
    <row r="343" spans="1:8">
      <c r="A343" s="3">
        <f t="shared" si="6"/>
        <v>737343.91999999993</v>
      </c>
      <c r="B343" s="364">
        <v>138007.20000000001</v>
      </c>
      <c r="C343" s="364"/>
      <c r="D343" s="4" t="s">
        <v>1192</v>
      </c>
      <c r="E343" s="4" t="s">
        <v>1192</v>
      </c>
      <c r="F343" s="4" t="s">
        <v>1192</v>
      </c>
      <c r="G343" s="5" t="s">
        <v>1194</v>
      </c>
      <c r="H343" s="5" t="str">
        <f>TEXT(Table3[[#This Row],[Value Date]],"mmmm")</f>
        <v>July</v>
      </c>
    </row>
    <row r="344" spans="1:8">
      <c r="A344" s="3">
        <f t="shared" si="6"/>
        <v>722343.91999999993</v>
      </c>
      <c r="B344" s="364"/>
      <c r="C344" s="364">
        <v>15000</v>
      </c>
      <c r="D344" s="4" t="s">
        <v>1198</v>
      </c>
      <c r="E344" s="4" t="s">
        <v>1192</v>
      </c>
      <c r="F344" s="4" t="s">
        <v>1192</v>
      </c>
      <c r="G344" s="5" t="s">
        <v>353</v>
      </c>
      <c r="H344" s="5" t="str">
        <f>TEXT(Table3[[#This Row],[Value Date]],"mmmm")</f>
        <v>July</v>
      </c>
    </row>
    <row r="345" spans="1:8">
      <c r="A345" s="3">
        <f t="shared" si="6"/>
        <v>707343.91999999993</v>
      </c>
      <c r="B345" s="364"/>
      <c r="C345" s="364">
        <v>15000</v>
      </c>
      <c r="D345" s="4" t="s">
        <v>1198</v>
      </c>
      <c r="E345" s="4" t="s">
        <v>1192</v>
      </c>
      <c r="F345" s="4" t="s">
        <v>1192</v>
      </c>
      <c r="G345" s="5" t="s">
        <v>353</v>
      </c>
      <c r="H345" s="5" t="str">
        <f>TEXT(Table3[[#This Row],[Value Date]],"mmmm")</f>
        <v>July</v>
      </c>
    </row>
    <row r="346" spans="1:8">
      <c r="A346" s="3">
        <f t="shared" si="6"/>
        <v>758824.48</v>
      </c>
      <c r="B346" s="364">
        <v>51480.56</v>
      </c>
      <c r="C346" s="364"/>
      <c r="D346" s="4" t="s">
        <v>1198</v>
      </c>
      <c r="E346" s="4" t="s">
        <v>1198</v>
      </c>
      <c r="F346" s="4" t="s">
        <v>1198</v>
      </c>
      <c r="G346" s="5" t="s">
        <v>698</v>
      </c>
      <c r="H346" s="5" t="str">
        <f>TEXT(Table3[[#This Row],[Value Date]],"mmmm")</f>
        <v>July</v>
      </c>
    </row>
    <row r="347" spans="1:8">
      <c r="A347" s="3">
        <f t="shared" si="6"/>
        <v>743824.48</v>
      </c>
      <c r="B347" s="364"/>
      <c r="C347" s="364">
        <v>15000</v>
      </c>
      <c r="D347" s="4" t="s">
        <v>1201</v>
      </c>
      <c r="E347" s="4" t="s">
        <v>1201</v>
      </c>
      <c r="F347" s="4" t="s">
        <v>1201</v>
      </c>
      <c r="G347" s="5" t="s">
        <v>790</v>
      </c>
      <c r="H347" s="5" t="str">
        <f>TEXT(Table3[[#This Row],[Value Date]],"mmmm")</f>
        <v>July</v>
      </c>
    </row>
    <row r="348" spans="1:8">
      <c r="A348" s="3">
        <f t="shared" si="6"/>
        <v>728824.48</v>
      </c>
      <c r="B348" s="364"/>
      <c r="C348" s="364">
        <v>15000</v>
      </c>
      <c r="D348" s="4" t="s">
        <v>1201</v>
      </c>
      <c r="E348" s="4" t="s">
        <v>1201</v>
      </c>
      <c r="F348" s="4" t="s">
        <v>1201</v>
      </c>
      <c r="G348" s="5" t="s">
        <v>790</v>
      </c>
      <c r="H348" s="5" t="str">
        <f>TEXT(Table3[[#This Row],[Value Date]],"mmmm")</f>
        <v>July</v>
      </c>
    </row>
    <row r="349" spans="1:8">
      <c r="A349" s="3">
        <f t="shared" si="6"/>
        <v>1020754.48</v>
      </c>
      <c r="B349" s="364">
        <v>291930</v>
      </c>
      <c r="C349" s="364"/>
      <c r="D349" s="4" t="s">
        <v>1201</v>
      </c>
      <c r="E349" s="4" t="s">
        <v>1201</v>
      </c>
      <c r="F349" s="4" t="s">
        <v>1201</v>
      </c>
      <c r="G349" s="5" t="s">
        <v>1202</v>
      </c>
      <c r="H349" s="5" t="str">
        <f>TEXT(Table3[[#This Row],[Value Date]],"mmmm")</f>
        <v>July</v>
      </c>
    </row>
    <row r="350" spans="1:8">
      <c r="A350" s="3">
        <f t="shared" si="6"/>
        <v>900754.48</v>
      </c>
      <c r="B350" s="364"/>
      <c r="C350" s="364">
        <v>120000</v>
      </c>
      <c r="D350" s="4" t="s">
        <v>1201</v>
      </c>
      <c r="E350" s="4" t="s">
        <v>1201</v>
      </c>
      <c r="F350" s="4" t="s">
        <v>1201</v>
      </c>
      <c r="G350" s="5" t="s">
        <v>735</v>
      </c>
      <c r="H350" s="5" t="str">
        <f>TEXT(Table3[[#This Row],[Value Date]],"mmmm")</f>
        <v>July</v>
      </c>
    </row>
    <row r="351" spans="1:8">
      <c r="A351" s="3">
        <f t="shared" si="6"/>
        <v>865754.48</v>
      </c>
      <c r="B351" s="364"/>
      <c r="C351" s="364">
        <v>35000</v>
      </c>
      <c r="D351" s="4" t="s">
        <v>1201</v>
      </c>
      <c r="E351" s="4" t="s">
        <v>1201</v>
      </c>
      <c r="F351" s="4" t="s">
        <v>1201</v>
      </c>
      <c r="G351" s="5" t="s">
        <v>1204</v>
      </c>
      <c r="H351" s="5" t="str">
        <f>TEXT(Table3[[#This Row],[Value Date]],"mmmm")</f>
        <v>July</v>
      </c>
    </row>
    <row r="352" spans="1:8">
      <c r="A352" s="3">
        <f t="shared" si="6"/>
        <v>830754.48</v>
      </c>
      <c r="B352" s="364"/>
      <c r="C352" s="364">
        <v>35000</v>
      </c>
      <c r="D352" s="4" t="s">
        <v>1201</v>
      </c>
      <c r="E352" s="4" t="s">
        <v>1201</v>
      </c>
      <c r="F352" s="4" t="s">
        <v>1201</v>
      </c>
      <c r="G352" s="5" t="s">
        <v>1205</v>
      </c>
      <c r="H352" s="5" t="str">
        <f>TEXT(Table3[[#This Row],[Value Date]],"mmmm")</f>
        <v>July</v>
      </c>
    </row>
    <row r="353" spans="1:8">
      <c r="A353" s="3">
        <f t="shared" si="6"/>
        <v>803254.48</v>
      </c>
      <c r="B353" s="364"/>
      <c r="C353" s="364">
        <v>27500</v>
      </c>
      <c r="D353" s="4" t="s">
        <v>1201</v>
      </c>
      <c r="E353" s="4" t="s">
        <v>1201</v>
      </c>
      <c r="F353" s="4" t="s">
        <v>1201</v>
      </c>
      <c r="G353" s="5" t="s">
        <v>1206</v>
      </c>
      <c r="H353" s="5" t="str">
        <f>TEXT(Table3[[#This Row],[Value Date]],"mmmm")</f>
        <v>July</v>
      </c>
    </row>
    <row r="354" spans="1:8">
      <c r="A354" s="3">
        <f t="shared" si="6"/>
        <v>768254.48</v>
      </c>
      <c r="B354" s="364"/>
      <c r="C354" s="364">
        <v>35000</v>
      </c>
      <c r="D354" s="4" t="s">
        <v>1201</v>
      </c>
      <c r="E354" s="4" t="s">
        <v>1201</v>
      </c>
      <c r="F354" s="4" t="s">
        <v>1201</v>
      </c>
      <c r="G354" s="5" t="s">
        <v>1207</v>
      </c>
      <c r="H354" s="5" t="str">
        <f>TEXT(Table3[[#This Row],[Value Date]],"mmmm")</f>
        <v>July</v>
      </c>
    </row>
    <row r="355" spans="1:8">
      <c r="A355" s="3">
        <f t="shared" si="6"/>
        <v>761061.48</v>
      </c>
      <c r="B355" s="364"/>
      <c r="C355" s="364">
        <v>7193</v>
      </c>
      <c r="D355" s="4" t="s">
        <v>1203</v>
      </c>
      <c r="E355" s="4" t="s">
        <v>1203</v>
      </c>
      <c r="F355" s="4" t="s">
        <v>1201</v>
      </c>
      <c r="G355" s="5" t="s">
        <v>1008</v>
      </c>
      <c r="H355" s="5" t="str">
        <f>TEXT(Table3[[#This Row],[Value Date]],"mmmm")</f>
        <v>July</v>
      </c>
    </row>
    <row r="356" spans="1:8">
      <c r="A356" s="3">
        <f t="shared" ref="A356:A419" si="7">A355+B356-C356</f>
        <v>700218.48</v>
      </c>
      <c r="B356" s="364"/>
      <c r="C356" s="364">
        <v>60843</v>
      </c>
      <c r="D356" s="4" t="s">
        <v>1203</v>
      </c>
      <c r="E356" s="4" t="s">
        <v>1203</v>
      </c>
      <c r="F356" s="4" t="s">
        <v>1201</v>
      </c>
      <c r="G356" s="5" t="s">
        <v>1008</v>
      </c>
      <c r="H356" s="5" t="str">
        <f>TEXT(Table3[[#This Row],[Value Date]],"mmmm")</f>
        <v>July</v>
      </c>
    </row>
    <row r="357" spans="1:8">
      <c r="A357" s="3">
        <f t="shared" si="7"/>
        <v>601218.48</v>
      </c>
      <c r="B357" s="364"/>
      <c r="C357" s="364">
        <v>99000</v>
      </c>
      <c r="D357" s="4" t="s">
        <v>1203</v>
      </c>
      <c r="E357" s="4" t="s">
        <v>1203</v>
      </c>
      <c r="F357" s="4" t="s">
        <v>1201</v>
      </c>
      <c r="G357" s="5" t="s">
        <v>1008</v>
      </c>
      <c r="H357" s="5" t="str">
        <f>TEXT(Table3[[#This Row],[Value Date]],"mmmm")</f>
        <v>July</v>
      </c>
    </row>
    <row r="358" spans="1:8">
      <c r="A358" s="3">
        <f t="shared" si="7"/>
        <v>351218.48</v>
      </c>
      <c r="B358" s="364"/>
      <c r="C358" s="364">
        <v>250000</v>
      </c>
      <c r="D358" s="4" t="s">
        <v>1203</v>
      </c>
      <c r="E358" s="4" t="s">
        <v>1203</v>
      </c>
      <c r="F358" s="4" t="s">
        <v>1203</v>
      </c>
      <c r="G358" s="5" t="s">
        <v>738</v>
      </c>
      <c r="H358" s="5" t="str">
        <f>TEXT(Table3[[#This Row],[Value Date]],"mmmm")</f>
        <v>July</v>
      </c>
    </row>
    <row r="359" spans="1:8">
      <c r="A359" s="3">
        <f t="shared" si="7"/>
        <v>116745.76999999999</v>
      </c>
      <c r="B359" s="364"/>
      <c r="C359" s="364">
        <v>234472.71</v>
      </c>
      <c r="D359" s="4" t="s">
        <v>1203</v>
      </c>
      <c r="E359" s="4" t="s">
        <v>1203</v>
      </c>
      <c r="F359" s="4" t="s">
        <v>1203</v>
      </c>
      <c r="G359" s="5" t="s">
        <v>1208</v>
      </c>
      <c r="H359" s="5" t="str">
        <f>TEXT(Table3[[#This Row],[Value Date]],"mmmm")</f>
        <v>July</v>
      </c>
    </row>
    <row r="360" spans="1:8">
      <c r="A360" s="3">
        <f t="shared" si="7"/>
        <v>114907.26999999999</v>
      </c>
      <c r="B360" s="364"/>
      <c r="C360" s="364">
        <v>1838.5</v>
      </c>
      <c r="D360" s="4" t="s">
        <v>1203</v>
      </c>
      <c r="E360" s="4" t="s">
        <v>1203</v>
      </c>
      <c r="F360" s="4" t="s">
        <v>1203</v>
      </c>
      <c r="G360" s="5" t="s">
        <v>1209</v>
      </c>
      <c r="H360" s="5" t="str">
        <f>TEXT(Table3[[#This Row],[Value Date]],"mmmm")</f>
        <v>July</v>
      </c>
    </row>
    <row r="361" spans="1:8">
      <c r="A361" s="3">
        <f t="shared" si="7"/>
        <v>114043.76999999999</v>
      </c>
      <c r="B361" s="364"/>
      <c r="C361" s="364">
        <v>863.5</v>
      </c>
      <c r="D361" s="4" t="s">
        <v>1203</v>
      </c>
      <c r="E361" s="4" t="s">
        <v>1203</v>
      </c>
      <c r="F361" s="4" t="s">
        <v>1203</v>
      </c>
      <c r="G361" s="5" t="s">
        <v>1210</v>
      </c>
      <c r="H361" s="5" t="str">
        <f>TEXT(Table3[[#This Row],[Value Date]],"mmmm")</f>
        <v>July</v>
      </c>
    </row>
    <row r="362" spans="1:8">
      <c r="A362" s="3">
        <f t="shared" si="7"/>
        <v>104043.76999999999</v>
      </c>
      <c r="B362" s="364"/>
      <c r="C362" s="364">
        <v>10000</v>
      </c>
      <c r="D362" s="4" t="s">
        <v>1211</v>
      </c>
      <c r="E362" s="4" t="s">
        <v>1203</v>
      </c>
      <c r="F362" s="4" t="s">
        <v>1203</v>
      </c>
      <c r="G362" s="5" t="s">
        <v>617</v>
      </c>
      <c r="H362" s="5" t="str">
        <f>TEXT(Table3[[#This Row],[Value Date]],"mmmm")</f>
        <v>July</v>
      </c>
    </row>
    <row r="363" spans="1:8">
      <c r="A363" s="3">
        <f t="shared" si="7"/>
        <v>94043.76999999999</v>
      </c>
      <c r="B363" s="364"/>
      <c r="C363" s="364">
        <v>10000</v>
      </c>
      <c r="D363" s="4" t="s">
        <v>1211</v>
      </c>
      <c r="E363" s="4" t="s">
        <v>1203</v>
      </c>
      <c r="F363" s="4" t="s">
        <v>1203</v>
      </c>
      <c r="G363" s="5" t="s">
        <v>617</v>
      </c>
      <c r="H363" s="5" t="str">
        <f>TEXT(Table3[[#This Row],[Value Date]],"mmmm")</f>
        <v>July</v>
      </c>
    </row>
    <row r="364" spans="1:8">
      <c r="A364" s="3">
        <f t="shared" si="7"/>
        <v>84043.76999999999</v>
      </c>
      <c r="B364" s="364"/>
      <c r="C364" s="364">
        <v>10000</v>
      </c>
      <c r="D364" s="4" t="s">
        <v>1211</v>
      </c>
      <c r="E364" s="4" t="s">
        <v>1203</v>
      </c>
      <c r="F364" s="4" t="s">
        <v>1203</v>
      </c>
      <c r="G364" s="5" t="s">
        <v>617</v>
      </c>
      <c r="H364" s="5" t="str">
        <f>TEXT(Table3[[#This Row],[Value Date]],"mmmm")</f>
        <v>July</v>
      </c>
    </row>
    <row r="365" spans="1:8">
      <c r="A365" s="3">
        <f t="shared" si="7"/>
        <v>69043.76999999999</v>
      </c>
      <c r="B365" s="364"/>
      <c r="C365" s="364">
        <v>15000</v>
      </c>
      <c r="D365" s="4" t="s">
        <v>1211</v>
      </c>
      <c r="E365" s="4" t="s">
        <v>1211</v>
      </c>
      <c r="F365" s="4" t="s">
        <v>1211</v>
      </c>
      <c r="G365" s="5" t="s">
        <v>945</v>
      </c>
      <c r="H365" s="5" t="str">
        <f>TEXT(Table3[[#This Row],[Value Date]],"mmmm")</f>
        <v>July</v>
      </c>
    </row>
    <row r="366" spans="1:8">
      <c r="A366" s="3">
        <f t="shared" si="7"/>
        <v>54043.76999999999</v>
      </c>
      <c r="B366" s="364"/>
      <c r="C366" s="364">
        <v>15000</v>
      </c>
      <c r="D366" s="4" t="s">
        <v>1211</v>
      </c>
      <c r="E366" s="4" t="s">
        <v>1211</v>
      </c>
      <c r="F366" s="4" t="s">
        <v>1211</v>
      </c>
      <c r="G366" s="5" t="s">
        <v>945</v>
      </c>
      <c r="H366" s="5" t="str">
        <f>TEXT(Table3[[#This Row],[Value Date]],"mmmm")</f>
        <v>July</v>
      </c>
    </row>
    <row r="367" spans="1:8">
      <c r="A367" s="3">
        <f t="shared" si="7"/>
        <v>187837.41</v>
      </c>
      <c r="B367" s="364">
        <v>133793.64000000001</v>
      </c>
      <c r="C367" s="364"/>
      <c r="D367" s="4" t="s">
        <v>1211</v>
      </c>
      <c r="E367" s="4" t="s">
        <v>1211</v>
      </c>
      <c r="F367" s="4" t="s">
        <v>1211</v>
      </c>
      <c r="G367" s="5" t="s">
        <v>1212</v>
      </c>
      <c r="H367" s="5" t="str">
        <f>TEXT(Table3[[#This Row],[Value Date]],"mmmm")</f>
        <v>July</v>
      </c>
    </row>
    <row r="368" spans="1:8">
      <c r="A368" s="3">
        <f t="shared" si="7"/>
        <v>402477.77</v>
      </c>
      <c r="B368" s="364">
        <v>214640.36</v>
      </c>
      <c r="C368" s="364"/>
      <c r="D368" s="4" t="s">
        <v>1211</v>
      </c>
      <c r="E368" s="4" t="s">
        <v>1211</v>
      </c>
      <c r="F368" s="4" t="s">
        <v>1211</v>
      </c>
      <c r="G368" s="5" t="s">
        <v>1214</v>
      </c>
      <c r="H368" s="5" t="str">
        <f>TEXT(Table3[[#This Row],[Value Date]],"mmmm")</f>
        <v>July</v>
      </c>
    </row>
    <row r="369" spans="1:8">
      <c r="A369" s="3">
        <f t="shared" si="7"/>
        <v>427635.77</v>
      </c>
      <c r="B369" s="364">
        <v>25158</v>
      </c>
      <c r="C369" s="364"/>
      <c r="D369" s="4" t="s">
        <v>1215</v>
      </c>
      <c r="E369" s="4" t="s">
        <v>1215</v>
      </c>
      <c r="F369" s="4" t="s">
        <v>1215</v>
      </c>
      <c r="G369" s="5" t="s">
        <v>1216</v>
      </c>
      <c r="H369" s="5" t="str">
        <f>TEXT(Table3[[#This Row],[Value Date]],"mmmm")</f>
        <v>August</v>
      </c>
    </row>
    <row r="370" spans="1:8">
      <c r="A370" s="3">
        <f t="shared" si="7"/>
        <v>563610.77</v>
      </c>
      <c r="B370" s="364">
        <v>135975</v>
      </c>
      <c r="C370" s="364"/>
      <c r="D370" s="4" t="s">
        <v>1215</v>
      </c>
      <c r="E370" s="4" t="s">
        <v>1215</v>
      </c>
      <c r="F370" s="4" t="s">
        <v>1215</v>
      </c>
      <c r="G370" s="5" t="s">
        <v>1217</v>
      </c>
      <c r="H370" s="5" t="str">
        <f>TEXT(Table3[[#This Row],[Value Date]],"mmmm")</f>
        <v>August</v>
      </c>
    </row>
    <row r="371" spans="1:8">
      <c r="A371" s="3">
        <f t="shared" si="7"/>
        <v>533610.77</v>
      </c>
      <c r="B371" s="364"/>
      <c r="C371" s="364">
        <v>30000</v>
      </c>
      <c r="D371" s="4" t="s">
        <v>1218</v>
      </c>
      <c r="E371" s="4" t="s">
        <v>1218</v>
      </c>
      <c r="F371" s="4" t="s">
        <v>1218</v>
      </c>
      <c r="G371" s="5" t="s">
        <v>1177</v>
      </c>
      <c r="H371" s="5" t="str">
        <f>TEXT(Table3[[#This Row],[Value Date]],"mmmm")</f>
        <v>August</v>
      </c>
    </row>
    <row r="372" spans="1:8">
      <c r="A372" s="3">
        <f t="shared" si="7"/>
        <v>518610.77</v>
      </c>
      <c r="B372" s="364"/>
      <c r="C372" s="364">
        <v>15000</v>
      </c>
      <c r="D372" s="4" t="s">
        <v>1218</v>
      </c>
      <c r="E372" s="4" t="s">
        <v>1218</v>
      </c>
      <c r="F372" s="4" t="s">
        <v>1218</v>
      </c>
      <c r="G372" s="5" t="s">
        <v>617</v>
      </c>
    </row>
    <row r="373" spans="1:8">
      <c r="A373" s="3">
        <f t="shared" si="7"/>
        <v>503610.77</v>
      </c>
      <c r="B373" s="364"/>
      <c r="C373" s="364">
        <v>15000</v>
      </c>
      <c r="D373" s="4" t="s">
        <v>1218</v>
      </c>
      <c r="E373" s="4" t="s">
        <v>1218</v>
      </c>
      <c r="F373" s="4" t="s">
        <v>1218</v>
      </c>
      <c r="G373" s="5" t="s">
        <v>617</v>
      </c>
      <c r="H373" s="5" t="str">
        <f>TEXT(Table3[[#This Row],[Value Date]],"mmmm")</f>
        <v>August</v>
      </c>
    </row>
    <row r="374" spans="1:8">
      <c r="A374" s="3">
        <f t="shared" si="7"/>
        <v>718251.13</v>
      </c>
      <c r="B374" s="364">
        <v>214640.36</v>
      </c>
      <c r="C374" s="364"/>
      <c r="D374" s="4" t="s">
        <v>1219</v>
      </c>
      <c r="E374" s="4" t="s">
        <v>1219</v>
      </c>
      <c r="F374" s="4" t="s">
        <v>1219</v>
      </c>
      <c r="G374" s="5" t="s">
        <v>1220</v>
      </c>
      <c r="H374" s="5" t="str">
        <f>TEXT(Table3[[#This Row],[Value Date]],"mmmm")</f>
        <v>August</v>
      </c>
    </row>
    <row r="375" spans="1:8">
      <c r="A375" s="3">
        <f t="shared" si="7"/>
        <v>703251.13</v>
      </c>
      <c r="B375" s="364"/>
      <c r="C375" s="364">
        <v>15000</v>
      </c>
      <c r="D375" s="4" t="s">
        <v>1221</v>
      </c>
      <c r="E375" s="4" t="s">
        <v>1219</v>
      </c>
      <c r="F375" s="4" t="s">
        <v>1219</v>
      </c>
      <c r="G375" s="5" t="s">
        <v>315</v>
      </c>
      <c r="H375" s="5" t="str">
        <f>TEXT(Table3[[#This Row],[Value Date]],"mmmm")</f>
        <v>August</v>
      </c>
    </row>
    <row r="376" spans="1:8">
      <c r="A376" s="3">
        <f t="shared" si="7"/>
        <v>688251.13</v>
      </c>
      <c r="B376" s="364"/>
      <c r="C376" s="364">
        <v>15000</v>
      </c>
      <c r="D376" s="4" t="s">
        <v>1221</v>
      </c>
      <c r="E376" s="4" t="s">
        <v>1221</v>
      </c>
      <c r="F376" s="4" t="s">
        <v>1221</v>
      </c>
      <c r="G376" s="5" t="s">
        <v>315</v>
      </c>
      <c r="H376" s="5" t="str">
        <f>TEXT(Table3[[#This Row],[Value Date]],"mmmm")</f>
        <v>August</v>
      </c>
    </row>
    <row r="377" spans="1:8">
      <c r="A377" s="3">
        <f t="shared" si="7"/>
        <v>673251.13</v>
      </c>
      <c r="B377" s="364"/>
      <c r="C377" s="364">
        <v>15000</v>
      </c>
      <c r="D377" s="4" t="s">
        <v>1221</v>
      </c>
      <c r="E377" s="4" t="s">
        <v>1221</v>
      </c>
      <c r="F377" s="4" t="s">
        <v>1221</v>
      </c>
      <c r="G377" s="5" t="s">
        <v>315</v>
      </c>
      <c r="H377" s="5" t="str">
        <f>TEXT(Table3[[#This Row],[Value Date]],"mmmm")</f>
        <v>August</v>
      </c>
    </row>
    <row r="378" spans="1:8">
      <c r="A378" s="3">
        <f t="shared" si="7"/>
        <v>695797.45</v>
      </c>
      <c r="B378" s="364">
        <v>22546.32</v>
      </c>
      <c r="C378" s="364"/>
      <c r="D378" s="4" t="s">
        <v>1221</v>
      </c>
      <c r="E378" s="4" t="s">
        <v>1221</v>
      </c>
      <c r="F378" s="4" t="s">
        <v>1221</v>
      </c>
      <c r="G378" s="5" t="s">
        <v>1222</v>
      </c>
      <c r="H378" s="5" t="str">
        <f>TEXT(Table3[[#This Row],[Value Date]],"mmmm")</f>
        <v>August</v>
      </c>
    </row>
    <row r="379" spans="1:8">
      <c r="A379" s="3">
        <f t="shared" si="7"/>
        <v>840011</v>
      </c>
      <c r="B379" s="364">
        <v>144213.54999999999</v>
      </c>
      <c r="C379" s="364"/>
      <c r="D379" s="4" t="s">
        <v>1221</v>
      </c>
      <c r="E379" s="4" t="s">
        <v>1221</v>
      </c>
      <c r="F379" s="4" t="s">
        <v>1221</v>
      </c>
      <c r="G379" s="5" t="s">
        <v>1223</v>
      </c>
      <c r="H379" s="5" t="str">
        <f>TEXT(Table3[[#This Row],[Value Date]],"mmmm")</f>
        <v>August</v>
      </c>
    </row>
    <row r="380" spans="1:8">
      <c r="A380" s="3">
        <f t="shared" si="7"/>
        <v>790011</v>
      </c>
      <c r="B380" s="364"/>
      <c r="C380" s="364">
        <v>50000</v>
      </c>
      <c r="D380" s="4" t="s">
        <v>1224</v>
      </c>
      <c r="E380" s="4" t="s">
        <v>1224</v>
      </c>
      <c r="F380" s="4" t="s">
        <v>1224</v>
      </c>
      <c r="G380" s="5" t="s">
        <v>1225</v>
      </c>
      <c r="H380" s="5" t="str">
        <f>TEXT(Table3[[#This Row],[Value Date]],"mmmm")</f>
        <v>August</v>
      </c>
    </row>
    <row r="381" spans="1:8">
      <c r="A381" s="3">
        <f t="shared" si="7"/>
        <v>740011</v>
      </c>
      <c r="B381" s="364"/>
      <c r="C381" s="364">
        <v>50000</v>
      </c>
      <c r="D381" s="4" t="s">
        <v>1224</v>
      </c>
      <c r="E381" s="4" t="s">
        <v>1224</v>
      </c>
      <c r="F381" s="4" t="s">
        <v>1224</v>
      </c>
      <c r="G381" s="5" t="s">
        <v>1226</v>
      </c>
      <c r="H381" s="5" t="str">
        <f>TEXT(Table3[[#This Row],[Value Date]],"mmmm")</f>
        <v>August</v>
      </c>
    </row>
    <row r="382" spans="1:8">
      <c r="A382" s="3">
        <f t="shared" si="7"/>
        <v>690011</v>
      </c>
      <c r="B382" s="364"/>
      <c r="C382" s="364">
        <v>50000</v>
      </c>
      <c r="D382" s="4" t="s">
        <v>1224</v>
      </c>
      <c r="E382" s="4" t="s">
        <v>1224</v>
      </c>
      <c r="F382" s="4" t="s">
        <v>1224</v>
      </c>
      <c r="G382" s="5" t="s">
        <v>1227</v>
      </c>
      <c r="H382" s="5" t="str">
        <f>TEXT(Table3[[#This Row],[Value Date]],"mmmm")</f>
        <v>August</v>
      </c>
    </row>
    <row r="383" spans="1:8">
      <c r="A383" s="3">
        <f t="shared" si="7"/>
        <v>640011</v>
      </c>
      <c r="B383" s="364"/>
      <c r="C383" s="364">
        <v>50000</v>
      </c>
      <c r="D383" s="4" t="s">
        <v>1224</v>
      </c>
      <c r="E383" s="4" t="s">
        <v>1224</v>
      </c>
      <c r="F383" s="4" t="s">
        <v>1224</v>
      </c>
      <c r="G383" s="5" t="s">
        <v>1228</v>
      </c>
      <c r="H383" s="5" t="str">
        <f>TEXT(Table3[[#This Row],[Value Date]],"mmmm")</f>
        <v>August</v>
      </c>
    </row>
    <row r="384" spans="1:8">
      <c r="A384" s="3">
        <f t="shared" si="7"/>
        <v>679959</v>
      </c>
      <c r="B384" s="364">
        <v>39948</v>
      </c>
      <c r="C384" s="364"/>
      <c r="D384" s="4" t="s">
        <v>1224</v>
      </c>
      <c r="E384" s="4" t="s">
        <v>1224</v>
      </c>
      <c r="F384" s="4" t="s">
        <v>1224</v>
      </c>
      <c r="G384" s="5" t="s">
        <v>1229</v>
      </c>
      <c r="H384" s="5" t="str">
        <f>TEXT(Table3[[#This Row],[Value Date]],"mmmm")</f>
        <v>August</v>
      </c>
    </row>
    <row r="385" spans="1:8">
      <c r="A385" s="3">
        <f t="shared" si="7"/>
        <v>579959</v>
      </c>
      <c r="B385" s="364"/>
      <c r="C385" s="364">
        <v>100000</v>
      </c>
      <c r="D385" s="4" t="s">
        <v>1234</v>
      </c>
      <c r="E385" s="4" t="s">
        <v>1234</v>
      </c>
      <c r="F385" s="4" t="s">
        <v>1234</v>
      </c>
      <c r="G385" s="5" t="s">
        <v>1236</v>
      </c>
      <c r="H385" s="5" t="str">
        <f>TEXT(Table3[[#This Row],[Value Date]],"mmmm")</f>
        <v>August</v>
      </c>
    </row>
    <row r="386" spans="1:8">
      <c r="A386" s="3">
        <f t="shared" si="7"/>
        <v>579809</v>
      </c>
      <c r="B386" s="364"/>
      <c r="C386" s="364">
        <v>150</v>
      </c>
      <c r="D386" s="4" t="s">
        <v>1234</v>
      </c>
      <c r="E386" s="4" t="s">
        <v>1234</v>
      </c>
      <c r="F386" s="4" t="s">
        <v>1234</v>
      </c>
      <c r="G386" s="5" t="s">
        <v>1235</v>
      </c>
      <c r="H386" s="5" t="str">
        <f>TEXT(Table3[[#This Row],[Value Date]],"mmmm")</f>
        <v>August</v>
      </c>
    </row>
    <row r="387" spans="1:8">
      <c r="A387" s="3">
        <f t="shared" si="7"/>
        <v>564809</v>
      </c>
      <c r="B387" s="364"/>
      <c r="C387" s="364">
        <v>15000</v>
      </c>
      <c r="D387" s="4" t="s">
        <v>1237</v>
      </c>
      <c r="E387" s="4" t="s">
        <v>1238</v>
      </c>
      <c r="F387" s="4" t="s">
        <v>1238</v>
      </c>
      <c r="G387" s="5" t="s">
        <v>353</v>
      </c>
      <c r="H387" s="5" t="str">
        <f>TEXT(Table3[[#This Row],[Value Date]],"mmmm")</f>
        <v>August</v>
      </c>
    </row>
    <row r="388" spans="1:8" ht="157.5">
      <c r="A388" s="3">
        <f t="shared" si="7"/>
        <v>579809</v>
      </c>
      <c r="B388" s="364">
        <v>15000</v>
      </c>
      <c r="C388" s="364"/>
      <c r="D388" s="4" t="s">
        <v>1237</v>
      </c>
      <c r="E388" s="4" t="s">
        <v>1238</v>
      </c>
      <c r="F388" s="4" t="s">
        <v>1238</v>
      </c>
      <c r="G388" s="5" t="s">
        <v>353</v>
      </c>
      <c r="H388" s="5" t="s">
        <v>353</v>
      </c>
    </row>
    <row r="389" spans="1:8">
      <c r="A389" s="3">
        <f t="shared" si="7"/>
        <v>569809</v>
      </c>
      <c r="B389" s="364"/>
      <c r="C389" s="364">
        <v>10000</v>
      </c>
      <c r="D389" s="4" t="s">
        <v>1237</v>
      </c>
      <c r="E389" s="4" t="s">
        <v>1238</v>
      </c>
      <c r="F389" s="4" t="s">
        <v>1238</v>
      </c>
      <c r="G389" s="5" t="s">
        <v>353</v>
      </c>
      <c r="H389" s="5" t="str">
        <f>TEXT(Table3[[#This Row],[Value Date]],"mmmm")</f>
        <v>August</v>
      </c>
    </row>
    <row r="390" spans="1:8">
      <c r="A390" s="3">
        <f t="shared" si="7"/>
        <v>559809</v>
      </c>
      <c r="B390" s="364"/>
      <c r="C390" s="364">
        <v>10000</v>
      </c>
      <c r="D390" s="4" t="s">
        <v>1237</v>
      </c>
      <c r="E390" s="4" t="s">
        <v>1238</v>
      </c>
      <c r="F390" s="4" t="s">
        <v>1238</v>
      </c>
      <c r="G390" s="5" t="s">
        <v>353</v>
      </c>
      <c r="H390" s="5" t="str">
        <f>TEXT(Table3[[#This Row],[Value Date]],"mmmm")</f>
        <v>August</v>
      </c>
    </row>
    <row r="391" spans="1:8">
      <c r="A391" s="3">
        <f t="shared" si="7"/>
        <v>569809</v>
      </c>
      <c r="B391" s="364">
        <v>10000</v>
      </c>
      <c r="C391" s="364"/>
      <c r="D391" s="4" t="s">
        <v>1237</v>
      </c>
      <c r="E391" s="4" t="s">
        <v>1238</v>
      </c>
      <c r="F391" s="4" t="s">
        <v>1238</v>
      </c>
      <c r="G391" s="5" t="s">
        <v>353</v>
      </c>
      <c r="H391" s="5" t="str">
        <f>TEXT(Table3[[#This Row],[Value Date]],"mmmm")</f>
        <v>August</v>
      </c>
    </row>
    <row r="392" spans="1:8">
      <c r="A392" s="3">
        <f t="shared" si="7"/>
        <v>559809</v>
      </c>
      <c r="B392" s="364"/>
      <c r="C392" s="364">
        <v>10000</v>
      </c>
      <c r="D392" s="4" t="s">
        <v>1237</v>
      </c>
      <c r="E392" s="4" t="s">
        <v>1238</v>
      </c>
      <c r="F392" s="4" t="s">
        <v>1238</v>
      </c>
      <c r="G392" s="5" t="s">
        <v>315</v>
      </c>
      <c r="H392" s="5" t="str">
        <f>TEXT(Table3[[#This Row],[Value Date]],"mmmm")</f>
        <v>August</v>
      </c>
    </row>
    <row r="393" spans="1:8">
      <c r="A393" s="3">
        <f t="shared" si="7"/>
        <v>549809</v>
      </c>
      <c r="B393" s="364"/>
      <c r="C393" s="364">
        <v>10000</v>
      </c>
      <c r="D393" s="4" t="s">
        <v>1237</v>
      </c>
      <c r="E393" s="4" t="s">
        <v>1238</v>
      </c>
      <c r="F393" s="4" t="s">
        <v>1238</v>
      </c>
      <c r="G393" s="5" t="s">
        <v>315</v>
      </c>
      <c r="H393" s="5" t="str">
        <f>TEXT(Table3[[#This Row],[Value Date]],"mmmm")</f>
        <v>August</v>
      </c>
    </row>
    <row r="394" spans="1:8">
      <c r="A394" s="3">
        <f t="shared" si="7"/>
        <v>611989.66</v>
      </c>
      <c r="B394" s="364">
        <v>62180.66</v>
      </c>
      <c r="C394" s="364"/>
      <c r="D394" s="4" t="s">
        <v>1237</v>
      </c>
      <c r="E394" s="4" t="s">
        <v>1237</v>
      </c>
      <c r="F394" s="4" t="s">
        <v>1237</v>
      </c>
      <c r="G394" s="5" t="s">
        <v>1239</v>
      </c>
      <c r="H394" s="5" t="str">
        <f>TEXT(Table3[[#This Row],[Value Date]],"mmmm")</f>
        <v>August</v>
      </c>
    </row>
    <row r="395" spans="1:8">
      <c r="A395" s="3">
        <f t="shared" si="7"/>
        <v>533414.09000000008</v>
      </c>
      <c r="B395" s="364"/>
      <c r="C395" s="364">
        <v>78575.570000000007</v>
      </c>
      <c r="D395" s="4" t="s">
        <v>1237</v>
      </c>
      <c r="E395" s="4" t="s">
        <v>1237</v>
      </c>
      <c r="F395" s="4" t="s">
        <v>1237</v>
      </c>
      <c r="G395" s="5" t="s">
        <v>1240</v>
      </c>
      <c r="H395" s="5" t="str">
        <f>TEXT(Table3[[#This Row],[Value Date]],"mmmm")</f>
        <v>August</v>
      </c>
    </row>
    <row r="396" spans="1:8">
      <c r="A396" s="3">
        <f t="shared" si="7"/>
        <v>531275.59000000008</v>
      </c>
      <c r="B396" s="364"/>
      <c r="C396" s="364">
        <v>2138.5</v>
      </c>
      <c r="D396" s="4" t="s">
        <v>1237</v>
      </c>
      <c r="E396" s="4" t="s">
        <v>1237</v>
      </c>
      <c r="F396" s="4" t="s">
        <v>1237</v>
      </c>
      <c r="G396" s="5" t="s">
        <v>1241</v>
      </c>
      <c r="H396" s="5" t="str">
        <f>TEXT(Table3[[#This Row],[Value Date]],"mmmm")</f>
        <v>August</v>
      </c>
    </row>
    <row r="397" spans="1:8">
      <c r="A397" s="3">
        <f t="shared" si="7"/>
        <v>531057.09000000008</v>
      </c>
      <c r="B397" s="364"/>
      <c r="C397" s="364">
        <v>218.5</v>
      </c>
      <c r="D397" s="4" t="s">
        <v>1237</v>
      </c>
      <c r="E397" s="4" t="s">
        <v>1237</v>
      </c>
      <c r="F397" s="4" t="s">
        <v>1237</v>
      </c>
      <c r="G397" s="5" t="s">
        <v>1242</v>
      </c>
      <c r="H397" s="5" t="str">
        <f>TEXT(Table3[[#This Row],[Value Date]],"mmmm")</f>
        <v>August</v>
      </c>
    </row>
    <row r="398" spans="1:8">
      <c r="A398" s="3">
        <f t="shared" si="7"/>
        <v>590865.95000000007</v>
      </c>
      <c r="B398" s="364">
        <v>59808.86</v>
      </c>
      <c r="C398" s="364"/>
      <c r="D398" s="4" t="s">
        <v>1243</v>
      </c>
      <c r="E398" s="4" t="s">
        <v>1243</v>
      </c>
      <c r="F398" s="4" t="s">
        <v>1243</v>
      </c>
      <c r="G398" s="5" t="s">
        <v>1244</v>
      </c>
      <c r="H398" s="5" t="str">
        <f>TEXT(Table3[[#This Row],[Value Date]],"mmmm")</f>
        <v>August</v>
      </c>
    </row>
    <row r="399" spans="1:8">
      <c r="A399" s="3">
        <f t="shared" si="7"/>
        <v>677799.24000000011</v>
      </c>
      <c r="B399" s="364">
        <v>86933.29</v>
      </c>
      <c r="C399" s="364"/>
      <c r="D399" s="4" t="s">
        <v>1243</v>
      </c>
      <c r="E399" s="4" t="s">
        <v>1243</v>
      </c>
      <c r="F399" s="4" t="s">
        <v>1243</v>
      </c>
      <c r="G399" s="5" t="s">
        <v>1245</v>
      </c>
      <c r="H399" s="5" t="str">
        <f>TEXT(Table3[[#This Row],[Value Date]],"mmmm")</f>
        <v>August</v>
      </c>
    </row>
    <row r="400" spans="1:8">
      <c r="A400" s="3">
        <f t="shared" si="7"/>
        <v>662799.24000000011</v>
      </c>
      <c r="B400" s="364"/>
      <c r="C400" s="364">
        <v>15000</v>
      </c>
      <c r="D400" s="4" t="s">
        <v>1250</v>
      </c>
      <c r="E400" s="4" t="s">
        <v>1250</v>
      </c>
      <c r="F400" s="4" t="s">
        <v>1251</v>
      </c>
      <c r="G400" s="5" t="s">
        <v>617</v>
      </c>
      <c r="H400" s="5" t="str">
        <f>TEXT(Table3[[#This Row],[Value Date]],"mmmm")</f>
        <v>August</v>
      </c>
    </row>
    <row r="401" spans="1:8">
      <c r="A401" s="3">
        <f t="shared" si="7"/>
        <v>647799.24000000011</v>
      </c>
      <c r="B401" s="364"/>
      <c r="C401" s="364">
        <v>15000</v>
      </c>
      <c r="D401" s="4" t="s">
        <v>1250</v>
      </c>
      <c r="E401" s="4" t="s">
        <v>1250</v>
      </c>
      <c r="F401" s="4" t="s">
        <v>1251</v>
      </c>
      <c r="G401" s="5" t="s">
        <v>617</v>
      </c>
      <c r="H401" s="5" t="str">
        <f>TEXT(Table3[[#This Row],[Value Date]],"mmmm")</f>
        <v>August</v>
      </c>
    </row>
    <row r="402" spans="1:8">
      <c r="A402" s="3">
        <f t="shared" si="7"/>
        <v>632799.24000000011</v>
      </c>
      <c r="B402" s="364"/>
      <c r="C402" s="364">
        <v>15000</v>
      </c>
      <c r="D402" s="4" t="s">
        <v>1252</v>
      </c>
      <c r="E402" s="4" t="s">
        <v>1253</v>
      </c>
      <c r="F402" s="4" t="s">
        <v>1253</v>
      </c>
      <c r="G402" s="5" t="s">
        <v>315</v>
      </c>
      <c r="H402" s="5" t="str">
        <f>TEXT(Table3[[#This Row],[Value Date]],"mmmm")</f>
        <v>August</v>
      </c>
    </row>
    <row r="403" spans="1:8">
      <c r="A403" s="3">
        <f t="shared" si="7"/>
        <v>617799.24000000011</v>
      </c>
      <c r="B403" s="364"/>
      <c r="C403" s="364">
        <v>15000</v>
      </c>
      <c r="D403" s="4" t="s">
        <v>1252</v>
      </c>
      <c r="E403" s="4" t="s">
        <v>1253</v>
      </c>
      <c r="F403" s="4" t="s">
        <v>1253</v>
      </c>
      <c r="G403" s="5" t="s">
        <v>315</v>
      </c>
      <c r="H403" s="5" t="str">
        <f>TEXT(Table3[[#This Row],[Value Date]],"mmmm")</f>
        <v>August</v>
      </c>
    </row>
    <row r="404" spans="1:8">
      <c r="A404" s="3">
        <f t="shared" si="7"/>
        <v>728706.42000000016</v>
      </c>
      <c r="B404" s="364">
        <v>110907.18</v>
      </c>
      <c r="C404" s="364"/>
      <c r="D404" s="4" t="s">
        <v>1254</v>
      </c>
      <c r="E404" s="4" t="s">
        <v>1254</v>
      </c>
      <c r="F404" s="4" t="s">
        <v>1254</v>
      </c>
      <c r="G404" s="5" t="s">
        <v>1255</v>
      </c>
      <c r="H404" s="5" t="str">
        <f>TEXT(Table3[[#This Row],[Value Date]],"mmmm")</f>
        <v>August</v>
      </c>
    </row>
    <row r="405" spans="1:8">
      <c r="A405" s="3">
        <f t="shared" si="7"/>
        <v>713706.42000000016</v>
      </c>
      <c r="B405" s="364"/>
      <c r="C405" s="364">
        <v>15000</v>
      </c>
      <c r="D405" s="4" t="s">
        <v>1256</v>
      </c>
      <c r="E405" s="4" t="s">
        <v>1256</v>
      </c>
      <c r="F405" s="4" t="s">
        <v>1256</v>
      </c>
      <c r="G405" s="5" t="s">
        <v>790</v>
      </c>
      <c r="H405" s="5" t="str">
        <f>TEXT(Table3[[#This Row],[Value Date]],"mmmm")</f>
        <v>August</v>
      </c>
    </row>
    <row r="406" spans="1:8">
      <c r="A406" s="3">
        <f t="shared" si="7"/>
        <v>698706.42000000016</v>
      </c>
      <c r="B406" s="364"/>
      <c r="C406" s="364">
        <v>15000</v>
      </c>
      <c r="D406" s="4" t="s">
        <v>1256</v>
      </c>
      <c r="E406" s="4" t="s">
        <v>1256</v>
      </c>
      <c r="F406" s="4" t="s">
        <v>1256</v>
      </c>
      <c r="G406" s="5" t="s">
        <v>790</v>
      </c>
      <c r="H406" s="5" t="str">
        <f>TEXT(Table3[[#This Row],[Value Date]],"mmmm")</f>
        <v>August</v>
      </c>
    </row>
    <row r="407" spans="1:8">
      <c r="A407" s="3">
        <f t="shared" si="7"/>
        <v>668706.42000000016</v>
      </c>
      <c r="B407" s="364"/>
      <c r="C407" s="364">
        <v>30000</v>
      </c>
      <c r="D407" s="4" t="s">
        <v>1257</v>
      </c>
      <c r="E407" s="4" t="s">
        <v>1257</v>
      </c>
      <c r="F407" s="4" t="s">
        <v>1258</v>
      </c>
      <c r="G407" s="5" t="s">
        <v>1259</v>
      </c>
      <c r="H407" s="5" t="str">
        <f>TEXT(Table3[[#This Row],[Value Date]],"mmmm")</f>
        <v>August</v>
      </c>
    </row>
    <row r="408" spans="1:8">
      <c r="A408" s="3">
        <f t="shared" si="7"/>
        <v>653706.42000000016</v>
      </c>
      <c r="B408" s="364"/>
      <c r="C408" s="364">
        <v>15000</v>
      </c>
      <c r="D408" s="4" t="s">
        <v>1257</v>
      </c>
      <c r="E408" s="4" t="s">
        <v>1257</v>
      </c>
      <c r="F408" s="4" t="s">
        <v>1258</v>
      </c>
      <c r="G408" s="5" t="s">
        <v>1260</v>
      </c>
      <c r="H408" s="5" t="str">
        <f>TEXT(Table3[[#This Row],[Value Date]],"mmmm")</f>
        <v>August</v>
      </c>
    </row>
    <row r="409" spans="1:8">
      <c r="A409" s="3">
        <f t="shared" si="7"/>
        <v>638706.42000000016</v>
      </c>
      <c r="B409" s="364"/>
      <c r="C409" s="364">
        <v>15000</v>
      </c>
      <c r="D409" s="4" t="s">
        <v>1257</v>
      </c>
      <c r="E409" s="4" t="s">
        <v>1257</v>
      </c>
      <c r="F409" s="4" t="s">
        <v>1258</v>
      </c>
      <c r="G409" s="5" t="s">
        <v>1260</v>
      </c>
      <c r="H409" s="5" t="str">
        <f>TEXT(Table3[[#This Row],[Value Date]],"mmmm")</f>
        <v>August</v>
      </c>
    </row>
    <row r="410" spans="1:8">
      <c r="A410" s="3">
        <f t="shared" si="7"/>
        <v>623706.42000000016</v>
      </c>
      <c r="B410" s="364"/>
      <c r="C410" s="364">
        <v>15000</v>
      </c>
      <c r="D410" s="4" t="s">
        <v>1257</v>
      </c>
      <c r="E410" s="4" t="s">
        <v>1257</v>
      </c>
      <c r="F410" s="4" t="s">
        <v>1257</v>
      </c>
      <c r="G410" s="5" t="s">
        <v>1261</v>
      </c>
      <c r="H410" s="5" t="str">
        <f>TEXT(Table3[[#This Row],[Value Date]],"mmmm")</f>
        <v>August</v>
      </c>
    </row>
    <row r="411" spans="1:8">
      <c r="A411" s="3">
        <f t="shared" si="7"/>
        <v>608706.42000000016</v>
      </c>
      <c r="B411" s="364"/>
      <c r="C411" s="364">
        <v>15000</v>
      </c>
      <c r="D411" s="4" t="s">
        <v>1257</v>
      </c>
      <c r="E411" s="4" t="s">
        <v>1257</v>
      </c>
      <c r="F411" s="4" t="s">
        <v>1257</v>
      </c>
      <c r="G411" s="5" t="s">
        <v>1261</v>
      </c>
      <c r="H411" s="5" t="str">
        <f>TEXT(Table3[[#This Row],[Value Date]],"mmmm")</f>
        <v>August</v>
      </c>
    </row>
    <row r="412" spans="1:8">
      <c r="A412" s="3">
        <f t="shared" si="7"/>
        <v>695286.42000000016</v>
      </c>
      <c r="B412" s="364">
        <v>86580</v>
      </c>
      <c r="C412" s="364"/>
      <c r="D412" s="4" t="s">
        <v>1262</v>
      </c>
      <c r="E412" s="4" t="s">
        <v>1262</v>
      </c>
      <c r="F412" s="4" t="s">
        <v>1262</v>
      </c>
      <c r="G412" s="5" t="s">
        <v>1263</v>
      </c>
      <c r="H412" s="5" t="str">
        <f>TEXT(Table3[[#This Row],[Value Date]],"mmmm")</f>
        <v>August</v>
      </c>
    </row>
    <row r="413" spans="1:8">
      <c r="A413" s="3">
        <f t="shared" si="7"/>
        <v>665286.42000000016</v>
      </c>
      <c r="B413" s="364"/>
      <c r="C413" s="364">
        <v>30000</v>
      </c>
      <c r="D413" s="4" t="s">
        <v>1270</v>
      </c>
      <c r="E413" s="4" t="s">
        <v>1271</v>
      </c>
      <c r="F413" s="4" t="s">
        <v>1271</v>
      </c>
      <c r="G413" s="5" t="s">
        <v>1004</v>
      </c>
      <c r="H413" s="5" t="str">
        <f>TEXT(Table3[[#This Row],[Value Date]],"mmmm")</f>
        <v>August</v>
      </c>
    </row>
    <row r="414" spans="1:8">
      <c r="A414" s="3">
        <f t="shared" si="7"/>
        <v>650286.42000000016</v>
      </c>
      <c r="B414" s="364"/>
      <c r="C414" s="364">
        <v>15000</v>
      </c>
      <c r="D414" s="4" t="s">
        <v>1270</v>
      </c>
      <c r="E414" s="4" t="s">
        <v>1271</v>
      </c>
      <c r="F414" s="4" t="s">
        <v>1271</v>
      </c>
      <c r="G414" s="5" t="s">
        <v>617</v>
      </c>
      <c r="H414" s="5" t="str">
        <f>TEXT(Table3[[#This Row],[Value Date]],"mmmm")</f>
        <v>August</v>
      </c>
    </row>
    <row r="415" spans="1:8">
      <c r="A415" s="3">
        <f t="shared" si="7"/>
        <v>635286.42000000016</v>
      </c>
      <c r="B415" s="364"/>
      <c r="C415" s="364">
        <v>15000</v>
      </c>
      <c r="D415" s="4" t="s">
        <v>1270</v>
      </c>
      <c r="E415" s="4" t="s">
        <v>1271</v>
      </c>
      <c r="F415" s="4" t="s">
        <v>1271</v>
      </c>
      <c r="G415" s="5" t="s">
        <v>617</v>
      </c>
      <c r="H415" s="5" t="str">
        <f>TEXT(Table3[[#This Row],[Value Date]],"mmmm")</f>
        <v>August</v>
      </c>
    </row>
    <row r="416" spans="1:8">
      <c r="A416" s="3">
        <f t="shared" si="7"/>
        <v>605286.42000000016</v>
      </c>
      <c r="B416" s="364"/>
      <c r="C416" s="364">
        <v>30000</v>
      </c>
      <c r="D416" s="4" t="s">
        <v>1270</v>
      </c>
      <c r="E416" s="4" t="s">
        <v>1270</v>
      </c>
      <c r="F416" s="4" t="s">
        <v>1270</v>
      </c>
      <c r="G416" s="5" t="s">
        <v>922</v>
      </c>
      <c r="H416" s="5" t="str">
        <f>TEXT(Table3[[#This Row],[Value Date]],"mmmm")</f>
        <v>August</v>
      </c>
    </row>
    <row r="417" spans="1:8">
      <c r="A417" s="3">
        <f t="shared" si="7"/>
        <v>590286.42000000016</v>
      </c>
      <c r="B417" s="364"/>
      <c r="C417" s="364">
        <v>15000</v>
      </c>
      <c r="D417" s="4" t="s">
        <v>1270</v>
      </c>
      <c r="E417" s="4" t="s">
        <v>1270</v>
      </c>
      <c r="F417" s="4" t="s">
        <v>1270</v>
      </c>
      <c r="G417" s="5" t="s">
        <v>790</v>
      </c>
      <c r="H417" s="5" t="str">
        <f>TEXT(Table3[[#This Row],[Value Date]],"mmmm")</f>
        <v>August</v>
      </c>
    </row>
    <row r="418" spans="1:8">
      <c r="A418" s="3">
        <f t="shared" si="7"/>
        <v>575286.42000000016</v>
      </c>
      <c r="B418" s="364"/>
      <c r="C418" s="364">
        <v>15000</v>
      </c>
      <c r="D418" s="4" t="s">
        <v>1270</v>
      </c>
      <c r="E418" s="4" t="s">
        <v>1270</v>
      </c>
      <c r="F418" s="4" t="s">
        <v>1270</v>
      </c>
      <c r="G418" s="5" t="s">
        <v>790</v>
      </c>
      <c r="H418" s="5" t="str">
        <f>TEXT(Table3[[#This Row],[Value Date]],"mmmm")</f>
        <v>August</v>
      </c>
    </row>
    <row r="419" spans="1:8">
      <c r="A419" s="3">
        <f t="shared" si="7"/>
        <v>375286.42000000016</v>
      </c>
      <c r="B419" s="364"/>
      <c r="C419" s="364">
        <v>200000</v>
      </c>
      <c r="D419" s="4" t="s">
        <v>1270</v>
      </c>
      <c r="E419" s="4" t="s">
        <v>1270</v>
      </c>
      <c r="F419" s="4" t="s">
        <v>1270</v>
      </c>
      <c r="G419" s="5" t="s">
        <v>1272</v>
      </c>
      <c r="H419" s="5" t="str">
        <f>TEXT(Table3[[#This Row],[Value Date]],"mmmm")</f>
        <v>August</v>
      </c>
    </row>
    <row r="420" spans="1:8">
      <c r="A420" s="3">
        <f t="shared" ref="A420:A543" si="8">A419+B420-C420</f>
        <v>375136.42000000016</v>
      </c>
      <c r="B420" s="364"/>
      <c r="C420" s="364">
        <v>150</v>
      </c>
      <c r="D420" s="4" t="s">
        <v>1270</v>
      </c>
      <c r="E420" s="4" t="s">
        <v>1270</v>
      </c>
      <c r="F420" s="4" t="s">
        <v>1270</v>
      </c>
      <c r="G420" s="5" t="s">
        <v>1273</v>
      </c>
      <c r="H420" s="5" t="str">
        <f>TEXT(Table3[[#This Row],[Value Date]],"mmmm")</f>
        <v>August</v>
      </c>
    </row>
    <row r="421" spans="1:8">
      <c r="A421" s="3">
        <f t="shared" si="8"/>
        <v>345136.42000000016</v>
      </c>
      <c r="B421" s="364"/>
      <c r="C421" s="364">
        <v>30000</v>
      </c>
      <c r="D421" s="4" t="s">
        <v>1274</v>
      </c>
      <c r="E421" s="4" t="s">
        <v>1274</v>
      </c>
      <c r="F421" s="4" t="s">
        <v>1274</v>
      </c>
      <c r="G421" s="5" t="s">
        <v>1004</v>
      </c>
      <c r="H421" s="5" t="str">
        <f>TEXT(Table3[[#This Row],[Value Date]],"mmmm")</f>
        <v>August</v>
      </c>
    </row>
    <row r="422" spans="1:8">
      <c r="A422" s="3">
        <f t="shared" si="8"/>
        <v>315136.42000000016</v>
      </c>
      <c r="B422" s="364"/>
      <c r="C422" s="364">
        <v>30000</v>
      </c>
      <c r="D422" s="4" t="s">
        <v>1275</v>
      </c>
      <c r="E422" s="4" t="s">
        <v>1275</v>
      </c>
      <c r="F422" s="4" t="s">
        <v>1276</v>
      </c>
      <c r="G422" s="5" t="s">
        <v>1004</v>
      </c>
      <c r="H422" s="5" t="str">
        <f>TEXT(Table3[[#This Row],[Value Date]],"mmmm")</f>
        <v>August</v>
      </c>
    </row>
    <row r="423" spans="1:8">
      <c r="A423" s="3">
        <f t="shared" si="8"/>
        <v>300136.42000000016</v>
      </c>
      <c r="B423" s="364"/>
      <c r="C423" s="364">
        <v>15000</v>
      </c>
      <c r="D423" s="4" t="s">
        <v>1275</v>
      </c>
      <c r="E423" s="4" t="s">
        <v>1275</v>
      </c>
      <c r="F423" s="4" t="s">
        <v>1276</v>
      </c>
      <c r="G423" s="5" t="s">
        <v>617</v>
      </c>
      <c r="H423" s="5" t="str">
        <f>TEXT(Table3[[#This Row],[Value Date]],"mmmm")</f>
        <v>August</v>
      </c>
    </row>
    <row r="424" spans="1:8">
      <c r="A424" s="3">
        <f t="shared" si="8"/>
        <v>285136.42000000016</v>
      </c>
      <c r="B424" s="364"/>
      <c r="C424" s="364">
        <v>15000</v>
      </c>
      <c r="D424" s="4" t="s">
        <v>1275</v>
      </c>
      <c r="E424" s="4" t="s">
        <v>1275</v>
      </c>
      <c r="F424" s="4" t="s">
        <v>1276</v>
      </c>
      <c r="G424" s="5" t="s">
        <v>617</v>
      </c>
      <c r="H424" s="5" t="str">
        <f>TEXT(Table3[[#This Row],[Value Date]],"mmmm")</f>
        <v>August</v>
      </c>
    </row>
    <row r="425" spans="1:8">
      <c r="A425" s="3">
        <f t="shared" si="8"/>
        <v>69098.960000000166</v>
      </c>
      <c r="B425" s="364"/>
      <c r="C425" s="364">
        <v>216037.46</v>
      </c>
      <c r="D425" s="4" t="s">
        <v>1275</v>
      </c>
      <c r="E425" s="4" t="s">
        <v>1275</v>
      </c>
      <c r="F425" s="4" t="s">
        <v>1275</v>
      </c>
      <c r="G425" s="5" t="s">
        <v>1277</v>
      </c>
      <c r="H425" s="5" t="str">
        <f>TEXT(Table3[[#This Row],[Value Date]],"mmmm")</f>
        <v>August</v>
      </c>
    </row>
    <row r="426" spans="1:8">
      <c r="A426" s="3">
        <f t="shared" si="8"/>
        <v>167250.21000000017</v>
      </c>
      <c r="B426" s="364">
        <v>98151.25</v>
      </c>
      <c r="C426" s="364"/>
      <c r="D426" s="4" t="s">
        <v>1275</v>
      </c>
      <c r="E426" s="4" t="s">
        <v>1275</v>
      </c>
      <c r="F426" s="4" t="s">
        <v>1275</v>
      </c>
      <c r="G426" s="5" t="s">
        <v>1278</v>
      </c>
      <c r="H426" s="5" t="str">
        <f>TEXT(Table3[[#This Row],[Value Date]],"mmmm")</f>
        <v>August</v>
      </c>
    </row>
    <row r="427" spans="1:8">
      <c r="A427" s="3">
        <f t="shared" si="8"/>
        <v>81250.210000000166</v>
      </c>
      <c r="B427" s="364"/>
      <c r="C427" s="364">
        <v>86000</v>
      </c>
      <c r="D427" s="4" t="s">
        <v>1275</v>
      </c>
      <c r="E427" s="4" t="s">
        <v>1275</v>
      </c>
      <c r="F427" s="4" t="s">
        <v>1275</v>
      </c>
      <c r="G427" s="5" t="s">
        <v>1281</v>
      </c>
      <c r="H427" s="5" t="str">
        <f>TEXT(Table3[[#This Row],[Value Date]],"mmmm")</f>
        <v>August</v>
      </c>
    </row>
    <row r="428" spans="1:8">
      <c r="A428" s="3">
        <f t="shared" si="8"/>
        <v>200787.96000000017</v>
      </c>
      <c r="B428" s="364">
        <v>119537.75</v>
      </c>
      <c r="C428" s="364"/>
      <c r="D428" s="4" t="s">
        <v>1279</v>
      </c>
      <c r="E428" s="4" t="s">
        <v>1279</v>
      </c>
      <c r="F428" s="4" t="s">
        <v>1279</v>
      </c>
      <c r="G428" s="5" t="s">
        <v>1280</v>
      </c>
      <c r="H428" s="5" t="str">
        <f>TEXT(Table3[[#This Row],[Value Date]],"mmmm")</f>
        <v>September</v>
      </c>
    </row>
    <row r="429" spans="1:8">
      <c r="A429" s="3">
        <f t="shared" si="8"/>
        <v>156287.96000000017</v>
      </c>
      <c r="B429" s="364"/>
      <c r="C429" s="364">
        <v>44500</v>
      </c>
      <c r="D429" s="4" t="s">
        <v>1282</v>
      </c>
      <c r="E429" s="4" t="s">
        <v>1282</v>
      </c>
      <c r="F429" s="4" t="s">
        <v>1282</v>
      </c>
      <c r="G429" s="5" t="s">
        <v>1283</v>
      </c>
      <c r="H429" s="5" t="str">
        <f>TEXT(Table3[[#This Row],[Value Date]],"mmmm")</f>
        <v>September</v>
      </c>
    </row>
    <row r="430" spans="1:8">
      <c r="A430" s="3">
        <f t="shared" si="8"/>
        <v>104287.96000000017</v>
      </c>
      <c r="B430" s="364"/>
      <c r="C430" s="364">
        <v>52000</v>
      </c>
      <c r="D430" s="4" t="s">
        <v>1282</v>
      </c>
      <c r="E430" s="4" t="s">
        <v>1282</v>
      </c>
      <c r="F430" s="4" t="s">
        <v>1282</v>
      </c>
      <c r="G430" s="5" t="s">
        <v>1284</v>
      </c>
      <c r="H430" s="5" t="str">
        <f>TEXT(Table3[[#This Row],[Value Date]],"mmmm")</f>
        <v>September</v>
      </c>
    </row>
    <row r="431" spans="1:8">
      <c r="A431" s="3">
        <f t="shared" si="8"/>
        <v>52287.960000000166</v>
      </c>
      <c r="B431" s="364"/>
      <c r="C431" s="364">
        <v>52000</v>
      </c>
      <c r="D431" s="4" t="s">
        <v>1282</v>
      </c>
      <c r="E431" s="4" t="s">
        <v>1282</v>
      </c>
      <c r="F431" s="4" t="s">
        <v>1282</v>
      </c>
      <c r="G431" s="5" t="s">
        <v>1285</v>
      </c>
      <c r="H431" s="5" t="str">
        <f>TEXT(Table3[[#This Row],[Value Date]],"mmmm")</f>
        <v>September</v>
      </c>
    </row>
    <row r="432" spans="1:8">
      <c r="A432" s="3">
        <f t="shared" si="8"/>
        <v>287.96000000016647</v>
      </c>
      <c r="B432" s="364"/>
      <c r="C432" s="364">
        <v>52000</v>
      </c>
      <c r="D432" s="4" t="s">
        <v>1282</v>
      </c>
      <c r="E432" s="4" t="s">
        <v>1282</v>
      </c>
      <c r="F432" s="4" t="s">
        <v>1282</v>
      </c>
      <c r="G432" s="5" t="s">
        <v>1286</v>
      </c>
      <c r="H432" s="5" t="str">
        <f>TEXT(Table3[[#This Row],[Value Date]],"mmmm")</f>
        <v>September</v>
      </c>
    </row>
    <row r="433" spans="1:8">
      <c r="A433" s="3">
        <f t="shared" si="8"/>
        <v>115080.96000000017</v>
      </c>
      <c r="B433" s="364">
        <v>114793</v>
      </c>
      <c r="C433" s="364"/>
      <c r="H433" s="5" t="str">
        <f>TEXT(Table3[[#This Row],[Value Date]],"mmmm")</f>
        <v>January</v>
      </c>
    </row>
    <row r="434" spans="1:8">
      <c r="A434" s="3">
        <f t="shared" si="8"/>
        <v>114880.96000000017</v>
      </c>
      <c r="B434" s="364"/>
      <c r="C434" s="364">
        <v>200</v>
      </c>
      <c r="D434" s="4" t="s">
        <v>1305</v>
      </c>
      <c r="E434" s="4" t="s">
        <v>1305</v>
      </c>
      <c r="F434" s="4" t="s">
        <v>1305</v>
      </c>
      <c r="G434" s="5" t="s">
        <v>1306</v>
      </c>
      <c r="H434" s="5" t="str">
        <f>TEXT(Table3[[#This Row],[Value Date]],"mmmm")</f>
        <v>September</v>
      </c>
    </row>
    <row r="435" spans="1:8">
      <c r="A435" s="3">
        <f t="shared" si="8"/>
        <v>99880.960000000166</v>
      </c>
      <c r="B435" s="364"/>
      <c r="C435" s="364">
        <v>15000</v>
      </c>
      <c r="D435" s="4" t="s">
        <v>1307</v>
      </c>
      <c r="E435" s="4" t="s">
        <v>1307</v>
      </c>
      <c r="F435" s="4" t="s">
        <v>1307</v>
      </c>
      <c r="G435" s="5" t="s">
        <v>790</v>
      </c>
      <c r="H435" s="5" t="str">
        <f>TEXT(Table3[[#This Row],[Value Date]],"mmmm")</f>
        <v>September</v>
      </c>
    </row>
    <row r="436" spans="1:8">
      <c r="A436" s="3">
        <f t="shared" si="8"/>
        <v>84880.960000000166</v>
      </c>
      <c r="B436" s="351"/>
      <c r="C436" s="351">
        <v>15000</v>
      </c>
      <c r="D436" s="4" t="s">
        <v>1307</v>
      </c>
      <c r="E436" s="4" t="s">
        <v>1307</v>
      </c>
      <c r="F436" s="4" t="s">
        <v>1307</v>
      </c>
      <c r="G436" s="5" t="s">
        <v>790</v>
      </c>
      <c r="H436" s="5" t="str">
        <f>TEXT(Table3[[#This Row],[Value Date]],"mmmm")</f>
        <v>September</v>
      </c>
    </row>
    <row r="437" spans="1:8">
      <c r="A437" s="3">
        <f t="shared" si="8"/>
        <v>188355.22000000015</v>
      </c>
      <c r="B437" s="351">
        <v>103474.26</v>
      </c>
      <c r="C437" s="351"/>
      <c r="D437" s="4" t="s">
        <v>1308</v>
      </c>
      <c r="E437" s="4" t="s">
        <v>1308</v>
      </c>
      <c r="F437" s="4" t="s">
        <v>1308</v>
      </c>
      <c r="G437" s="5" t="s">
        <v>1309</v>
      </c>
      <c r="H437" s="5" t="str">
        <f>TEXT(Table3[[#This Row],[Value Date]],"mmmm")</f>
        <v>September</v>
      </c>
    </row>
    <row r="438" spans="1:8">
      <c r="A438" s="3">
        <f t="shared" si="8"/>
        <v>148355.22000000015</v>
      </c>
      <c r="B438" s="351"/>
      <c r="C438" s="351">
        <v>40000</v>
      </c>
      <c r="D438" s="4" t="s">
        <v>1308</v>
      </c>
      <c r="E438" s="4" t="s">
        <v>1308</v>
      </c>
      <c r="F438" s="4" t="s">
        <v>1308</v>
      </c>
      <c r="G438" s="5" t="s">
        <v>1310</v>
      </c>
      <c r="H438" s="5" t="str">
        <f>TEXT(Table3[[#This Row],[Value Date]],"mmmm")</f>
        <v>September</v>
      </c>
    </row>
    <row r="439" spans="1:8">
      <c r="A439" s="3">
        <f t="shared" si="8"/>
        <v>69504.470000000147</v>
      </c>
      <c r="B439" s="351"/>
      <c r="C439" s="351">
        <v>78850.75</v>
      </c>
      <c r="D439" s="4" t="s">
        <v>1308</v>
      </c>
      <c r="E439" s="4" t="s">
        <v>1308</v>
      </c>
      <c r="F439" s="4" t="s">
        <v>1308</v>
      </c>
      <c r="G439" s="5" t="s">
        <v>1311</v>
      </c>
      <c r="H439" s="5" t="str">
        <f>TEXT(Table3[[#This Row],[Value Date]],"mmmm")</f>
        <v>September</v>
      </c>
    </row>
    <row r="440" spans="1:8">
      <c r="A440" s="3">
        <f t="shared" si="8"/>
        <v>67365.970000000147</v>
      </c>
      <c r="B440" s="351"/>
      <c r="C440" s="351">
        <v>2138.5</v>
      </c>
      <c r="D440" s="4" t="s">
        <v>1308</v>
      </c>
      <c r="E440" s="4" t="s">
        <v>1308</v>
      </c>
      <c r="F440" s="4" t="s">
        <v>1308</v>
      </c>
      <c r="G440" s="5" t="s">
        <v>1312</v>
      </c>
      <c r="H440" s="5" t="str">
        <f>TEXT(Table3[[#This Row],[Value Date]],"mmmm")</f>
        <v>September</v>
      </c>
    </row>
    <row r="441" spans="1:8">
      <c r="A441" s="3">
        <f t="shared" si="8"/>
        <v>52365.970000000147</v>
      </c>
      <c r="B441" s="351"/>
      <c r="C441" s="351">
        <v>15000</v>
      </c>
      <c r="D441" s="4" t="s">
        <v>1313</v>
      </c>
      <c r="E441" s="4" t="s">
        <v>1313</v>
      </c>
      <c r="F441" s="4" t="s">
        <v>1313</v>
      </c>
      <c r="G441" s="5" t="s">
        <v>697</v>
      </c>
      <c r="H441" s="5" t="str">
        <f>TEXT(Table3[[#This Row],[Value Date]],"mmmm")</f>
        <v>September</v>
      </c>
    </row>
    <row r="442" spans="1:8">
      <c r="A442" s="3">
        <f t="shared" si="8"/>
        <v>37365.970000000147</v>
      </c>
      <c r="B442" s="351"/>
      <c r="C442" s="351">
        <v>15000</v>
      </c>
      <c r="D442" s="4" t="s">
        <v>1313</v>
      </c>
      <c r="E442" s="4" t="s">
        <v>1313</v>
      </c>
      <c r="F442" s="4" t="s">
        <v>1313</v>
      </c>
      <c r="G442" s="5" t="s">
        <v>697</v>
      </c>
      <c r="H442" s="5" t="str">
        <f>TEXT(Table3[[#This Row],[Value Date]],"mmmm")</f>
        <v>September</v>
      </c>
    </row>
    <row r="443" spans="1:8">
      <c r="A443" s="3">
        <f t="shared" si="8"/>
        <v>22365.970000000147</v>
      </c>
      <c r="B443" s="351"/>
      <c r="C443" s="351">
        <v>15000</v>
      </c>
      <c r="D443" s="4" t="s">
        <v>1314</v>
      </c>
      <c r="E443" s="4" t="s">
        <v>1314</v>
      </c>
      <c r="F443" s="4" t="s">
        <v>1314</v>
      </c>
      <c r="G443" s="5" t="s">
        <v>945</v>
      </c>
      <c r="H443" s="5" t="str">
        <f>TEXT(Table3[[#This Row],[Value Date]],"mmmm")</f>
        <v>September</v>
      </c>
    </row>
    <row r="444" spans="1:8">
      <c r="A444" s="3">
        <f t="shared" si="8"/>
        <v>7365.9700000001467</v>
      </c>
      <c r="B444" s="351"/>
      <c r="C444" s="351">
        <v>15000</v>
      </c>
      <c r="D444" s="4" t="s">
        <v>1314</v>
      </c>
      <c r="E444" s="4" t="s">
        <v>1314</v>
      </c>
      <c r="F444" s="4" t="s">
        <v>1314</v>
      </c>
      <c r="G444" s="5" t="s">
        <v>945</v>
      </c>
      <c r="H444" s="5" t="str">
        <f>TEXT(Table3[[#This Row],[Value Date]],"mmmm")</f>
        <v>September</v>
      </c>
    </row>
    <row r="445" spans="1:8">
      <c r="A445" s="3">
        <f t="shared" si="8"/>
        <v>324486.31000000017</v>
      </c>
      <c r="B445" s="351">
        <v>317120.34000000003</v>
      </c>
      <c r="C445" s="351"/>
      <c r="D445" s="4" t="s">
        <v>1315</v>
      </c>
      <c r="E445" s="4" t="s">
        <v>1315</v>
      </c>
      <c r="F445" s="4" t="s">
        <v>1315</v>
      </c>
      <c r="G445" s="5" t="s">
        <v>1316</v>
      </c>
      <c r="H445" s="5" t="str">
        <f>TEXT(Table3[[#This Row],[Value Date]],"mmmm")</f>
        <v>September</v>
      </c>
    </row>
    <row r="446" spans="1:8">
      <c r="A446" s="3">
        <f t="shared" si="8"/>
        <v>294486.31000000017</v>
      </c>
      <c r="B446" s="351"/>
      <c r="C446" s="351">
        <v>30000</v>
      </c>
      <c r="D446" s="4" t="s">
        <v>1315</v>
      </c>
      <c r="E446" s="4" t="s">
        <v>1315</v>
      </c>
      <c r="F446" s="4" t="s">
        <v>1315</v>
      </c>
      <c r="G446" s="5" t="s">
        <v>1004</v>
      </c>
      <c r="H446" s="5" t="str">
        <f>TEXT(Table3[[#This Row],[Value Date]],"mmmm")</f>
        <v>September</v>
      </c>
    </row>
    <row r="447" spans="1:8">
      <c r="A447" s="3">
        <f t="shared" si="8"/>
        <v>279486.31000000017</v>
      </c>
      <c r="B447" s="351"/>
      <c r="C447" s="351">
        <v>15000</v>
      </c>
      <c r="D447" s="4" t="s">
        <v>1315</v>
      </c>
      <c r="E447" s="4" t="s">
        <v>1315</v>
      </c>
      <c r="F447" s="4" t="s">
        <v>1315</v>
      </c>
      <c r="G447" s="5" t="s">
        <v>617</v>
      </c>
      <c r="H447" s="5" t="str">
        <f>TEXT(Table3[[#This Row],[Value Date]],"mmmm")</f>
        <v>September</v>
      </c>
    </row>
    <row r="448" spans="1:8">
      <c r="A448" s="3">
        <f t="shared" si="8"/>
        <v>264486.31000000017</v>
      </c>
      <c r="B448" s="351"/>
      <c r="C448" s="351">
        <v>15000</v>
      </c>
      <c r="D448" s="4" t="s">
        <v>1315</v>
      </c>
      <c r="E448" s="4" t="s">
        <v>1315</v>
      </c>
      <c r="F448" s="4" t="s">
        <v>1315</v>
      </c>
      <c r="G448" s="5" t="s">
        <v>617</v>
      </c>
      <c r="H448" s="5" t="str">
        <f>TEXT(Table3[[#This Row],[Value Date]],"mmmm")</f>
        <v>September</v>
      </c>
    </row>
    <row r="449" spans="1:8">
      <c r="A449" s="3">
        <f t="shared" si="8"/>
        <v>454230.31000000017</v>
      </c>
      <c r="B449" s="351">
        <v>189744</v>
      </c>
      <c r="C449" s="351"/>
      <c r="D449" s="4" t="s">
        <v>1326</v>
      </c>
      <c r="E449" s="4" t="s">
        <v>1326</v>
      </c>
      <c r="F449" s="4" t="s">
        <v>1326</v>
      </c>
      <c r="G449" s="5" t="s">
        <v>1327</v>
      </c>
      <c r="H449" s="5" t="str">
        <f>TEXT(Table3[[#This Row],[Value Date]],"mmmm")</f>
        <v>September</v>
      </c>
    </row>
    <row r="450" spans="1:8">
      <c r="A450" s="3">
        <f t="shared" si="8"/>
        <v>439230.31000000017</v>
      </c>
      <c r="B450" s="351"/>
      <c r="C450" s="351">
        <v>15000</v>
      </c>
      <c r="D450" s="4" t="s">
        <v>1335</v>
      </c>
      <c r="E450" s="4" t="s">
        <v>1335</v>
      </c>
      <c r="F450" s="4" t="s">
        <v>1335</v>
      </c>
      <c r="G450" s="5" t="s">
        <v>617</v>
      </c>
      <c r="H450" s="5" t="str">
        <f>TEXT(Table3[[#This Row],[Value Date]],"mmmm")</f>
        <v>September</v>
      </c>
    </row>
    <row r="451" spans="1:8">
      <c r="A451" s="3">
        <f t="shared" si="8"/>
        <v>424230.31000000017</v>
      </c>
      <c r="B451" s="351"/>
      <c r="C451" s="351">
        <v>15000</v>
      </c>
      <c r="D451" s="4" t="s">
        <v>1335</v>
      </c>
      <c r="E451" s="4" t="s">
        <v>1335</v>
      </c>
      <c r="F451" s="4" t="s">
        <v>1335</v>
      </c>
      <c r="G451" s="5" t="s">
        <v>617</v>
      </c>
      <c r="H451" s="5" t="str">
        <f>TEXT(Table3[[#This Row],[Value Date]],"mmmm")</f>
        <v>September</v>
      </c>
    </row>
    <row r="452" spans="1:8">
      <c r="A452" s="3">
        <f t="shared" si="8"/>
        <v>409230.31000000017</v>
      </c>
      <c r="B452" s="351"/>
      <c r="C452" s="351">
        <v>15000</v>
      </c>
      <c r="D452" s="4" t="s">
        <v>1336</v>
      </c>
      <c r="E452" s="4" t="s">
        <v>1337</v>
      </c>
      <c r="F452" s="4" t="s">
        <v>1337</v>
      </c>
      <c r="G452" s="5" t="s">
        <v>353</v>
      </c>
      <c r="H452" s="5" t="str">
        <f>TEXT(Table3[[#This Row],[Value Date]],"mmmm")</f>
        <v>September</v>
      </c>
    </row>
    <row r="453" spans="1:8">
      <c r="A453" s="3">
        <f t="shared" si="8"/>
        <v>394230.31000000017</v>
      </c>
      <c r="B453" s="351"/>
      <c r="C453" s="351">
        <v>15000</v>
      </c>
      <c r="D453" s="4" t="s">
        <v>1336</v>
      </c>
      <c r="E453" s="4" t="s">
        <v>1337</v>
      </c>
      <c r="F453" s="4" t="s">
        <v>1337</v>
      </c>
      <c r="G453" s="5" t="s">
        <v>353</v>
      </c>
      <c r="H453" s="5" t="str">
        <f>TEXT(Table3[[#This Row],[Value Date]],"mmmm")</f>
        <v>September</v>
      </c>
    </row>
    <row r="454" spans="1:8">
      <c r="A454" s="3">
        <f t="shared" si="8"/>
        <v>379230.31000000017</v>
      </c>
      <c r="B454" s="351"/>
      <c r="C454" s="351">
        <v>15000</v>
      </c>
      <c r="D454" s="4" t="s">
        <v>1338</v>
      </c>
      <c r="E454" s="4" t="s">
        <v>1338</v>
      </c>
      <c r="F454" s="4" t="s">
        <v>1339</v>
      </c>
      <c r="G454" s="5" t="s">
        <v>353</v>
      </c>
      <c r="H454" s="5" t="str">
        <f>TEXT(Table3[[#This Row],[Value Date]],"mmmm")</f>
        <v>September</v>
      </c>
    </row>
    <row r="455" spans="1:8">
      <c r="A455" s="3">
        <f t="shared" si="8"/>
        <v>364230.31000000017</v>
      </c>
      <c r="B455" s="351"/>
      <c r="C455" s="351">
        <v>15000</v>
      </c>
      <c r="D455" s="4" t="s">
        <v>1338</v>
      </c>
      <c r="E455" s="4" t="s">
        <v>1338</v>
      </c>
      <c r="F455" s="4" t="s">
        <v>1339</v>
      </c>
      <c r="G455" s="5" t="s">
        <v>353</v>
      </c>
      <c r="H455" s="5" t="str">
        <f>TEXT(Table3[[#This Row],[Value Date]],"mmmm")</f>
        <v>September</v>
      </c>
    </row>
    <row r="456" spans="1:8">
      <c r="A456" s="3">
        <f t="shared" si="8"/>
        <v>504754.45000000019</v>
      </c>
      <c r="B456" s="351">
        <v>140524.14000000001</v>
      </c>
      <c r="C456" s="351"/>
      <c r="D456" s="4" t="s">
        <v>1340</v>
      </c>
      <c r="E456" s="4" t="s">
        <v>1340</v>
      </c>
      <c r="F456" s="4" t="s">
        <v>1340</v>
      </c>
      <c r="G456" s="5" t="s">
        <v>1341</v>
      </c>
      <c r="H456" s="5" t="str">
        <f>TEXT(Table3[[#This Row],[Value Date]],"mmmm")</f>
        <v>September</v>
      </c>
    </row>
    <row r="457" spans="1:8">
      <c r="A457" s="3">
        <f t="shared" si="8"/>
        <v>404754.45000000019</v>
      </c>
      <c r="B457" s="351"/>
      <c r="C457" s="351">
        <v>100000</v>
      </c>
      <c r="D457" s="4" t="s">
        <v>1340</v>
      </c>
      <c r="E457" s="4" t="s">
        <v>1340</v>
      </c>
      <c r="F457" s="4" t="s">
        <v>1340</v>
      </c>
      <c r="G457" s="5" t="s">
        <v>735</v>
      </c>
      <c r="H457" s="5" t="str">
        <f>TEXT(Table3[[#This Row],[Value Date]],"mmmm")</f>
        <v>September</v>
      </c>
    </row>
    <row r="458" spans="1:8">
      <c r="A458" s="3">
        <f t="shared" si="8"/>
        <v>389754.45000000019</v>
      </c>
      <c r="B458" s="351"/>
      <c r="C458" s="351">
        <v>15000</v>
      </c>
      <c r="D458" s="4" t="s">
        <v>1340</v>
      </c>
      <c r="E458" s="4" t="s">
        <v>1340</v>
      </c>
      <c r="F458" s="4" t="s">
        <v>1340</v>
      </c>
      <c r="G458" s="5" t="s">
        <v>617</v>
      </c>
      <c r="H458" s="5" t="str">
        <f>TEXT(Table3[[#This Row],[Value Date]],"mmmm")</f>
        <v>September</v>
      </c>
    </row>
    <row r="459" spans="1:8">
      <c r="A459" s="3">
        <f t="shared" si="8"/>
        <v>374754.45000000019</v>
      </c>
      <c r="B459" s="351"/>
      <c r="C459" s="351">
        <v>15000</v>
      </c>
      <c r="D459" s="4" t="s">
        <v>1340</v>
      </c>
      <c r="E459" s="4" t="s">
        <v>1340</v>
      </c>
      <c r="F459" s="4" t="s">
        <v>1340</v>
      </c>
      <c r="G459" s="5" t="s">
        <v>617</v>
      </c>
      <c r="H459" s="5" t="str">
        <f>TEXT(Table3[[#This Row],[Value Date]],"mmmm")</f>
        <v>September</v>
      </c>
    </row>
    <row r="460" spans="1:8">
      <c r="A460" s="3">
        <f t="shared" si="8"/>
        <v>558289.01000000024</v>
      </c>
      <c r="B460" s="351">
        <v>183534.56</v>
      </c>
      <c r="C460" s="351"/>
      <c r="D460" s="4" t="s">
        <v>1342</v>
      </c>
      <c r="E460" s="4" t="s">
        <v>1342</v>
      </c>
      <c r="F460" s="4" t="s">
        <v>1342</v>
      </c>
      <c r="G460" s="5" t="s">
        <v>1343</v>
      </c>
      <c r="H460" s="5" t="str">
        <f>TEXT(Table3[[#This Row],[Value Date]],"mmmm")</f>
        <v>September</v>
      </c>
    </row>
    <row r="461" spans="1:8">
      <c r="A461" s="3">
        <f t="shared" si="8"/>
        <v>543289.01000000024</v>
      </c>
      <c r="B461" s="351"/>
      <c r="C461" s="351">
        <v>15000</v>
      </c>
      <c r="D461" s="4" t="s">
        <v>1342</v>
      </c>
      <c r="E461" s="4" t="s">
        <v>1342</v>
      </c>
      <c r="F461" s="4" t="s">
        <v>1342</v>
      </c>
      <c r="G461" s="5" t="s">
        <v>790</v>
      </c>
      <c r="H461" s="5" t="str">
        <f>TEXT(Table3[[#This Row],[Value Date]],"mmmm")</f>
        <v>September</v>
      </c>
    </row>
    <row r="462" spans="1:8">
      <c r="A462" s="3">
        <f t="shared" si="8"/>
        <v>528289.01000000024</v>
      </c>
      <c r="B462" s="351"/>
      <c r="C462" s="351">
        <v>15000</v>
      </c>
      <c r="D462" s="4" t="s">
        <v>1342</v>
      </c>
      <c r="E462" s="4" t="s">
        <v>1342</v>
      </c>
      <c r="F462" s="4" t="s">
        <v>1342</v>
      </c>
      <c r="G462" s="5" t="s">
        <v>790</v>
      </c>
      <c r="H462" s="5" t="str">
        <f>TEXT(Table3[[#This Row],[Value Date]],"mmmm")</f>
        <v>September</v>
      </c>
    </row>
    <row r="463" spans="1:8">
      <c r="A463" s="3">
        <f t="shared" si="8"/>
        <v>498289.01000000024</v>
      </c>
      <c r="B463" s="351"/>
      <c r="C463" s="351">
        <v>30000</v>
      </c>
      <c r="D463" s="4" t="s">
        <v>1342</v>
      </c>
      <c r="E463" s="4" t="s">
        <v>1342</v>
      </c>
      <c r="F463" s="4" t="s">
        <v>1342</v>
      </c>
      <c r="G463" s="5" t="s">
        <v>1125</v>
      </c>
      <c r="H463" s="5" t="str">
        <f>TEXT(Table3[[#This Row],[Value Date]],"mmmm")</f>
        <v>September</v>
      </c>
    </row>
    <row r="464" spans="1:8">
      <c r="A464" s="3">
        <f t="shared" si="8"/>
        <v>242294.96000000025</v>
      </c>
      <c r="B464" s="351"/>
      <c r="C464" s="351">
        <v>255994.05</v>
      </c>
      <c r="D464" s="4" t="s">
        <v>1342</v>
      </c>
      <c r="E464" s="4" t="s">
        <v>1342</v>
      </c>
      <c r="F464" s="4" t="s">
        <v>1342</v>
      </c>
      <c r="G464" s="5" t="s">
        <v>1344</v>
      </c>
      <c r="H464" s="5" t="str">
        <f>TEXT(Table3[[#This Row],[Value Date]],"mmmm")</f>
        <v>September</v>
      </c>
    </row>
    <row r="465" spans="1:8">
      <c r="A465" s="3">
        <f t="shared" si="8"/>
        <v>142244.96000000025</v>
      </c>
      <c r="B465" s="351"/>
      <c r="C465" s="351">
        <v>100050</v>
      </c>
      <c r="D465" s="4" t="s">
        <v>1342</v>
      </c>
      <c r="E465" s="4" t="s">
        <v>1342</v>
      </c>
      <c r="F465" s="4" t="s">
        <v>1342</v>
      </c>
      <c r="G465" s="5" t="s">
        <v>1353</v>
      </c>
      <c r="H465" s="5" t="str">
        <f>TEXT(Table3[[#This Row],[Value Date]],"mmmm")</f>
        <v>September</v>
      </c>
    </row>
    <row r="466" spans="1:8">
      <c r="A466" s="3">
        <f t="shared" si="8"/>
        <v>67194.960000000254</v>
      </c>
      <c r="B466" s="351"/>
      <c r="C466" s="351">
        <v>75050</v>
      </c>
      <c r="D466" s="4" t="s">
        <v>1342</v>
      </c>
      <c r="E466" s="4" t="s">
        <v>1342</v>
      </c>
      <c r="F466" s="4" t="s">
        <v>1342</v>
      </c>
      <c r="G466" s="5" t="s">
        <v>1354</v>
      </c>
      <c r="H466" s="5" t="str">
        <f>TEXT(Table3[[#This Row],[Value Date]],"mmmm")</f>
        <v>September</v>
      </c>
    </row>
    <row r="467" spans="1:8">
      <c r="A467" s="3">
        <f t="shared" si="8"/>
        <v>67044.960000000254</v>
      </c>
      <c r="B467" s="351"/>
      <c r="C467" s="351">
        <v>150</v>
      </c>
      <c r="D467" s="4" t="s">
        <v>1342</v>
      </c>
      <c r="E467" s="4" t="s">
        <v>1342</v>
      </c>
      <c r="F467" s="4" t="s">
        <v>1342</v>
      </c>
      <c r="G467" s="5" t="s">
        <v>1144</v>
      </c>
      <c r="H467" s="5" t="str">
        <f>TEXT(Table3[[#This Row],[Value Date]],"mmmm")</f>
        <v>September</v>
      </c>
    </row>
    <row r="468" spans="1:8">
      <c r="A468" s="3">
        <f t="shared" si="8"/>
        <v>47044.960000000254</v>
      </c>
      <c r="B468" s="351"/>
      <c r="C468" s="351">
        <v>20000</v>
      </c>
      <c r="D468" s="4" t="s">
        <v>1355</v>
      </c>
      <c r="E468" s="4" t="s">
        <v>1355</v>
      </c>
      <c r="F468" s="4" t="s">
        <v>1355</v>
      </c>
      <c r="G468" s="5" t="s">
        <v>1356</v>
      </c>
      <c r="H468" s="5" t="str">
        <f>TEXT(Table3[[#This Row],[Value Date]],"mmmm")</f>
        <v>October</v>
      </c>
    </row>
    <row r="469" spans="1:8">
      <c r="A469" s="3">
        <f t="shared" si="8"/>
        <v>27004.960000000254</v>
      </c>
      <c r="B469" s="351"/>
      <c r="C469" s="351">
        <v>20040</v>
      </c>
      <c r="D469" s="4" t="s">
        <v>1357</v>
      </c>
      <c r="E469" s="4" t="s">
        <v>1357</v>
      </c>
      <c r="F469" s="4" t="s">
        <v>1357</v>
      </c>
      <c r="G469" s="5" t="s">
        <v>1358</v>
      </c>
      <c r="H469" s="5" t="str">
        <f>TEXT(Table3[[#This Row],[Value Date]],"mmmm")</f>
        <v>October</v>
      </c>
    </row>
    <row r="470" spans="1:8">
      <c r="A470" s="3">
        <f t="shared" si="8"/>
        <v>26904.960000000254</v>
      </c>
      <c r="B470" s="351"/>
      <c r="C470" s="351">
        <v>100</v>
      </c>
      <c r="D470" s="4" t="s">
        <v>1357</v>
      </c>
      <c r="E470" s="4" t="s">
        <v>1357</v>
      </c>
      <c r="F470" s="4" t="s">
        <v>1357</v>
      </c>
      <c r="G470" s="5" t="s">
        <v>1359</v>
      </c>
      <c r="H470" s="5" t="str">
        <f>TEXT(Table3[[#This Row],[Value Date]],"mmmm")</f>
        <v>October</v>
      </c>
    </row>
    <row r="471" spans="1:8">
      <c r="A471" s="3">
        <f t="shared" si="8"/>
        <v>26804.960000000254</v>
      </c>
      <c r="B471" s="351"/>
      <c r="C471" s="351">
        <v>100</v>
      </c>
      <c r="D471" s="4" t="s">
        <v>1357</v>
      </c>
      <c r="E471" s="4" t="s">
        <v>1357</v>
      </c>
      <c r="F471" s="4" t="s">
        <v>1357</v>
      </c>
      <c r="G471" s="5" t="s">
        <v>1359</v>
      </c>
      <c r="H471" s="5" t="str">
        <f>TEXT(Table3[[#This Row],[Value Date]],"mmmm")</f>
        <v>October</v>
      </c>
    </row>
    <row r="472" spans="1:8">
      <c r="A472" s="3">
        <f t="shared" si="8"/>
        <v>60054.460000000254</v>
      </c>
      <c r="B472" s="351">
        <v>33249.5</v>
      </c>
      <c r="C472" s="351"/>
      <c r="D472" s="4" t="s">
        <v>1357</v>
      </c>
      <c r="E472" s="4" t="s">
        <v>1357</v>
      </c>
      <c r="F472" s="4" t="s">
        <v>1357</v>
      </c>
      <c r="G472" s="5" t="s">
        <v>1360</v>
      </c>
      <c r="H472" s="5" t="str">
        <f>TEXT(Table3[[#This Row],[Value Date]],"mmmm")</f>
        <v>October</v>
      </c>
    </row>
    <row r="473" spans="1:8">
      <c r="A473" s="3">
        <f t="shared" si="8"/>
        <v>187004.77000000025</v>
      </c>
      <c r="B473" s="351">
        <v>126950.31</v>
      </c>
      <c r="C473" s="351"/>
      <c r="D473" s="4" t="s">
        <v>1361</v>
      </c>
      <c r="E473" s="4" t="s">
        <v>1361</v>
      </c>
      <c r="F473" s="4" t="s">
        <v>1361</v>
      </c>
      <c r="G473" s="5" t="s">
        <v>1362</v>
      </c>
      <c r="H473" s="5" t="str">
        <f>TEXT(Table3[[#This Row],[Value Date]],"mmmm")</f>
        <v>October</v>
      </c>
    </row>
    <row r="474" spans="1:8">
      <c r="A474" s="3">
        <f t="shared" si="8"/>
        <v>199782.41000000027</v>
      </c>
      <c r="B474" s="351">
        <v>12777.64</v>
      </c>
      <c r="C474" s="351"/>
      <c r="D474" s="4" t="s">
        <v>1361</v>
      </c>
      <c r="E474" s="4" t="s">
        <v>1361</v>
      </c>
      <c r="F474" s="4" t="s">
        <v>1361</v>
      </c>
      <c r="G474" s="5" t="s">
        <v>1363</v>
      </c>
      <c r="H474" s="5" t="str">
        <f>TEXT(Table3[[#This Row],[Value Date]],"mmmm")</f>
        <v>October</v>
      </c>
    </row>
    <row r="475" spans="1:8">
      <c r="A475" s="3">
        <f t="shared" si="8"/>
        <v>169742.41000000027</v>
      </c>
      <c r="B475" s="351"/>
      <c r="C475" s="351">
        <v>30040</v>
      </c>
      <c r="D475" s="4" t="s">
        <v>1361</v>
      </c>
      <c r="E475" s="4" t="s">
        <v>1361</v>
      </c>
      <c r="F475" s="4" t="s">
        <v>1361</v>
      </c>
      <c r="G475" s="5" t="s">
        <v>1364</v>
      </c>
      <c r="H475" s="5" t="str">
        <f>TEXT(Table3[[#This Row],[Value Date]],"mmmm")</f>
        <v>October</v>
      </c>
    </row>
    <row r="476" spans="1:8">
      <c r="A476" s="3">
        <f t="shared" si="8"/>
        <v>154742.41000000027</v>
      </c>
      <c r="B476" s="351"/>
      <c r="C476" s="351">
        <v>15000</v>
      </c>
      <c r="D476" s="4" t="s">
        <v>1361</v>
      </c>
      <c r="E476" s="4" t="s">
        <v>1361</v>
      </c>
      <c r="F476" s="4" t="s">
        <v>1361</v>
      </c>
      <c r="G476" s="5" t="s">
        <v>1378</v>
      </c>
      <c r="H476" s="5" t="str">
        <f>TEXT(Table3[[#This Row],[Value Date]],"mmmm")</f>
        <v>October</v>
      </c>
    </row>
    <row r="477" spans="1:8">
      <c r="A477" s="3">
        <f t="shared" si="8"/>
        <v>139742.41000000027</v>
      </c>
      <c r="B477" s="351"/>
      <c r="C477" s="351">
        <v>15000</v>
      </c>
      <c r="D477" s="4" t="s">
        <v>1361</v>
      </c>
      <c r="E477" s="4" t="s">
        <v>1361</v>
      </c>
      <c r="F477" s="4" t="s">
        <v>1361</v>
      </c>
      <c r="G477" s="5" t="s">
        <v>1379</v>
      </c>
      <c r="H477" s="5" t="str">
        <f>TEXT(Table3[[#This Row],[Value Date]],"mmmm")</f>
        <v>October</v>
      </c>
    </row>
    <row r="478" spans="1:8">
      <c r="A478" s="3">
        <f t="shared" si="8"/>
        <v>124742.41000000027</v>
      </c>
      <c r="B478" s="351"/>
      <c r="C478" s="351">
        <v>15000</v>
      </c>
      <c r="D478" s="4" t="s">
        <v>1361</v>
      </c>
      <c r="E478" s="4" t="s">
        <v>1361</v>
      </c>
      <c r="F478" s="4" t="s">
        <v>1361</v>
      </c>
      <c r="G478" s="5" t="s">
        <v>1380</v>
      </c>
      <c r="H478" s="5" t="str">
        <f>TEXT(Table3[[#This Row],[Value Date]],"mmmm")</f>
        <v>October</v>
      </c>
    </row>
    <row r="479" spans="1:8">
      <c r="A479" s="3">
        <f t="shared" si="8"/>
        <v>109742.41000000027</v>
      </c>
      <c r="B479" s="351"/>
      <c r="C479" s="351">
        <v>15000</v>
      </c>
      <c r="D479" s="4" t="s">
        <v>1361</v>
      </c>
      <c r="E479" s="4" t="s">
        <v>1361</v>
      </c>
      <c r="F479" s="4" t="s">
        <v>1361</v>
      </c>
      <c r="G479" s="5" t="s">
        <v>1381</v>
      </c>
      <c r="H479" s="5" t="str">
        <f>TEXT(Table3[[#This Row],[Value Date]],"mmmm")</f>
        <v>October</v>
      </c>
    </row>
    <row r="480" spans="1:8">
      <c r="A480" s="3">
        <f t="shared" si="8"/>
        <v>100742.41000000027</v>
      </c>
      <c r="B480" s="351"/>
      <c r="C480" s="351">
        <v>9000</v>
      </c>
      <c r="D480" s="4" t="s">
        <v>1382</v>
      </c>
      <c r="E480" s="4" t="s">
        <v>1382</v>
      </c>
      <c r="F480" s="4" t="s">
        <v>1382</v>
      </c>
      <c r="G480" s="5" t="s">
        <v>697</v>
      </c>
      <c r="H480" s="5" t="str">
        <f>TEXT(Table3[[#This Row],[Value Date]],"mmmm")</f>
        <v>October</v>
      </c>
    </row>
    <row r="481" spans="1:8">
      <c r="A481" s="3">
        <f t="shared" si="8"/>
        <v>91742.410000000265</v>
      </c>
      <c r="B481" s="366"/>
      <c r="C481" s="366">
        <v>9000</v>
      </c>
      <c r="D481" s="4" t="s">
        <v>1382</v>
      </c>
      <c r="E481" s="4" t="s">
        <v>1382</v>
      </c>
      <c r="F481" s="4" t="s">
        <v>1382</v>
      </c>
      <c r="G481" s="5" t="s">
        <v>697</v>
      </c>
      <c r="H481" s="5" t="str">
        <f>TEXT(Table3[[#This Row],[Value Date]],"mmmm")</f>
        <v>October</v>
      </c>
    </row>
    <row r="482" spans="1:8">
      <c r="A482" s="3">
        <f t="shared" si="8"/>
        <v>84742.410000000265</v>
      </c>
      <c r="B482" s="351"/>
      <c r="C482" s="351">
        <v>7000</v>
      </c>
      <c r="D482" s="4" t="s">
        <v>1382</v>
      </c>
      <c r="E482" s="4" t="s">
        <v>1382</v>
      </c>
      <c r="F482" s="4" t="s">
        <v>1382</v>
      </c>
      <c r="G482" s="5" t="s">
        <v>697</v>
      </c>
      <c r="H482" s="5" t="str">
        <f>TEXT(Table3[[#This Row],[Value Date]],"mmmm")</f>
        <v>October</v>
      </c>
    </row>
    <row r="483" spans="1:8">
      <c r="A483" s="3">
        <f t="shared" si="8"/>
        <v>91742.410000000265</v>
      </c>
      <c r="B483" s="351">
        <v>7000</v>
      </c>
      <c r="C483" s="351"/>
      <c r="D483" s="4" t="s">
        <v>1382</v>
      </c>
      <c r="E483" s="4" t="s">
        <v>1382</v>
      </c>
      <c r="F483" s="4" t="s">
        <v>1382</v>
      </c>
      <c r="G483" s="5" t="s">
        <v>697</v>
      </c>
      <c r="H483" s="5" t="str">
        <f>TEXT(Table3[[#This Row],[Value Date]],"mmmm")</f>
        <v>October</v>
      </c>
    </row>
    <row r="484" spans="1:8">
      <c r="A484" s="3">
        <f t="shared" si="8"/>
        <v>84742.410000000265</v>
      </c>
      <c r="B484" s="351"/>
      <c r="C484" s="351">
        <v>7000</v>
      </c>
      <c r="D484" s="4" t="s">
        <v>1382</v>
      </c>
      <c r="E484" s="4" t="s">
        <v>1382</v>
      </c>
      <c r="F484" s="4" t="s">
        <v>1382</v>
      </c>
      <c r="G484" s="5" t="s">
        <v>790</v>
      </c>
      <c r="H484" s="5" t="str">
        <f>TEXT(Table3[[#This Row],[Value Date]],"mmmm")</f>
        <v>October</v>
      </c>
    </row>
    <row r="485" spans="1:8">
      <c r="A485" s="3">
        <f t="shared" si="8"/>
        <v>274424.16000000027</v>
      </c>
      <c r="B485" s="351">
        <v>189681.75</v>
      </c>
      <c r="C485" s="351"/>
      <c r="D485" s="4" t="s">
        <v>1383</v>
      </c>
      <c r="E485" s="4" t="s">
        <v>1383</v>
      </c>
      <c r="F485" s="4" t="s">
        <v>1383</v>
      </c>
      <c r="G485" s="5" t="s">
        <v>1341</v>
      </c>
      <c r="H485" s="5" t="str">
        <f>TEXT(Table3[[#This Row],[Value Date]],"mmmm")</f>
        <v>October</v>
      </c>
    </row>
    <row r="486" spans="1:8">
      <c r="A486" s="3">
        <f t="shared" si="8"/>
        <v>192441.87000000029</v>
      </c>
      <c r="B486" s="351"/>
      <c r="C486" s="351">
        <v>81982.289999999994</v>
      </c>
      <c r="D486" s="4" t="s">
        <v>1383</v>
      </c>
      <c r="E486" s="4" t="s">
        <v>1383</v>
      </c>
      <c r="F486" s="4" t="s">
        <v>1383</v>
      </c>
      <c r="G486" s="5" t="s">
        <v>1384</v>
      </c>
      <c r="H486" s="5" t="str">
        <f>TEXT(Table3[[#This Row],[Value Date]],"mmmm")</f>
        <v>October</v>
      </c>
    </row>
    <row r="487" spans="1:8">
      <c r="A487" s="3">
        <f t="shared" si="8"/>
        <v>182441.87000000029</v>
      </c>
      <c r="B487" s="351"/>
      <c r="C487" s="351">
        <v>10000</v>
      </c>
      <c r="D487" s="4" t="s">
        <v>1383</v>
      </c>
      <c r="E487" s="4" t="s">
        <v>1383</v>
      </c>
      <c r="F487" s="4" t="s">
        <v>1383</v>
      </c>
      <c r="G487" s="5" t="s">
        <v>617</v>
      </c>
      <c r="H487" s="5" t="str">
        <f>TEXT(Table3[[#This Row],[Value Date]],"mmmm")</f>
        <v>October</v>
      </c>
    </row>
    <row r="488" spans="1:8">
      <c r="A488" s="3">
        <f t="shared" si="8"/>
        <v>192441.87000000029</v>
      </c>
      <c r="B488" s="351">
        <v>10000</v>
      </c>
      <c r="C488" s="351"/>
      <c r="D488" s="4" t="s">
        <v>1383</v>
      </c>
      <c r="E488" s="4" t="s">
        <v>1383</v>
      </c>
      <c r="F488" s="4" t="s">
        <v>1383</v>
      </c>
      <c r="G488" s="5" t="s">
        <v>617</v>
      </c>
      <c r="H488" s="5" t="str">
        <f>TEXT(Table3[[#This Row],[Value Date]],"mmmm")</f>
        <v>October</v>
      </c>
    </row>
    <row r="489" spans="1:8">
      <c r="A489" s="3">
        <f t="shared" si="8"/>
        <v>182441.87000000029</v>
      </c>
      <c r="B489" s="351"/>
      <c r="C489" s="351">
        <v>10000</v>
      </c>
      <c r="D489" s="4" t="s">
        <v>1383</v>
      </c>
      <c r="E489" s="4" t="s">
        <v>1383</v>
      </c>
      <c r="F489" s="4" t="s">
        <v>1383</v>
      </c>
      <c r="G489" s="5" t="s">
        <v>790</v>
      </c>
      <c r="H489" s="5" t="str">
        <f>TEXT(Table3[[#This Row],[Value Date]],"mmmm")</f>
        <v>October</v>
      </c>
    </row>
    <row r="490" spans="1:8">
      <c r="A490" s="3">
        <f t="shared" si="8"/>
        <v>172441.87000000029</v>
      </c>
      <c r="B490" s="351"/>
      <c r="C490" s="351">
        <v>10000</v>
      </c>
      <c r="D490" s="4" t="s">
        <v>1383</v>
      </c>
      <c r="E490" s="4" t="s">
        <v>1383</v>
      </c>
      <c r="F490" s="4" t="s">
        <v>1383</v>
      </c>
      <c r="G490" s="5" t="s">
        <v>790</v>
      </c>
      <c r="H490" s="5" t="str">
        <f>TEXT(Table3[[#This Row],[Value Date]],"mmmm")</f>
        <v>October</v>
      </c>
    </row>
    <row r="491" spans="1:8">
      <c r="A491" s="3">
        <f t="shared" si="8"/>
        <v>162441.87000000029</v>
      </c>
      <c r="B491" s="351"/>
      <c r="C491" s="351">
        <v>10000</v>
      </c>
      <c r="D491" s="4" t="s">
        <v>1383</v>
      </c>
      <c r="E491" s="4" t="s">
        <v>1383</v>
      </c>
      <c r="F491" s="4" t="s">
        <v>1383</v>
      </c>
      <c r="G491" s="5" t="s">
        <v>790</v>
      </c>
      <c r="H491" s="5" t="str">
        <f>TEXT(Table3[[#This Row],[Value Date]],"mmmm")</f>
        <v>October</v>
      </c>
    </row>
    <row r="492" spans="1:8">
      <c r="A492" s="3">
        <f t="shared" si="8"/>
        <v>208519.99000000028</v>
      </c>
      <c r="B492" s="351">
        <v>46078.12</v>
      </c>
      <c r="C492" s="351"/>
      <c r="D492" s="4" t="s">
        <v>1406</v>
      </c>
      <c r="E492" s="4" t="s">
        <v>1406</v>
      </c>
      <c r="F492" s="4" t="s">
        <v>1406</v>
      </c>
      <c r="G492" s="5" t="s">
        <v>1407</v>
      </c>
      <c r="H492" s="5" t="str">
        <f>TEXT(Table3[[#This Row],[Value Date]],"mmmm")</f>
        <v>October</v>
      </c>
    </row>
    <row r="493" spans="1:8">
      <c r="A493" s="3">
        <f t="shared" si="8"/>
        <v>188519.99000000028</v>
      </c>
      <c r="B493" s="351"/>
      <c r="C493" s="351">
        <v>20000</v>
      </c>
      <c r="D493" s="4" t="s">
        <v>1406</v>
      </c>
      <c r="E493" s="4" t="s">
        <v>1406</v>
      </c>
      <c r="F493" s="4" t="s">
        <v>1406</v>
      </c>
      <c r="G493" s="5" t="s">
        <v>1408</v>
      </c>
      <c r="H493" s="5" t="str">
        <f>TEXT(Table3[[#This Row],[Value Date]],"mmmm")</f>
        <v>October</v>
      </c>
    </row>
    <row r="494" spans="1:8">
      <c r="A494" s="3">
        <f t="shared" si="8"/>
        <v>176519.99000000028</v>
      </c>
      <c r="B494" s="351"/>
      <c r="C494" s="351">
        <v>12000</v>
      </c>
      <c r="D494" s="4" t="s">
        <v>1406</v>
      </c>
      <c r="E494" s="4" t="s">
        <v>1406</v>
      </c>
      <c r="F494" s="4" t="s">
        <v>1406</v>
      </c>
      <c r="G494" s="5" t="s">
        <v>697</v>
      </c>
      <c r="H494" s="5" t="str">
        <f>TEXT(Table3[[#This Row],[Value Date]],"mmmm")</f>
        <v>October</v>
      </c>
    </row>
    <row r="495" spans="1:8">
      <c r="A495" s="3">
        <f t="shared" si="8"/>
        <v>164519.99000000028</v>
      </c>
      <c r="B495" s="351"/>
      <c r="C495" s="351">
        <v>12000</v>
      </c>
      <c r="D495" s="4" t="s">
        <v>1406</v>
      </c>
      <c r="E495" s="4" t="s">
        <v>1406</v>
      </c>
      <c r="F495" s="4" t="s">
        <v>1406</v>
      </c>
      <c r="G495" s="5" t="s">
        <v>697</v>
      </c>
      <c r="H495" s="5" t="str">
        <f>TEXT(Table3[[#This Row],[Value Date]],"mmmm")</f>
        <v>October</v>
      </c>
    </row>
    <row r="496" spans="1:8">
      <c r="A496" s="3">
        <f t="shared" si="8"/>
        <v>158519.99000000028</v>
      </c>
      <c r="B496" s="351"/>
      <c r="C496" s="351">
        <v>6000</v>
      </c>
      <c r="D496" s="4" t="s">
        <v>1406</v>
      </c>
      <c r="E496" s="4" t="s">
        <v>1406</v>
      </c>
      <c r="F496" s="4" t="s">
        <v>1406</v>
      </c>
      <c r="G496" s="5" t="s">
        <v>697</v>
      </c>
      <c r="H496" s="5" t="str">
        <f>TEXT(Table3[[#This Row],[Value Date]],"mmmm")</f>
        <v>October</v>
      </c>
    </row>
    <row r="497" spans="1:8">
      <c r="A497" s="3">
        <f t="shared" si="8"/>
        <v>128519.99000000028</v>
      </c>
      <c r="B497" s="351"/>
      <c r="C497" s="351">
        <v>30000</v>
      </c>
      <c r="D497" s="4" t="s">
        <v>1409</v>
      </c>
      <c r="E497" s="4" t="s">
        <v>1409</v>
      </c>
      <c r="F497" s="4" t="s">
        <v>1410</v>
      </c>
      <c r="G497" s="5" t="s">
        <v>1411</v>
      </c>
      <c r="H497" s="5" t="str">
        <f>TEXT(Table3[[#This Row],[Value Date]],"mmmm")</f>
        <v>October</v>
      </c>
    </row>
    <row r="498" spans="1:8">
      <c r="A498" s="3">
        <f t="shared" si="8"/>
        <v>264280.3800000003</v>
      </c>
      <c r="B498" s="351">
        <v>135760.39000000001</v>
      </c>
      <c r="C498" s="351"/>
      <c r="D498" s="4" t="s">
        <v>1409</v>
      </c>
      <c r="E498" s="4" t="s">
        <v>1409</v>
      </c>
      <c r="F498" s="4" t="s">
        <v>1409</v>
      </c>
      <c r="G498" s="5" t="s">
        <v>698</v>
      </c>
      <c r="H498" s="5" t="str">
        <f>TEXT(Table3[[#This Row],[Value Date]],"mmmm")</f>
        <v>October</v>
      </c>
    </row>
    <row r="499" spans="1:8">
      <c r="A499" s="3">
        <f t="shared" si="8"/>
        <v>252280.3800000003</v>
      </c>
      <c r="B499" s="351"/>
      <c r="C499" s="351">
        <v>12000</v>
      </c>
      <c r="D499" s="4" t="s">
        <v>1409</v>
      </c>
      <c r="E499" s="4" t="s">
        <v>1409</v>
      </c>
      <c r="F499" s="4" t="s">
        <v>1409</v>
      </c>
      <c r="G499" s="5" t="s">
        <v>697</v>
      </c>
      <c r="H499" s="5" t="str">
        <f>TEXT(Table3[[#This Row],[Value Date]],"mmmm")</f>
        <v>October</v>
      </c>
    </row>
    <row r="500" spans="1:8">
      <c r="A500" s="3">
        <f t="shared" si="8"/>
        <v>240280.3800000003</v>
      </c>
      <c r="B500" s="351"/>
      <c r="C500" s="351">
        <v>12000</v>
      </c>
      <c r="D500" s="4" t="s">
        <v>1409</v>
      </c>
      <c r="E500" s="4" t="s">
        <v>1409</v>
      </c>
      <c r="F500" s="4" t="s">
        <v>1409</v>
      </c>
      <c r="G500" s="5" t="s">
        <v>697</v>
      </c>
      <c r="H500" s="5" t="str">
        <f>TEXT(Table3[[#This Row],[Value Date]],"mmmm")</f>
        <v>October</v>
      </c>
    </row>
    <row r="501" spans="1:8">
      <c r="A501" s="3">
        <f t="shared" si="8"/>
        <v>234280.3800000003</v>
      </c>
      <c r="B501" s="351"/>
      <c r="C501" s="351">
        <v>6000</v>
      </c>
      <c r="D501" s="4" t="s">
        <v>1409</v>
      </c>
      <c r="E501" s="4" t="s">
        <v>1409</v>
      </c>
      <c r="F501" s="4" t="s">
        <v>1409</v>
      </c>
      <c r="G501" s="5" t="s">
        <v>697</v>
      </c>
      <c r="H501" s="5" t="str">
        <f>TEXT(Table3[[#This Row],[Value Date]],"mmmm")</f>
        <v>October</v>
      </c>
    </row>
    <row r="502" spans="1:8">
      <c r="A502" s="3">
        <f t="shared" si="8"/>
        <v>204280.3800000003</v>
      </c>
      <c r="B502" s="351"/>
      <c r="C502" s="351">
        <v>30000</v>
      </c>
      <c r="D502" s="4" t="s">
        <v>1412</v>
      </c>
      <c r="E502" s="4" t="s">
        <v>1412</v>
      </c>
      <c r="F502" s="4" t="s">
        <v>1412</v>
      </c>
      <c r="G502" s="5" t="s">
        <v>790</v>
      </c>
      <c r="H502" s="5" t="str">
        <f>TEXT(Table3[[#This Row],[Value Date]],"mmmm")</f>
        <v>October</v>
      </c>
    </row>
    <row r="503" spans="1:8">
      <c r="A503" s="3">
        <f t="shared" si="8"/>
        <v>542788.00000000023</v>
      </c>
      <c r="B503" s="351">
        <v>338507.62</v>
      </c>
      <c r="C503" s="351"/>
      <c r="D503" s="4" t="s">
        <v>1412</v>
      </c>
      <c r="E503" s="4" t="s">
        <v>1412</v>
      </c>
      <c r="F503" s="4" t="s">
        <v>1412</v>
      </c>
      <c r="G503" s="5" t="s">
        <v>1413</v>
      </c>
      <c r="H503" s="5" t="str">
        <f>TEXT(Table3[[#This Row],[Value Date]],"mmmm")</f>
        <v>October</v>
      </c>
    </row>
    <row r="504" spans="1:8">
      <c r="A504" s="3">
        <f t="shared" si="8"/>
        <v>532788.00000000023</v>
      </c>
      <c r="B504" s="351"/>
      <c r="C504" s="351">
        <v>10000</v>
      </c>
      <c r="D504" s="4" t="s">
        <v>1443</v>
      </c>
      <c r="E504" s="4" t="s">
        <v>1443</v>
      </c>
      <c r="F504" s="4" t="s">
        <v>1443</v>
      </c>
      <c r="G504" s="5" t="s">
        <v>697</v>
      </c>
      <c r="H504" s="5" t="str">
        <f>TEXT(Table3[[#This Row],[Value Date]],"mmmm")</f>
        <v>October</v>
      </c>
    </row>
    <row r="505" spans="1:8">
      <c r="A505" s="3">
        <f t="shared" si="8"/>
        <v>522788.00000000023</v>
      </c>
      <c r="B505" s="351"/>
      <c r="C505" s="351">
        <v>10000</v>
      </c>
      <c r="D505" s="4" t="s">
        <v>1443</v>
      </c>
      <c r="E505" s="4" t="s">
        <v>1443</v>
      </c>
      <c r="F505" s="4" t="s">
        <v>1443</v>
      </c>
      <c r="G505" s="5" t="s">
        <v>697</v>
      </c>
      <c r="H505" s="5" t="str">
        <f>TEXT(Table3[[#This Row],[Value Date]],"mmmm")</f>
        <v>October</v>
      </c>
    </row>
    <row r="506" spans="1:8">
      <c r="A506" s="3">
        <f t="shared" si="8"/>
        <v>510788.00000000023</v>
      </c>
      <c r="B506" s="351"/>
      <c r="C506" s="351">
        <v>12000</v>
      </c>
      <c r="D506" s="4" t="s">
        <v>1444</v>
      </c>
      <c r="E506" s="4" t="s">
        <v>1444</v>
      </c>
      <c r="F506" s="4" t="s">
        <v>1444</v>
      </c>
      <c r="G506" s="5" t="s">
        <v>697</v>
      </c>
      <c r="H506" s="5" t="str">
        <f>TEXT(Table3[[#This Row],[Value Date]],"mmmm")</f>
        <v>October</v>
      </c>
    </row>
    <row r="507" spans="1:8">
      <c r="A507" s="3">
        <f t="shared" si="8"/>
        <v>500788.00000000023</v>
      </c>
      <c r="B507" s="351"/>
      <c r="C507" s="351">
        <v>10000</v>
      </c>
      <c r="D507" s="4" t="s">
        <v>1444</v>
      </c>
      <c r="E507" s="4" t="s">
        <v>1444</v>
      </c>
      <c r="F507" s="4" t="s">
        <v>1444</v>
      </c>
      <c r="G507" s="5" t="s">
        <v>697</v>
      </c>
      <c r="H507" s="5" t="str">
        <f>TEXT(Table3[[#This Row],[Value Date]],"mmmm")</f>
        <v>October</v>
      </c>
    </row>
    <row r="508" spans="1:8">
      <c r="A508" s="3">
        <f t="shared" si="8"/>
        <v>490788.00000000023</v>
      </c>
      <c r="B508" s="351"/>
      <c r="C508" s="351">
        <v>10000</v>
      </c>
      <c r="D508" s="4" t="s">
        <v>1445</v>
      </c>
      <c r="E508" s="4" t="s">
        <v>1445</v>
      </c>
      <c r="F508" s="4" t="s">
        <v>1445</v>
      </c>
      <c r="G508" s="5" t="s">
        <v>922</v>
      </c>
      <c r="H508" s="5" t="str">
        <f>TEXT(Table3[[#This Row],[Value Date]],"mmmm")</f>
        <v>October</v>
      </c>
    </row>
    <row r="509" spans="1:8">
      <c r="A509" s="3">
        <f t="shared" si="8"/>
        <v>480788.00000000023</v>
      </c>
      <c r="B509" s="351"/>
      <c r="C509" s="351">
        <v>10000</v>
      </c>
      <c r="D509" s="4" t="s">
        <v>1446</v>
      </c>
      <c r="E509" s="4" t="s">
        <v>1446</v>
      </c>
      <c r="F509" s="4" t="s">
        <v>1446</v>
      </c>
      <c r="G509" s="5" t="s">
        <v>697</v>
      </c>
      <c r="H509" s="5" t="str">
        <f>TEXT(Table3[[#This Row],[Value Date]],"mmmm")</f>
        <v>October</v>
      </c>
    </row>
    <row r="510" spans="1:8">
      <c r="A510" s="3">
        <f t="shared" si="8"/>
        <v>380788.00000000023</v>
      </c>
      <c r="B510" s="351"/>
      <c r="C510" s="351">
        <v>100000</v>
      </c>
      <c r="D510" s="4" t="s">
        <v>1446</v>
      </c>
      <c r="E510" s="4" t="s">
        <v>1446</v>
      </c>
      <c r="F510" s="4" t="s">
        <v>1446</v>
      </c>
      <c r="G510" s="5" t="s">
        <v>1447</v>
      </c>
      <c r="H510" s="5" t="str">
        <f>TEXT(Table3[[#This Row],[Value Date]],"mmmm")</f>
        <v>October</v>
      </c>
    </row>
    <row r="511" spans="1:8">
      <c r="A511" s="3">
        <f t="shared" si="8"/>
        <v>500945.50000000023</v>
      </c>
      <c r="B511" s="351">
        <v>120157.5</v>
      </c>
      <c r="C511" s="351"/>
      <c r="D511" s="4" t="s">
        <v>1448</v>
      </c>
      <c r="E511" s="4" t="s">
        <v>1448</v>
      </c>
      <c r="F511" s="4" t="s">
        <v>1448</v>
      </c>
      <c r="G511" s="5" t="s">
        <v>1449</v>
      </c>
      <c r="H511" s="5" t="str">
        <f>TEXT(Table3[[#This Row],[Value Date]],"mmmm")</f>
        <v>October</v>
      </c>
    </row>
    <row r="512" spans="1:8">
      <c r="A512" s="3">
        <f t="shared" si="8"/>
        <v>523491.82000000024</v>
      </c>
      <c r="B512" s="351">
        <v>22546.32</v>
      </c>
      <c r="C512" s="351"/>
      <c r="D512" s="4" t="s">
        <v>1448</v>
      </c>
      <c r="E512" s="4" t="s">
        <v>1448</v>
      </c>
      <c r="F512" s="4" t="s">
        <v>1448</v>
      </c>
      <c r="G512" s="5" t="s">
        <v>1450</v>
      </c>
      <c r="H512" s="5" t="str">
        <f>TEXT(Table3[[#This Row],[Value Date]],"mmmm")</f>
        <v>October</v>
      </c>
    </row>
    <row r="513" spans="1:8">
      <c r="A513" s="3">
        <f t="shared" si="8"/>
        <v>636103.36000000022</v>
      </c>
      <c r="B513" s="351">
        <v>112611.54</v>
      </c>
      <c r="C513" s="351"/>
      <c r="D513" s="4" t="s">
        <v>1451</v>
      </c>
      <c r="E513" s="4" t="s">
        <v>1451</v>
      </c>
      <c r="F513" s="4" t="s">
        <v>1451</v>
      </c>
      <c r="G513" s="5" t="s">
        <v>1362</v>
      </c>
      <c r="H513" s="5" t="str">
        <f>TEXT(Table3[[#This Row],[Value Date]],"mmmm")</f>
        <v>October</v>
      </c>
    </row>
    <row r="514" spans="1:8">
      <c r="A514" s="3">
        <f t="shared" si="8"/>
        <v>611103.36000000022</v>
      </c>
      <c r="B514" s="351"/>
      <c r="C514" s="351">
        <v>25000</v>
      </c>
      <c r="D514" s="4" t="s">
        <v>1451</v>
      </c>
      <c r="E514" s="4" t="s">
        <v>1451</v>
      </c>
      <c r="F514" s="4" t="s">
        <v>1451</v>
      </c>
      <c r="G514" s="5" t="s">
        <v>1452</v>
      </c>
      <c r="H514" s="5" t="str">
        <f>TEXT(Table3[[#This Row],[Value Date]],"mmmm")</f>
        <v>October</v>
      </c>
    </row>
    <row r="515" spans="1:8">
      <c r="A515" s="3">
        <f t="shared" si="8"/>
        <v>586103.36000000022</v>
      </c>
      <c r="B515" s="351"/>
      <c r="C515" s="351">
        <v>25000</v>
      </c>
      <c r="D515" s="4" t="s">
        <v>1451</v>
      </c>
      <c r="E515" s="4" t="s">
        <v>1451</v>
      </c>
      <c r="F515" s="4" t="s">
        <v>1451</v>
      </c>
      <c r="G515" s="5" t="s">
        <v>1453</v>
      </c>
      <c r="H515" s="5" t="str">
        <f>TEXT(Table3[[#This Row],[Value Date]],"mmmm")</f>
        <v>October</v>
      </c>
    </row>
    <row r="516" spans="1:8">
      <c r="A516" s="3">
        <f t="shared" si="8"/>
        <v>561103.36000000022</v>
      </c>
      <c r="B516" s="351"/>
      <c r="C516" s="351">
        <v>25000</v>
      </c>
      <c r="D516" s="4" t="s">
        <v>1451</v>
      </c>
      <c r="E516" s="4" t="s">
        <v>1451</v>
      </c>
      <c r="F516" s="4" t="s">
        <v>1451</v>
      </c>
      <c r="G516" s="5" t="s">
        <v>1454</v>
      </c>
      <c r="H516" s="5" t="str">
        <f>TEXT(Table3[[#This Row],[Value Date]],"mmmm")</f>
        <v>October</v>
      </c>
    </row>
    <row r="517" spans="1:8">
      <c r="A517" s="3">
        <f t="shared" si="8"/>
        <v>536103.36000000022</v>
      </c>
      <c r="B517" s="351"/>
      <c r="C517" s="351">
        <v>25000</v>
      </c>
      <c r="D517" s="4" t="s">
        <v>1451</v>
      </c>
      <c r="E517" s="4" t="s">
        <v>1451</v>
      </c>
      <c r="F517" s="4" t="s">
        <v>1451</v>
      </c>
      <c r="G517" s="5" t="s">
        <v>1455</v>
      </c>
      <c r="H517" s="5" t="str">
        <f>TEXT(Table3[[#This Row],[Value Date]],"mmmm")</f>
        <v>October</v>
      </c>
    </row>
    <row r="518" spans="1:8">
      <c r="A518" s="3">
        <f t="shared" si="8"/>
        <v>324662.56000000023</v>
      </c>
      <c r="B518" s="351"/>
      <c r="C518" s="351">
        <v>211440.8</v>
      </c>
      <c r="D518" s="4" t="s">
        <v>1451</v>
      </c>
      <c r="E518" s="4" t="s">
        <v>1451</v>
      </c>
      <c r="F518" s="4" t="s">
        <v>1451</v>
      </c>
      <c r="G518" s="5" t="s">
        <v>1456</v>
      </c>
      <c r="H518" s="5" t="str">
        <f>TEXT(Table3[[#This Row],[Value Date]],"mmmm")</f>
        <v>October</v>
      </c>
    </row>
    <row r="519" spans="1:8">
      <c r="A519" s="3">
        <f t="shared" si="8"/>
        <v>309662.56000000023</v>
      </c>
      <c r="B519" s="351"/>
      <c r="C519" s="351">
        <v>15000</v>
      </c>
      <c r="D519" s="4" t="s">
        <v>1451</v>
      </c>
      <c r="E519" s="4" t="s">
        <v>1451</v>
      </c>
      <c r="F519" s="4" t="s">
        <v>1451</v>
      </c>
      <c r="G519" s="5" t="s">
        <v>1461</v>
      </c>
      <c r="H519" s="5" t="str">
        <f>TEXT(Table3[[#This Row],[Value Date]],"mmmm")</f>
        <v>October</v>
      </c>
    </row>
    <row r="520" spans="1:8">
      <c r="A520" s="3">
        <f t="shared" si="8"/>
        <v>294662.56000000023</v>
      </c>
      <c r="B520" s="351"/>
      <c r="C520" s="351">
        <v>15000</v>
      </c>
      <c r="D520" s="4" t="s">
        <v>1451</v>
      </c>
      <c r="E520" s="4" t="s">
        <v>1451</v>
      </c>
      <c r="F520" s="4" t="s">
        <v>1451</v>
      </c>
      <c r="G520" s="5" t="s">
        <v>1461</v>
      </c>
      <c r="H520" s="5" t="str">
        <f>TEXT(Table3[[#This Row],[Value Date]],"mmmm")</f>
        <v>October</v>
      </c>
    </row>
    <row r="521" spans="1:8">
      <c r="A521" s="3">
        <f t="shared" si="8"/>
        <v>471855.44000000024</v>
      </c>
      <c r="B521" s="351">
        <v>177192.88</v>
      </c>
      <c r="C521" s="351"/>
      <c r="D521" s="4" t="s">
        <v>1462</v>
      </c>
      <c r="E521" s="4" t="s">
        <v>1462</v>
      </c>
      <c r="F521" s="4" t="s">
        <v>1462</v>
      </c>
      <c r="G521" s="5" t="s">
        <v>1463</v>
      </c>
      <c r="H521" s="5" t="str">
        <f>TEXT(Table3[[#This Row],[Value Date]],"mmmm")</f>
        <v>October</v>
      </c>
    </row>
    <row r="522" spans="1:8">
      <c r="A522" s="3">
        <f t="shared" si="8"/>
        <v>451855.44000000024</v>
      </c>
      <c r="B522" s="351"/>
      <c r="C522" s="351">
        <v>20000</v>
      </c>
      <c r="D522" s="4" t="s">
        <v>1501</v>
      </c>
      <c r="E522" s="4" t="s">
        <v>1501</v>
      </c>
      <c r="F522" s="4" t="s">
        <v>1501</v>
      </c>
      <c r="G522" s="5" t="s">
        <v>717</v>
      </c>
      <c r="H522" s="5" t="str">
        <f>TEXT(Table3[[#This Row],[Value Date]],"mmmm")</f>
        <v>November</v>
      </c>
    </row>
    <row r="523" spans="1:8">
      <c r="A523" s="3">
        <f t="shared" si="8"/>
        <v>451755.44000000024</v>
      </c>
      <c r="B523" s="351"/>
      <c r="C523" s="351">
        <v>100</v>
      </c>
      <c r="D523" s="4" t="s">
        <v>1501</v>
      </c>
      <c r="E523" s="4" t="s">
        <v>1501</v>
      </c>
      <c r="F523" s="4" t="s">
        <v>1501</v>
      </c>
      <c r="G523" s="5" t="s">
        <v>1502</v>
      </c>
      <c r="H523" s="5" t="str">
        <f>TEXT(Table3[[#This Row],[Value Date]],"mmmm")</f>
        <v>November</v>
      </c>
    </row>
    <row r="524" spans="1:8">
      <c r="A524" s="3">
        <f t="shared" si="8"/>
        <v>498424.31000000023</v>
      </c>
      <c r="B524" s="351">
        <v>46668.87</v>
      </c>
      <c r="C524" s="351"/>
      <c r="D524" s="4" t="s">
        <v>1505</v>
      </c>
      <c r="E524" s="4" t="s">
        <v>1505</v>
      </c>
      <c r="F524" s="4" t="s">
        <v>1505</v>
      </c>
      <c r="G524" s="5" t="s">
        <v>1506</v>
      </c>
      <c r="H524" s="5" t="str">
        <f>TEXT(Table3[[#This Row],[Value Date]],"mmmm")</f>
        <v>November</v>
      </c>
    </row>
    <row r="525" spans="1:8">
      <c r="A525" s="3">
        <f t="shared" si="8"/>
        <v>468424.31000000023</v>
      </c>
      <c r="B525" s="351"/>
      <c r="C525" s="351">
        <v>30000</v>
      </c>
      <c r="D525" s="4" t="s">
        <v>1505</v>
      </c>
      <c r="E525" s="4" t="s">
        <v>1505</v>
      </c>
      <c r="F525" s="4" t="s">
        <v>1505</v>
      </c>
      <c r="G525" s="5" t="s">
        <v>790</v>
      </c>
      <c r="H525" s="5" t="str">
        <f>TEXT(Table3[[#This Row],[Value Date]],"mmmm")</f>
        <v>November</v>
      </c>
    </row>
    <row r="526" spans="1:8">
      <c r="A526" s="3">
        <f t="shared" si="8"/>
        <v>314902.88000000024</v>
      </c>
      <c r="B526" s="351"/>
      <c r="C526" s="351">
        <v>153521.43</v>
      </c>
      <c r="D526" s="4" t="s">
        <v>1523</v>
      </c>
      <c r="E526" s="4" t="s">
        <v>1523</v>
      </c>
      <c r="F526" s="4" t="s">
        <v>1501</v>
      </c>
      <c r="G526" s="5" t="s">
        <v>1524</v>
      </c>
      <c r="H526" s="5" t="str">
        <f>TEXT(Table3[[#This Row],[Value Date]],"mmmm")</f>
        <v>November</v>
      </c>
    </row>
    <row r="527" spans="1:8">
      <c r="A527" s="3">
        <f t="shared" si="8"/>
        <v>314902.38000000024</v>
      </c>
      <c r="B527" s="351"/>
      <c r="C527" s="351">
        <v>0.5</v>
      </c>
      <c r="D527" s="4" t="s">
        <v>1523</v>
      </c>
      <c r="E527" s="4" t="s">
        <v>1523</v>
      </c>
      <c r="F527" s="4" t="s">
        <v>1525</v>
      </c>
      <c r="G527" s="5" t="s">
        <v>1526</v>
      </c>
      <c r="H527" s="5" t="str">
        <f>TEXT(Table3[[#This Row],[Value Date]],"mmmm")</f>
        <v>November</v>
      </c>
    </row>
    <row r="528" spans="1:8">
      <c r="A528" s="3">
        <f t="shared" si="8"/>
        <v>294902.38000000024</v>
      </c>
      <c r="B528" s="351"/>
      <c r="C528" s="351">
        <v>20000</v>
      </c>
      <c r="D528" s="4" t="s">
        <v>1523</v>
      </c>
      <c r="E528" s="4" t="s">
        <v>1523</v>
      </c>
      <c r="F528" s="4" t="s">
        <v>1525</v>
      </c>
      <c r="G528" s="5" t="s">
        <v>1527</v>
      </c>
      <c r="H528" s="5" t="str">
        <f>TEXT(Table3[[#This Row],[Value Date]],"mmmm")</f>
        <v>November</v>
      </c>
    </row>
    <row r="529" spans="1:8">
      <c r="A529" s="3">
        <f t="shared" si="8"/>
        <v>314902.38000000024</v>
      </c>
      <c r="B529" s="351">
        <v>20000</v>
      </c>
      <c r="C529" s="351"/>
      <c r="D529" s="4" t="s">
        <v>1523</v>
      </c>
      <c r="E529" s="4" t="s">
        <v>1523</v>
      </c>
      <c r="F529" s="4" t="s">
        <v>1525</v>
      </c>
      <c r="G529" s="5" t="s">
        <v>1527</v>
      </c>
      <c r="H529" s="5" t="str">
        <f>TEXT(Table3[[#This Row],[Value Date]],"mmmm")</f>
        <v>November</v>
      </c>
    </row>
    <row r="530" spans="1:8">
      <c r="A530" s="3">
        <f t="shared" si="8"/>
        <v>304902.38000000024</v>
      </c>
      <c r="B530" s="351"/>
      <c r="C530" s="351">
        <v>10000</v>
      </c>
      <c r="D530" s="4" t="s">
        <v>1523</v>
      </c>
      <c r="E530" s="4" t="s">
        <v>1523</v>
      </c>
      <c r="F530" s="4" t="s">
        <v>1523</v>
      </c>
      <c r="G530" s="5" t="s">
        <v>790</v>
      </c>
      <c r="H530" s="5" t="str">
        <f>TEXT(Table3[[#This Row],[Value Date]],"mmmm")</f>
        <v>November</v>
      </c>
    </row>
    <row r="531" spans="1:8">
      <c r="A531" s="3">
        <f t="shared" si="8"/>
        <v>314902.38000000024</v>
      </c>
      <c r="B531" s="351">
        <v>10000</v>
      </c>
      <c r="C531" s="351"/>
      <c r="D531" s="4" t="s">
        <v>1523</v>
      </c>
      <c r="E531" s="4" t="s">
        <v>1523</v>
      </c>
      <c r="F531" s="4" t="s">
        <v>1523</v>
      </c>
      <c r="G531" s="5" t="s">
        <v>790</v>
      </c>
      <c r="H531" s="5" t="str">
        <f>TEXT(Table3[[#This Row],[Value Date]],"mmmm")</f>
        <v>November</v>
      </c>
    </row>
    <row r="532" spans="1:8">
      <c r="A532" s="3">
        <f t="shared" si="8"/>
        <v>304902.38000000024</v>
      </c>
      <c r="B532" s="351"/>
      <c r="C532" s="351">
        <v>10000</v>
      </c>
      <c r="D532" s="4" t="s">
        <v>1523</v>
      </c>
      <c r="E532" s="4" t="s">
        <v>1523</v>
      </c>
      <c r="F532" s="4" t="s">
        <v>1523</v>
      </c>
      <c r="G532" s="5" t="s">
        <v>697</v>
      </c>
      <c r="H532" s="5" t="str">
        <f>TEXT(Table3[[#This Row],[Value Date]],"mmmm")</f>
        <v>November</v>
      </c>
    </row>
    <row r="533" spans="1:8">
      <c r="A533" s="3">
        <f t="shared" si="8"/>
        <v>294902.38000000024</v>
      </c>
      <c r="B533" s="351"/>
      <c r="C533" s="351">
        <v>10000</v>
      </c>
      <c r="D533" s="4" t="s">
        <v>1523</v>
      </c>
      <c r="E533" s="4" t="s">
        <v>1523</v>
      </c>
      <c r="F533" s="4" t="s">
        <v>1523</v>
      </c>
      <c r="G533" s="5" t="s">
        <v>697</v>
      </c>
      <c r="H533" s="5" t="str">
        <f>TEXT(Table3[[#This Row],[Value Date]],"mmmm")</f>
        <v>November</v>
      </c>
    </row>
    <row r="534" spans="1:8">
      <c r="A534" s="3">
        <f t="shared" si="8"/>
        <v>284902.38000000024</v>
      </c>
      <c r="B534" s="351"/>
      <c r="C534" s="351">
        <v>10000</v>
      </c>
      <c r="D534" s="4" t="s">
        <v>1523</v>
      </c>
      <c r="E534" s="4" t="s">
        <v>1523</v>
      </c>
      <c r="F534" s="4" t="s">
        <v>1523</v>
      </c>
      <c r="G534" s="5" t="s">
        <v>697</v>
      </c>
      <c r="H534" s="5" t="str">
        <f>TEXT(Table3[[#This Row],[Value Date]],"mmmm")</f>
        <v>November</v>
      </c>
    </row>
    <row r="535" spans="1:8">
      <c r="A535" s="3">
        <f t="shared" si="8"/>
        <v>380626.24000000022</v>
      </c>
      <c r="B535" s="351">
        <v>95723.86</v>
      </c>
      <c r="C535" s="351"/>
      <c r="D535" s="4" t="s">
        <v>1528</v>
      </c>
      <c r="E535" s="4" t="s">
        <v>1528</v>
      </c>
      <c r="F535" s="4" t="s">
        <v>1528</v>
      </c>
      <c r="G535" s="5" t="s">
        <v>1529</v>
      </c>
      <c r="H535" s="5" t="str">
        <f>TEXT(Table3[[#This Row],[Value Date]],"mmmm")</f>
        <v>November</v>
      </c>
    </row>
    <row r="536" spans="1:8">
      <c r="A536" s="3">
        <f t="shared" si="8"/>
        <v>448348.15000000026</v>
      </c>
      <c r="B536" s="351">
        <v>67721.91</v>
      </c>
      <c r="C536" s="351"/>
      <c r="D536" s="4" t="s">
        <v>1528</v>
      </c>
      <c r="E536" s="4" t="s">
        <v>1528</v>
      </c>
      <c r="F536" s="4" t="s">
        <v>1528</v>
      </c>
      <c r="G536" s="5" t="s">
        <v>1530</v>
      </c>
      <c r="H536" s="5" t="str">
        <f>TEXT(Table3[[#This Row],[Value Date]],"mmmm")</f>
        <v>November</v>
      </c>
    </row>
    <row r="537" spans="1:8">
      <c r="A537" s="3">
        <f t="shared" si="8"/>
        <v>547724.15000000026</v>
      </c>
      <c r="B537" s="351">
        <v>99376</v>
      </c>
      <c r="C537" s="351"/>
      <c r="D537" s="4" t="s">
        <v>1528</v>
      </c>
      <c r="E537" s="4" t="s">
        <v>1528</v>
      </c>
      <c r="F537" s="4" t="s">
        <v>1528</v>
      </c>
      <c r="G537" s="5" t="s">
        <v>1362</v>
      </c>
      <c r="H537" s="5" t="str">
        <f>TEXT(Table3[[#This Row],[Value Date]],"mmmm")</f>
        <v>November</v>
      </c>
    </row>
    <row r="538" spans="1:8">
      <c r="A538" s="3">
        <f>A541+B538-C538</f>
        <v>636378.64000000025</v>
      </c>
      <c r="B538" s="351">
        <v>118654.49</v>
      </c>
      <c r="C538" s="351"/>
      <c r="D538" s="4" t="s">
        <v>1531</v>
      </c>
      <c r="E538" s="4" t="s">
        <v>1531</v>
      </c>
      <c r="F538" s="4" t="s">
        <v>1531</v>
      </c>
      <c r="G538" s="5" t="s">
        <v>1532</v>
      </c>
      <c r="H538" s="5" t="str">
        <f>TEXT(Table3[[#This Row],[Value Date]],"mmmm")</f>
        <v>November</v>
      </c>
    </row>
    <row r="539" spans="1:8">
      <c r="A539" s="3">
        <f>A537+B539-C539</f>
        <v>537724.15000000026</v>
      </c>
      <c r="B539" s="351"/>
      <c r="C539" s="351">
        <v>10000</v>
      </c>
      <c r="D539" s="4" t="s">
        <v>1531</v>
      </c>
      <c r="E539" s="4" t="s">
        <v>1531</v>
      </c>
      <c r="F539" s="4" t="s">
        <v>1531</v>
      </c>
      <c r="G539" s="5" t="s">
        <v>1527</v>
      </c>
      <c r="H539" s="5" t="str">
        <f>TEXT(Table3[[#This Row],[Value Date]],"mmmm")</f>
        <v>November</v>
      </c>
    </row>
    <row r="540" spans="1:8">
      <c r="A540" s="3">
        <f t="shared" si="8"/>
        <v>527724.15000000026</v>
      </c>
      <c r="B540" s="351"/>
      <c r="C540" s="351">
        <v>10000</v>
      </c>
      <c r="D540" s="4" t="s">
        <v>1531</v>
      </c>
      <c r="E540" s="4" t="s">
        <v>1531</v>
      </c>
      <c r="F540" s="4" t="s">
        <v>1531</v>
      </c>
      <c r="G540" s="5" t="s">
        <v>1527</v>
      </c>
      <c r="H540" s="5" t="str">
        <f>TEXT(Table3[[#This Row],[Value Date]],"mmmm")</f>
        <v>November</v>
      </c>
    </row>
    <row r="541" spans="1:8">
      <c r="A541" s="3">
        <f t="shared" si="8"/>
        <v>517724.15000000026</v>
      </c>
      <c r="B541" s="351"/>
      <c r="C541" s="351">
        <v>10000</v>
      </c>
      <c r="D541" s="4" t="s">
        <v>1531</v>
      </c>
      <c r="E541" s="4" t="s">
        <v>1531</v>
      </c>
      <c r="F541" s="4" t="s">
        <v>1531</v>
      </c>
      <c r="G541" s="5" t="s">
        <v>1527</v>
      </c>
      <c r="H541" s="5" t="str">
        <f>TEXT(Table3[[#This Row],[Value Date]],"mmmm")</f>
        <v>November</v>
      </c>
    </row>
    <row r="542" spans="1:8">
      <c r="A542" s="3">
        <f>A538+B542-C542</f>
        <v>644587.35000000021</v>
      </c>
      <c r="B542" s="351">
        <v>8208.7099999999991</v>
      </c>
      <c r="C542" s="351"/>
      <c r="D542" s="4" t="s">
        <v>1533</v>
      </c>
      <c r="E542" s="4" t="s">
        <v>1533</v>
      </c>
      <c r="F542" s="4" t="s">
        <v>1533</v>
      </c>
      <c r="G542" s="5" t="s">
        <v>1530</v>
      </c>
      <c r="H542" s="5" t="str">
        <f>TEXT(Table3[[#This Row],[Value Date]],"mmmm")</f>
        <v>November</v>
      </c>
    </row>
    <row r="543" spans="1:8">
      <c r="A543" s="3">
        <f t="shared" si="8"/>
        <v>1256197.3500000001</v>
      </c>
      <c r="B543" s="351">
        <v>611610</v>
      </c>
      <c r="C543" s="351"/>
      <c r="D543" s="4" t="s">
        <v>1533</v>
      </c>
      <c r="E543" s="4" t="s">
        <v>1533</v>
      </c>
      <c r="F543" s="4" t="s">
        <v>1533</v>
      </c>
      <c r="G543" s="5" t="s">
        <v>1202</v>
      </c>
      <c r="H543" s="5" t="str">
        <f>TEXT(Table3[[#This Row],[Value Date]],"mmmm")</f>
        <v>November</v>
      </c>
    </row>
    <row r="544" spans="1:8">
      <c r="A544" s="3">
        <f>A543+B544-C544</f>
        <v>1241197.3500000001</v>
      </c>
      <c r="B544" s="351"/>
      <c r="C544" s="351">
        <v>15000</v>
      </c>
      <c r="D544" s="4" t="s">
        <v>1540</v>
      </c>
      <c r="E544" s="4" t="s">
        <v>1540</v>
      </c>
      <c r="F544" s="4" t="s">
        <v>1540</v>
      </c>
      <c r="G544" s="5" t="s">
        <v>790</v>
      </c>
      <c r="H544" s="5" t="str">
        <f>TEXT(Table3[[#This Row],[Value Date]],"mmmm")</f>
        <v>November</v>
      </c>
    </row>
    <row r="545" spans="1:8">
      <c r="A545" s="3">
        <f t="shared" ref="A545:A665" si="9">A544+B545-C545</f>
        <v>1226197.3500000001</v>
      </c>
      <c r="B545" s="364"/>
      <c r="C545" s="351">
        <v>15000</v>
      </c>
      <c r="D545" s="4" t="s">
        <v>1540</v>
      </c>
      <c r="E545" s="4" t="s">
        <v>1540</v>
      </c>
      <c r="F545" s="4" t="s">
        <v>1540</v>
      </c>
      <c r="G545" s="5" t="s">
        <v>790</v>
      </c>
      <c r="H545" s="5" t="str">
        <f>TEXT(Table3[[#This Row],[Value Date]],"mmmm")</f>
        <v>November</v>
      </c>
    </row>
    <row r="546" spans="1:8">
      <c r="A546" s="3">
        <f t="shared" si="9"/>
        <v>1141524.05</v>
      </c>
      <c r="B546" s="364"/>
      <c r="C546" s="351">
        <v>84673.3</v>
      </c>
      <c r="D546" s="4" t="s">
        <v>1540</v>
      </c>
      <c r="E546" s="4" t="s">
        <v>1540</v>
      </c>
      <c r="F546" s="4" t="s">
        <v>1540</v>
      </c>
      <c r="G546" s="5" t="s">
        <v>1541</v>
      </c>
      <c r="H546" s="5" t="str">
        <f>TEXT(Table3[[#This Row],[Value Date]],"mmmm")</f>
        <v>November</v>
      </c>
    </row>
    <row r="547" spans="1:8">
      <c r="A547" s="3">
        <f t="shared" si="9"/>
        <v>1126524.05</v>
      </c>
      <c r="B547" s="364"/>
      <c r="C547" s="351">
        <v>15000</v>
      </c>
      <c r="D547" s="4" t="s">
        <v>1542</v>
      </c>
      <c r="E547" s="4" t="s">
        <v>1542</v>
      </c>
      <c r="F547" s="4" t="s">
        <v>1543</v>
      </c>
      <c r="G547" s="5" t="s">
        <v>617</v>
      </c>
      <c r="H547" s="5" t="str">
        <f>TEXT(Table3[[#This Row],[Value Date]],"mmmm")</f>
        <v>November</v>
      </c>
    </row>
    <row r="548" spans="1:8">
      <c r="A548" s="3">
        <f t="shared" si="9"/>
        <v>1111524.05</v>
      </c>
      <c r="B548" s="364"/>
      <c r="C548" s="351">
        <v>15000</v>
      </c>
      <c r="D548" s="4" t="s">
        <v>1542</v>
      </c>
      <c r="E548" s="4" t="s">
        <v>1542</v>
      </c>
      <c r="F548" s="4" t="s">
        <v>1543</v>
      </c>
      <c r="G548" s="5" t="s">
        <v>617</v>
      </c>
      <c r="H548" s="5" t="str">
        <f>TEXT(Table3[[#This Row],[Value Date]],"mmmm")</f>
        <v>November</v>
      </c>
    </row>
    <row r="549" spans="1:8">
      <c r="A549" s="3">
        <f t="shared" si="9"/>
        <v>1115625.5</v>
      </c>
      <c r="B549" s="364">
        <v>4101.45</v>
      </c>
      <c r="C549" s="364"/>
      <c r="D549" s="4" t="s">
        <v>1542</v>
      </c>
      <c r="E549" s="4" t="s">
        <v>1542</v>
      </c>
      <c r="F549" s="4" t="s">
        <v>1542</v>
      </c>
      <c r="G549" s="5" t="s">
        <v>1544</v>
      </c>
      <c r="H549" s="5" t="str">
        <f>TEXT(Table3[[#This Row],[Value Date]],"mmmm")</f>
        <v>November</v>
      </c>
    </row>
    <row r="550" spans="1:8">
      <c r="A550" s="3">
        <f t="shared" si="9"/>
        <v>1135625.5</v>
      </c>
      <c r="B550" s="364">
        <v>20000</v>
      </c>
      <c r="C550" s="364"/>
      <c r="D550" s="4" t="s">
        <v>1542</v>
      </c>
      <c r="E550" s="4" t="s">
        <v>1542</v>
      </c>
      <c r="F550" s="4" t="s">
        <v>1542</v>
      </c>
      <c r="G550" s="5" t="s">
        <v>1545</v>
      </c>
      <c r="H550" s="5" t="str">
        <f>TEXT(Table3[[#This Row],[Value Date]],"mmmm")</f>
        <v>November</v>
      </c>
    </row>
    <row r="551" spans="1:8">
      <c r="A551" s="3">
        <f t="shared" si="9"/>
        <v>1389307.04</v>
      </c>
      <c r="B551" s="364">
        <v>253681.54</v>
      </c>
      <c r="C551" s="364"/>
      <c r="D551" s="4" t="s">
        <v>1542</v>
      </c>
      <c r="E551" s="4" t="s">
        <v>1542</v>
      </c>
      <c r="F551" s="4" t="s">
        <v>1542</v>
      </c>
      <c r="G551" s="5" t="s">
        <v>1546</v>
      </c>
      <c r="H551" s="5" t="str">
        <f>TEXT(Table3[[#This Row],[Value Date]],"mmmm")</f>
        <v>November</v>
      </c>
    </row>
    <row r="552" spans="1:8">
      <c r="A552" s="3">
        <f t="shared" si="9"/>
        <v>1379307.04</v>
      </c>
      <c r="B552" s="364"/>
      <c r="C552" s="364">
        <v>10000</v>
      </c>
      <c r="D552" s="4" t="s">
        <v>1547</v>
      </c>
      <c r="E552" s="4" t="s">
        <v>1547</v>
      </c>
      <c r="F552" s="4" t="s">
        <v>1547</v>
      </c>
      <c r="G552" s="5" t="s">
        <v>697</v>
      </c>
      <c r="H552" s="5" t="str">
        <f>TEXT(Table3[[#This Row],[Value Date]],"mmmm")</f>
        <v>November</v>
      </c>
    </row>
    <row r="553" spans="1:8">
      <c r="A553" s="3">
        <f t="shared" si="9"/>
        <v>1369307.04</v>
      </c>
      <c r="B553" s="364"/>
      <c r="C553" s="364">
        <v>10000</v>
      </c>
      <c r="D553" s="4" t="s">
        <v>1547</v>
      </c>
      <c r="E553" s="4" t="s">
        <v>1547</v>
      </c>
      <c r="F553" s="4" t="s">
        <v>1547</v>
      </c>
      <c r="G553" s="5" t="s">
        <v>697</v>
      </c>
      <c r="H553" s="5" t="str">
        <f>TEXT(Table3[[#This Row],[Value Date]],"mmmm")</f>
        <v>November</v>
      </c>
    </row>
    <row r="554" spans="1:8">
      <c r="A554" s="3">
        <f t="shared" si="9"/>
        <v>1359307.04</v>
      </c>
      <c r="B554" s="364"/>
      <c r="C554" s="364">
        <v>10000</v>
      </c>
      <c r="D554" s="4" t="s">
        <v>1547</v>
      </c>
      <c r="E554" s="4" t="s">
        <v>1547</v>
      </c>
      <c r="F554" s="4" t="s">
        <v>1547</v>
      </c>
      <c r="G554" s="5" t="s">
        <v>697</v>
      </c>
      <c r="H554" s="5" t="str">
        <f>TEXT(Table3[[#This Row],[Value Date]],"mmmm")</f>
        <v>November</v>
      </c>
    </row>
    <row r="555" spans="1:8">
      <c r="A555" s="3">
        <f t="shared" si="9"/>
        <v>1229604.6400000001</v>
      </c>
      <c r="B555" s="364"/>
      <c r="C555" s="364">
        <v>129702.39999999999</v>
      </c>
      <c r="D555" s="4" t="s">
        <v>1547</v>
      </c>
      <c r="E555" s="4" t="s">
        <v>1547</v>
      </c>
      <c r="F555" s="4" t="s">
        <v>1547</v>
      </c>
      <c r="G555" s="5" t="s">
        <v>1548</v>
      </c>
      <c r="H555" s="5" t="str">
        <f>TEXT(Table3[[#This Row],[Value Date]],"mmmm")</f>
        <v>November</v>
      </c>
    </row>
    <row r="556" spans="1:8">
      <c r="A556" s="3">
        <f t="shared" si="9"/>
        <v>996939.4800000001</v>
      </c>
      <c r="B556" s="364"/>
      <c r="C556" s="364">
        <v>232665.16</v>
      </c>
      <c r="D556" s="4" t="s">
        <v>1547</v>
      </c>
      <c r="E556" s="4" t="s">
        <v>1547</v>
      </c>
      <c r="F556" s="4" t="s">
        <v>1547</v>
      </c>
      <c r="G556" s="5" t="s">
        <v>1549</v>
      </c>
      <c r="H556" s="5" t="str">
        <f>TEXT(Table3[[#This Row],[Value Date]],"mmmm")</f>
        <v>November</v>
      </c>
    </row>
    <row r="557" spans="1:8">
      <c r="A557" s="3">
        <f t="shared" si="9"/>
        <v>1233702.48</v>
      </c>
      <c r="B557" s="364">
        <v>236763</v>
      </c>
      <c r="C557" s="364"/>
      <c r="D557" s="4" t="s">
        <v>1550</v>
      </c>
      <c r="E557" s="4" t="s">
        <v>1550</v>
      </c>
      <c r="F557" s="4" t="s">
        <v>1550</v>
      </c>
      <c r="G557" s="5" t="s">
        <v>1551</v>
      </c>
      <c r="H557" s="5" t="str">
        <f>TEXT(Table3[[#This Row],[Value Date]],"mmmm")</f>
        <v>November</v>
      </c>
    </row>
    <row r="558" spans="1:8">
      <c r="A558" s="3">
        <f t="shared" si="9"/>
        <v>1299747.48</v>
      </c>
      <c r="B558" s="364">
        <v>66045</v>
      </c>
      <c r="C558" s="364"/>
      <c r="D558" s="4" t="s">
        <v>1550</v>
      </c>
      <c r="E558" s="4" t="s">
        <v>1550</v>
      </c>
      <c r="F558" s="4" t="s">
        <v>1550</v>
      </c>
      <c r="G558" s="5" t="s">
        <v>1552</v>
      </c>
      <c r="H558" s="5" t="str">
        <f>TEXT(Table3[[#This Row],[Value Date]],"mmmm")</f>
        <v>November</v>
      </c>
    </row>
    <row r="559" spans="1:8">
      <c r="A559" s="3">
        <f t="shared" si="9"/>
        <v>1289747.48</v>
      </c>
      <c r="B559" s="364"/>
      <c r="C559" s="364">
        <v>10000</v>
      </c>
      <c r="D559" s="4" t="s">
        <v>1555</v>
      </c>
      <c r="E559" s="4" t="s">
        <v>1555</v>
      </c>
      <c r="F559" s="4" t="s">
        <v>1555</v>
      </c>
      <c r="G559" s="5" t="s">
        <v>697</v>
      </c>
      <c r="H559" s="5" t="str">
        <f>TEXT(Table3[[#This Row],[Value Date]],"mmmm")</f>
        <v>November</v>
      </c>
    </row>
    <row r="560" spans="1:8">
      <c r="A560" s="3">
        <f t="shared" si="9"/>
        <v>1279747.48</v>
      </c>
      <c r="B560" s="364"/>
      <c r="C560" s="364">
        <v>10000</v>
      </c>
      <c r="D560" s="4" t="s">
        <v>1555</v>
      </c>
      <c r="E560" s="4" t="s">
        <v>1555</v>
      </c>
      <c r="F560" s="4" t="s">
        <v>1555</v>
      </c>
      <c r="G560" s="5" t="s">
        <v>697</v>
      </c>
      <c r="H560" s="5" t="str">
        <f>TEXT(Table3[[#This Row],[Value Date]],"mmmm")</f>
        <v>November</v>
      </c>
    </row>
    <row r="561" spans="1:11">
      <c r="A561" s="3">
        <f t="shared" si="9"/>
        <v>1269747.48</v>
      </c>
      <c r="B561" s="364"/>
      <c r="C561" s="364">
        <v>10000</v>
      </c>
      <c r="D561" s="4" t="s">
        <v>1555</v>
      </c>
      <c r="E561" s="4" t="s">
        <v>1555</v>
      </c>
      <c r="F561" s="4" t="s">
        <v>1555</v>
      </c>
      <c r="G561" s="5" t="s">
        <v>697</v>
      </c>
      <c r="H561" s="5" t="str">
        <f>TEXT(Table3[[#This Row],[Value Date]],"mmmm")</f>
        <v>November</v>
      </c>
    </row>
    <row r="562" spans="1:11">
      <c r="A562" s="3">
        <f t="shared" si="9"/>
        <v>1324870.08</v>
      </c>
      <c r="B562" s="364">
        <v>55122.6</v>
      </c>
      <c r="C562" s="364"/>
      <c r="D562" s="4" t="s">
        <v>1555</v>
      </c>
      <c r="E562" s="4" t="s">
        <v>1555</v>
      </c>
      <c r="F562" s="4" t="s">
        <v>1555</v>
      </c>
      <c r="G562" s="5" t="s">
        <v>1558</v>
      </c>
      <c r="H562" s="5" t="str">
        <f>TEXT(Table3[[#This Row],[Value Date]],"mmmm")</f>
        <v>November</v>
      </c>
    </row>
    <row r="563" spans="1:11">
      <c r="A563" s="3">
        <f t="shared" si="9"/>
        <v>1400476.6400000001</v>
      </c>
      <c r="B563" s="364">
        <v>75606.559999999998</v>
      </c>
      <c r="C563" s="364"/>
      <c r="D563" s="4" t="s">
        <v>1555</v>
      </c>
      <c r="E563" s="4" t="s">
        <v>1555</v>
      </c>
      <c r="F563" s="4" t="s">
        <v>1555</v>
      </c>
      <c r="G563" s="5" t="s">
        <v>1559</v>
      </c>
      <c r="H563" s="5" t="str">
        <f>TEXT(Table3[[#This Row],[Value Date]],"mmmm")</f>
        <v>November</v>
      </c>
    </row>
    <row r="564" spans="1:11" s="15" customFormat="1">
      <c r="A564" s="3">
        <f t="shared" si="9"/>
        <v>1520582.6900000002</v>
      </c>
      <c r="B564" s="364">
        <v>120106.05</v>
      </c>
      <c r="C564" s="364"/>
      <c r="D564" s="4" t="s">
        <v>1555</v>
      </c>
      <c r="E564" s="4" t="s">
        <v>1555</v>
      </c>
      <c r="F564" s="4" t="s">
        <v>1555</v>
      </c>
      <c r="G564" s="5" t="s">
        <v>1560</v>
      </c>
      <c r="H564" s="5" t="str">
        <f>TEXT(Table3[[#This Row],[Value Date]],"mmmm")</f>
        <v>November</v>
      </c>
      <c r="I564" s="4"/>
      <c r="J564" s="4"/>
      <c r="K564" s="4"/>
    </row>
    <row r="565" spans="1:11">
      <c r="A565" s="3">
        <f t="shared" si="9"/>
        <v>1712904.7600000002</v>
      </c>
      <c r="B565" s="364">
        <v>192322.07</v>
      </c>
      <c r="C565" s="364"/>
      <c r="D565" s="4" t="s">
        <v>1555</v>
      </c>
      <c r="E565" s="4" t="s">
        <v>1555</v>
      </c>
      <c r="F565" s="4" t="s">
        <v>1555</v>
      </c>
      <c r="G565" s="5" t="s">
        <v>1561</v>
      </c>
      <c r="H565" s="5" t="str">
        <f>TEXT(Table3[[#This Row],[Value Date]],"mmmm")</f>
        <v>November</v>
      </c>
    </row>
    <row r="566" spans="1:11">
      <c r="A566" s="3">
        <f t="shared" si="9"/>
        <v>1712754.7600000002</v>
      </c>
      <c r="B566" s="364"/>
      <c r="C566" s="364">
        <v>150</v>
      </c>
      <c r="D566" s="4" t="s">
        <v>1555</v>
      </c>
      <c r="E566" s="4" t="s">
        <v>1555</v>
      </c>
      <c r="F566" s="4" t="s">
        <v>1555</v>
      </c>
      <c r="G566" s="5" t="s">
        <v>1556</v>
      </c>
      <c r="H566" s="5" t="str">
        <f>TEXT(Table3[[#This Row],[Value Date]],"mmmm")</f>
        <v>November</v>
      </c>
    </row>
    <row r="567" spans="1:11">
      <c r="A567" s="3">
        <f t="shared" si="9"/>
        <v>1402754.7600000002</v>
      </c>
      <c r="B567" s="364"/>
      <c r="C567" s="364">
        <v>310000</v>
      </c>
      <c r="D567" s="4" t="s">
        <v>1555</v>
      </c>
      <c r="E567" s="4" t="s">
        <v>1555</v>
      </c>
      <c r="F567" s="4" t="s">
        <v>1555</v>
      </c>
      <c r="G567" s="5" t="s">
        <v>1557</v>
      </c>
      <c r="H567" s="5" t="str">
        <f>TEXT(Table3[[#This Row],[Value Date]],"mmmm")</f>
        <v>November</v>
      </c>
    </row>
    <row r="568" spans="1:11">
      <c r="A568" s="3">
        <f t="shared" si="9"/>
        <v>1387754.7600000002</v>
      </c>
      <c r="B568" s="364"/>
      <c r="C568" s="364">
        <v>15000</v>
      </c>
      <c r="D568" s="4" t="s">
        <v>1584</v>
      </c>
      <c r="E568" s="4" t="s">
        <v>1584</v>
      </c>
      <c r="F568" s="4" t="s">
        <v>1584</v>
      </c>
      <c r="G568" s="5" t="s">
        <v>1527</v>
      </c>
      <c r="H568" s="5" t="str">
        <f>TEXT(Table3[[#This Row],[Value Date]],"mmmm")</f>
        <v>November</v>
      </c>
    </row>
    <row r="569" spans="1:11">
      <c r="A569" s="3">
        <f t="shared" si="9"/>
        <v>1372754.7600000002</v>
      </c>
      <c r="B569" s="364"/>
      <c r="C569" s="364">
        <v>15000</v>
      </c>
      <c r="D569" s="4" t="s">
        <v>1584</v>
      </c>
      <c r="E569" s="4" t="s">
        <v>1584</v>
      </c>
      <c r="F569" s="4" t="s">
        <v>1584</v>
      </c>
      <c r="G569" s="5" t="s">
        <v>1527</v>
      </c>
      <c r="H569" s="5" t="str">
        <f>TEXT(Table3[[#This Row],[Value Date]],"mmmm")</f>
        <v>November</v>
      </c>
    </row>
    <row r="570" spans="1:11">
      <c r="A570" s="3">
        <f t="shared" si="9"/>
        <v>1372704.7600000002</v>
      </c>
      <c r="B570" s="364"/>
      <c r="C570" s="364">
        <v>50</v>
      </c>
      <c r="D570" s="4" t="s">
        <v>1584</v>
      </c>
      <c r="E570" s="4" t="s">
        <v>1584</v>
      </c>
      <c r="F570" s="4" t="s">
        <v>1584</v>
      </c>
      <c r="G570" s="5" t="s">
        <v>1585</v>
      </c>
      <c r="H570" s="5" t="str">
        <f>TEXT(Table3[[#This Row],[Value Date]],"mmmm")</f>
        <v>November</v>
      </c>
    </row>
    <row r="571" spans="1:11">
      <c r="A571" s="3">
        <f t="shared" si="9"/>
        <v>1357704.7600000002</v>
      </c>
      <c r="B571" s="364"/>
      <c r="C571" s="364">
        <v>15000</v>
      </c>
      <c r="D571" s="4" t="s">
        <v>1586</v>
      </c>
      <c r="E571" s="4" t="s">
        <v>1586</v>
      </c>
      <c r="F571" s="4" t="s">
        <v>1587</v>
      </c>
      <c r="G571" s="5" t="s">
        <v>1527</v>
      </c>
      <c r="H571" s="5" t="str">
        <f>TEXT(Table3[[#This Row],[Value Date]],"mmmm")</f>
        <v>November</v>
      </c>
    </row>
    <row r="572" spans="1:11">
      <c r="A572" s="3">
        <f t="shared" si="9"/>
        <v>1342704.7600000002</v>
      </c>
      <c r="B572" s="364"/>
      <c r="C572" s="364">
        <v>15000</v>
      </c>
      <c r="D572" s="4" t="s">
        <v>1586</v>
      </c>
      <c r="E572" s="4" t="s">
        <v>1586</v>
      </c>
      <c r="F572" s="4" t="s">
        <v>1587</v>
      </c>
      <c r="G572" s="5" t="s">
        <v>1527</v>
      </c>
      <c r="H572" s="5" t="str">
        <f>TEXT(Table3[[#This Row],[Value Date]],"mmmm")</f>
        <v>November</v>
      </c>
    </row>
    <row r="573" spans="1:11">
      <c r="A573" s="3">
        <f t="shared" si="9"/>
        <v>1357704.7600000002</v>
      </c>
      <c r="B573" s="364">
        <v>15000</v>
      </c>
      <c r="C573" s="364"/>
      <c r="D573" s="3" t="s">
        <v>1586</v>
      </c>
      <c r="E573" s="3" t="s">
        <v>1586</v>
      </c>
      <c r="F573" s="3" t="s">
        <v>1587</v>
      </c>
      <c r="G573" s="3" t="s">
        <v>1527</v>
      </c>
      <c r="H573" s="3"/>
      <c r="I573" s="3"/>
      <c r="J573" s="3"/>
      <c r="K573" s="3"/>
    </row>
    <row r="574" spans="1:11">
      <c r="A574" s="3">
        <f t="shared" si="9"/>
        <v>1347704.7600000002</v>
      </c>
      <c r="B574" s="364"/>
      <c r="C574" s="364">
        <v>10000</v>
      </c>
      <c r="D574" s="11" t="s">
        <v>1586</v>
      </c>
      <c r="E574" s="11" t="s">
        <v>1586</v>
      </c>
      <c r="F574" s="11" t="s">
        <v>1586</v>
      </c>
      <c r="G574" s="5" t="s">
        <v>697</v>
      </c>
      <c r="H574" s="5" t="str">
        <f>TEXT(Table3[[#This Row],[Value Date]],"mmmm")</f>
        <v>November</v>
      </c>
    </row>
    <row r="575" spans="1:11">
      <c r="A575" s="3">
        <f t="shared" si="9"/>
        <v>1357704.7600000002</v>
      </c>
      <c r="B575" s="364">
        <v>10000</v>
      </c>
      <c r="C575" s="364"/>
      <c r="D575" s="11" t="s">
        <v>1586</v>
      </c>
      <c r="E575" s="11" t="s">
        <v>1586</v>
      </c>
      <c r="F575" s="11" t="s">
        <v>1586</v>
      </c>
      <c r="G575" s="5" t="s">
        <v>697</v>
      </c>
      <c r="H575" s="5" t="str">
        <f>TEXT(Table3[[#This Row],[Value Date]],"mmmm")</f>
        <v>November</v>
      </c>
    </row>
    <row r="576" spans="1:11">
      <c r="A576" s="3">
        <f t="shared" si="9"/>
        <v>1347704.7600000002</v>
      </c>
      <c r="B576" s="364"/>
      <c r="C576" s="364">
        <v>10000</v>
      </c>
      <c r="D576" s="11" t="s">
        <v>1586</v>
      </c>
      <c r="E576" s="11" t="s">
        <v>1586</v>
      </c>
      <c r="F576" s="11" t="s">
        <v>1586</v>
      </c>
      <c r="G576" s="5" t="s">
        <v>790</v>
      </c>
      <c r="H576" s="5" t="str">
        <f>TEXT(Table3[[#This Row],[Value Date]],"mmmm")</f>
        <v>November</v>
      </c>
    </row>
    <row r="577" spans="1:8">
      <c r="A577" s="3">
        <f t="shared" si="9"/>
        <v>1337704.7600000002</v>
      </c>
      <c r="B577" s="364"/>
      <c r="C577" s="364">
        <v>10000</v>
      </c>
      <c r="D577" s="11" t="s">
        <v>1586</v>
      </c>
      <c r="E577" s="11" t="s">
        <v>1586</v>
      </c>
      <c r="F577" s="11" t="s">
        <v>1586</v>
      </c>
      <c r="G577" s="5" t="s">
        <v>790</v>
      </c>
      <c r="H577" s="5" t="str">
        <f>TEXT(Table3[[#This Row],[Value Date]],"mmmm")</f>
        <v>November</v>
      </c>
    </row>
    <row r="578" spans="1:8">
      <c r="A578" s="3">
        <f t="shared" si="9"/>
        <v>1327704.7600000002</v>
      </c>
      <c r="B578" s="364"/>
      <c r="C578" s="364">
        <v>10000</v>
      </c>
      <c r="D578" s="11" t="s">
        <v>1586</v>
      </c>
      <c r="E578" s="11" t="s">
        <v>1586</v>
      </c>
      <c r="F578" s="11" t="s">
        <v>1586</v>
      </c>
      <c r="G578" s="5" t="s">
        <v>790</v>
      </c>
      <c r="H578" s="5" t="str">
        <f>TEXT(Table3[[#This Row],[Value Date]],"mmmm")</f>
        <v>November</v>
      </c>
    </row>
    <row r="579" spans="1:8">
      <c r="A579" s="3">
        <f t="shared" si="9"/>
        <v>1317704.7600000002</v>
      </c>
      <c r="B579" s="364"/>
      <c r="C579" s="364">
        <v>10000</v>
      </c>
      <c r="D579" s="11" t="s">
        <v>1588</v>
      </c>
      <c r="E579" s="11" t="s">
        <v>1588</v>
      </c>
      <c r="F579" s="11" t="s">
        <v>1588</v>
      </c>
      <c r="G579" s="5" t="s">
        <v>697</v>
      </c>
      <c r="H579" s="5" t="str">
        <f>TEXT(Table3[[#This Row],[Value Date]],"mmmm")</f>
        <v>November</v>
      </c>
    </row>
    <row r="580" spans="1:8">
      <c r="A580" s="3">
        <f t="shared" si="9"/>
        <v>1307704.7600000002</v>
      </c>
      <c r="B580" s="364"/>
      <c r="C580" s="364">
        <v>10000</v>
      </c>
      <c r="D580" s="11" t="s">
        <v>1588</v>
      </c>
      <c r="E580" s="11" t="s">
        <v>1588</v>
      </c>
      <c r="F580" s="11" t="s">
        <v>1588</v>
      </c>
      <c r="G580" s="5" t="s">
        <v>697</v>
      </c>
      <c r="H580" s="5" t="str">
        <f>TEXT(Table3[[#This Row],[Value Date]],"mmmm")</f>
        <v>November</v>
      </c>
    </row>
    <row r="581" spans="1:8">
      <c r="A581" s="3">
        <f t="shared" si="9"/>
        <v>1297704.7600000002</v>
      </c>
      <c r="B581" s="364"/>
      <c r="C581" s="364">
        <v>10000</v>
      </c>
      <c r="D581" s="11" t="s">
        <v>1588</v>
      </c>
      <c r="E581" s="11" t="s">
        <v>1588</v>
      </c>
      <c r="F581" s="11" t="s">
        <v>1588</v>
      </c>
      <c r="G581" s="5" t="s">
        <v>697</v>
      </c>
      <c r="H581" s="5" t="str">
        <f>TEXT(Table3[[#This Row],[Value Date]],"mmmm")</f>
        <v>November</v>
      </c>
    </row>
    <row r="582" spans="1:8">
      <c r="A582" s="3">
        <f t="shared" si="9"/>
        <v>1197704.7600000002</v>
      </c>
      <c r="B582" s="364"/>
      <c r="C582" s="364">
        <v>100000</v>
      </c>
      <c r="D582" s="11" t="s">
        <v>1588</v>
      </c>
      <c r="E582" s="11" t="s">
        <v>1588</v>
      </c>
      <c r="F582" s="11" t="s">
        <v>1588</v>
      </c>
      <c r="G582" s="5" t="s">
        <v>1589</v>
      </c>
      <c r="H582" s="5" t="str">
        <f>TEXT(Table3[[#This Row],[Value Date]],"mmmm")</f>
        <v>November</v>
      </c>
    </row>
    <row r="583" spans="1:8">
      <c r="A583" s="3">
        <f t="shared" si="9"/>
        <v>1187704.7600000002</v>
      </c>
      <c r="B583" s="364"/>
      <c r="C583" s="364">
        <v>10000</v>
      </c>
      <c r="D583" s="11" t="s">
        <v>1590</v>
      </c>
      <c r="E583" s="11" t="s">
        <v>1590</v>
      </c>
      <c r="F583" s="11" t="s">
        <v>1590</v>
      </c>
      <c r="G583" s="5" t="s">
        <v>697</v>
      </c>
      <c r="H583" s="5" t="str">
        <f>TEXT(Table3[[#This Row],[Value Date]],"mmmm")</f>
        <v>November</v>
      </c>
    </row>
    <row r="584" spans="1:8">
      <c r="A584" s="3">
        <f t="shared" si="9"/>
        <v>937704.76000000024</v>
      </c>
      <c r="B584" s="364"/>
      <c r="C584" s="364">
        <v>250000</v>
      </c>
      <c r="D584" s="11" t="s">
        <v>1591</v>
      </c>
      <c r="E584" s="11" t="s">
        <v>1591</v>
      </c>
      <c r="F584" s="11" t="s">
        <v>1591</v>
      </c>
      <c r="G584" s="5" t="s">
        <v>738</v>
      </c>
      <c r="H584" s="5" t="str">
        <f>TEXT(Table3[[#This Row],[Value Date]],"mmmm")</f>
        <v>November</v>
      </c>
    </row>
    <row r="585" spans="1:8">
      <c r="A585" s="3">
        <f t="shared" si="9"/>
        <v>927704.76000000024</v>
      </c>
      <c r="B585" s="364"/>
      <c r="C585" s="364">
        <v>10000</v>
      </c>
      <c r="D585" s="11" t="s">
        <v>1591</v>
      </c>
      <c r="E585" s="11" t="s">
        <v>1591</v>
      </c>
      <c r="F585" s="11" t="s">
        <v>1591</v>
      </c>
      <c r="G585" s="5" t="s">
        <v>790</v>
      </c>
      <c r="H585" s="5" t="str">
        <f>TEXT(Table3[[#This Row],[Value Date]],"mmmm")</f>
        <v>November</v>
      </c>
    </row>
    <row r="586" spans="1:8">
      <c r="A586" s="3">
        <f t="shared" si="9"/>
        <v>917704.76000000024</v>
      </c>
      <c r="B586" s="364"/>
      <c r="C586" s="364">
        <v>10000</v>
      </c>
      <c r="D586" s="11" t="s">
        <v>1591</v>
      </c>
      <c r="E586" s="11" t="s">
        <v>1591</v>
      </c>
      <c r="F586" s="11" t="s">
        <v>1591</v>
      </c>
      <c r="G586" s="5" t="s">
        <v>790</v>
      </c>
      <c r="H586" s="5" t="str">
        <f>TEXT(Table3[[#This Row],[Value Date]],"mmmm")</f>
        <v>November</v>
      </c>
    </row>
    <row r="587" spans="1:8">
      <c r="A587" s="3">
        <f t="shared" si="9"/>
        <v>907704.76000000024</v>
      </c>
      <c r="B587" s="364"/>
      <c r="C587" s="364">
        <v>10000</v>
      </c>
      <c r="D587" s="11" t="s">
        <v>1591</v>
      </c>
      <c r="E587" s="11" t="s">
        <v>1591</v>
      </c>
      <c r="F587" s="11" t="s">
        <v>1591</v>
      </c>
      <c r="G587" s="5" t="s">
        <v>790</v>
      </c>
      <c r="H587" s="5" t="str">
        <f>TEXT(Table3[[#This Row],[Value Date]],"mmmm")</f>
        <v>November</v>
      </c>
    </row>
    <row r="588" spans="1:8">
      <c r="A588" s="3">
        <f t="shared" si="9"/>
        <v>1043363.0300000003</v>
      </c>
      <c r="B588" s="364">
        <v>135658.26999999999</v>
      </c>
      <c r="C588" s="364"/>
      <c r="D588" s="11" t="s">
        <v>1591</v>
      </c>
      <c r="E588" s="11" t="s">
        <v>1591</v>
      </c>
      <c r="F588" s="11" t="s">
        <v>1591</v>
      </c>
      <c r="G588" s="5" t="s">
        <v>1592</v>
      </c>
      <c r="H588" s="5" t="str">
        <f>TEXT(Table3[[#This Row],[Value Date]],"mmmm")</f>
        <v>November</v>
      </c>
    </row>
    <row r="589" spans="1:8">
      <c r="A589" s="3">
        <f t="shared" si="9"/>
        <v>833613.03000000026</v>
      </c>
      <c r="B589" s="364"/>
      <c r="C589" s="364">
        <v>209750</v>
      </c>
      <c r="D589" s="11" t="s">
        <v>1591</v>
      </c>
      <c r="E589" s="11" t="s">
        <v>1591</v>
      </c>
      <c r="F589" s="11">
        <v>45988</v>
      </c>
      <c r="G589" s="5" t="s">
        <v>1593</v>
      </c>
      <c r="H589" s="5" t="str">
        <f>TEXT(Table3[[#This Row],[Value Date]],"mmmm")</f>
        <v>November</v>
      </c>
    </row>
    <row r="590" spans="1:8">
      <c r="A590" s="3">
        <f t="shared" si="9"/>
        <v>798613.03000000026</v>
      </c>
      <c r="B590" s="364"/>
      <c r="C590" s="364">
        <v>35000</v>
      </c>
      <c r="D590" s="11" t="s">
        <v>1591</v>
      </c>
      <c r="E590" s="11" t="s">
        <v>1591</v>
      </c>
      <c r="F590" s="11" t="s">
        <v>1591</v>
      </c>
      <c r="G590" s="5" t="s">
        <v>1594</v>
      </c>
      <c r="H590" s="5" t="str">
        <f>TEXT(Table3[[#This Row],[Value Date]],"mmmm")</f>
        <v>November</v>
      </c>
    </row>
    <row r="591" spans="1:8">
      <c r="A591" s="3">
        <f t="shared" si="9"/>
        <v>763613.03000000026</v>
      </c>
      <c r="B591" s="364"/>
      <c r="C591" s="364">
        <v>35000</v>
      </c>
      <c r="D591" s="11" t="s">
        <v>1591</v>
      </c>
      <c r="E591" s="11" t="s">
        <v>1591</v>
      </c>
      <c r="F591" s="11" t="s">
        <v>1591</v>
      </c>
      <c r="G591" s="5" t="s">
        <v>1595</v>
      </c>
      <c r="H591" s="5" t="str">
        <f>TEXT(Table3[[#This Row],[Value Date]],"mmmm")</f>
        <v>November</v>
      </c>
    </row>
    <row r="592" spans="1:8">
      <c r="A592" s="3">
        <f t="shared" si="9"/>
        <v>728613.03000000026</v>
      </c>
      <c r="B592" s="364"/>
      <c r="C592" s="364">
        <v>35000</v>
      </c>
      <c r="D592" s="11" t="s">
        <v>1591</v>
      </c>
      <c r="E592" s="11" t="s">
        <v>1591</v>
      </c>
      <c r="F592" s="11" t="s">
        <v>1591</v>
      </c>
      <c r="G592" s="5" t="s">
        <v>1596</v>
      </c>
      <c r="H592" s="5" t="str">
        <f>TEXT(Table3[[#This Row],[Value Date]],"mmmm")</f>
        <v>November</v>
      </c>
    </row>
    <row r="593" spans="1:8">
      <c r="A593" s="3">
        <f t="shared" si="9"/>
        <v>693613.03000000026</v>
      </c>
      <c r="B593" s="364"/>
      <c r="C593" s="364">
        <v>35000</v>
      </c>
      <c r="D593" s="11" t="s">
        <v>1591</v>
      </c>
      <c r="E593" s="11" t="s">
        <v>1591</v>
      </c>
      <c r="F593" s="11" t="s">
        <v>1591</v>
      </c>
      <c r="G593" s="5" t="s">
        <v>1597</v>
      </c>
      <c r="H593" s="5" t="str">
        <f>TEXT(Table3[[#This Row],[Value Date]],"mmmm")</f>
        <v>November</v>
      </c>
    </row>
    <row r="594" spans="1:8">
      <c r="A594" s="3">
        <f t="shared" si="9"/>
        <v>678613.03000000026</v>
      </c>
      <c r="B594" s="364"/>
      <c r="C594" s="364">
        <v>15000</v>
      </c>
      <c r="D594" s="11" t="s">
        <v>1602</v>
      </c>
      <c r="E594" s="11" t="s">
        <v>1602</v>
      </c>
      <c r="F594" s="11" t="s">
        <v>1603</v>
      </c>
      <c r="G594" s="5" t="s">
        <v>617</v>
      </c>
      <c r="H594" s="5" t="str">
        <f>TEXT(Table3[[#This Row],[Value Date]],"mmmm")</f>
        <v>November</v>
      </c>
    </row>
    <row r="595" spans="1:8">
      <c r="A595" s="3">
        <f t="shared" si="9"/>
        <v>608513.03000000026</v>
      </c>
      <c r="B595" s="364"/>
      <c r="C595" s="364">
        <v>70100</v>
      </c>
      <c r="D595" s="11" t="s">
        <v>1602</v>
      </c>
      <c r="E595" s="11" t="s">
        <v>1602</v>
      </c>
      <c r="F595" s="11" t="s">
        <v>1602</v>
      </c>
      <c r="G595" s="5" t="s">
        <v>1604</v>
      </c>
      <c r="H595" s="5" t="str">
        <f>TEXT(Table3[[#This Row],[Value Date]],"mmmm")</f>
        <v>November</v>
      </c>
    </row>
    <row r="596" spans="1:8">
      <c r="A596" s="3">
        <f t="shared" si="9"/>
        <v>477748.03000000026</v>
      </c>
      <c r="B596" s="364"/>
      <c r="C596" s="364">
        <v>130765</v>
      </c>
      <c r="D596" s="11" t="s">
        <v>1602</v>
      </c>
      <c r="E596" s="11" t="s">
        <v>1602</v>
      </c>
      <c r="F596" s="11" t="s">
        <v>1602</v>
      </c>
      <c r="G596" s="5" t="s">
        <v>1605</v>
      </c>
      <c r="H596" s="5" t="str">
        <f>TEXT(Table3[[#This Row],[Value Date]],"mmmm")</f>
        <v>November</v>
      </c>
    </row>
    <row r="597" spans="1:8">
      <c r="A597" s="3">
        <f t="shared" si="9"/>
        <v>477548.03000000026</v>
      </c>
      <c r="B597" s="364"/>
      <c r="C597" s="364">
        <v>200</v>
      </c>
      <c r="D597" s="11" t="s">
        <v>1602</v>
      </c>
      <c r="E597" s="11" t="s">
        <v>1602</v>
      </c>
      <c r="F597" s="11" t="s">
        <v>1602</v>
      </c>
      <c r="G597" s="5" t="s">
        <v>1606</v>
      </c>
      <c r="H597" s="5" t="str">
        <f>TEXT(Table3[[#This Row],[Value Date]],"mmmm")</f>
        <v>November</v>
      </c>
    </row>
    <row r="598" spans="1:8">
      <c r="A598" s="3">
        <f t="shared" si="9"/>
        <v>397548.03000000026</v>
      </c>
      <c r="B598" s="364"/>
      <c r="C598" s="364">
        <v>80000</v>
      </c>
      <c r="D598" s="11" t="s">
        <v>1602</v>
      </c>
      <c r="E598" s="11" t="s">
        <v>1602</v>
      </c>
      <c r="F598" s="11" t="s">
        <v>1602</v>
      </c>
      <c r="G598" s="5" t="s">
        <v>1607</v>
      </c>
      <c r="H598" s="5" t="str">
        <f>TEXT(Table3[[#This Row],[Value Date]],"mmmm")</f>
        <v>November</v>
      </c>
    </row>
    <row r="599" spans="1:8">
      <c r="A599" s="3">
        <f t="shared" si="9"/>
        <v>347548.03000000026</v>
      </c>
      <c r="B599" s="364"/>
      <c r="C599" s="364">
        <v>50000</v>
      </c>
      <c r="D599" s="11" t="s">
        <v>1602</v>
      </c>
      <c r="E599" s="11" t="s">
        <v>1602</v>
      </c>
      <c r="F599" s="11" t="s">
        <v>1602</v>
      </c>
      <c r="G599" s="5" t="s">
        <v>1608</v>
      </c>
      <c r="H599" s="5" t="str">
        <f>TEXT(Table3[[#This Row],[Value Date]],"mmmm")</f>
        <v>November</v>
      </c>
    </row>
    <row r="600" spans="1:8">
      <c r="A600" s="3">
        <f t="shared" si="9"/>
        <v>297548.03000000026</v>
      </c>
      <c r="B600" s="364"/>
      <c r="C600" s="364">
        <v>50000</v>
      </c>
      <c r="D600" s="11" t="s">
        <v>1602</v>
      </c>
      <c r="E600" s="11" t="s">
        <v>1602</v>
      </c>
      <c r="F600" s="11" t="s">
        <v>1602</v>
      </c>
      <c r="G600" s="5" t="s">
        <v>1609</v>
      </c>
      <c r="H600" s="5" t="str">
        <f>TEXT(Table3[[#This Row],[Value Date]],"mmmm")</f>
        <v>November</v>
      </c>
    </row>
    <row r="601" spans="1:8">
      <c r="A601" s="3">
        <f t="shared" si="9"/>
        <v>79412.010000000271</v>
      </c>
      <c r="B601" s="364"/>
      <c r="C601" s="364">
        <v>218136.02</v>
      </c>
      <c r="D601" s="11" t="s">
        <v>1602</v>
      </c>
      <c r="E601" s="11" t="s">
        <v>1602</v>
      </c>
      <c r="F601" s="11" t="s">
        <v>1602</v>
      </c>
      <c r="G601" s="5" t="s">
        <v>1610</v>
      </c>
      <c r="H601" s="5" t="str">
        <f>TEXT(Table3[[#This Row],[Value Date]],"mmmm")</f>
        <v>November</v>
      </c>
    </row>
    <row r="602" spans="1:8">
      <c r="A602" s="3">
        <f t="shared" si="9"/>
        <v>69412.010000000271</v>
      </c>
      <c r="B602" s="364"/>
      <c r="C602" s="364">
        <v>10000</v>
      </c>
      <c r="D602" s="11" t="s">
        <v>1602</v>
      </c>
      <c r="E602" s="11" t="s">
        <v>1602</v>
      </c>
      <c r="F602" s="11" t="s">
        <v>1602</v>
      </c>
      <c r="G602" s="5" t="s">
        <v>617</v>
      </c>
      <c r="H602" s="5" t="str">
        <f>TEXT(Table3[[#This Row],[Value Date]],"mmmm")</f>
        <v>November</v>
      </c>
    </row>
    <row r="603" spans="1:8">
      <c r="A603" s="3">
        <f t="shared" si="9"/>
        <v>319162.01000000024</v>
      </c>
      <c r="B603" s="364">
        <v>249750</v>
      </c>
      <c r="C603" s="364"/>
      <c r="D603" s="11" t="s">
        <v>1602</v>
      </c>
      <c r="E603" s="11" t="s">
        <v>1602</v>
      </c>
      <c r="F603" s="11" t="s">
        <v>1602</v>
      </c>
      <c r="G603" s="5" t="s">
        <v>1621</v>
      </c>
      <c r="H603" s="5" t="str">
        <f>TEXT(Table3[[#This Row],[Value Date]],"mmmm")</f>
        <v>November</v>
      </c>
    </row>
    <row r="604" spans="1:8">
      <c r="A604" s="3">
        <f t="shared" si="9"/>
        <v>380223.26000000024</v>
      </c>
      <c r="B604" s="364">
        <v>61061.25</v>
      </c>
      <c r="C604" s="364"/>
      <c r="D604" s="11" t="s">
        <v>1622</v>
      </c>
      <c r="E604" s="11" t="s">
        <v>1622</v>
      </c>
      <c r="F604" s="11" t="s">
        <v>1622</v>
      </c>
      <c r="G604" s="5" t="s">
        <v>1623</v>
      </c>
      <c r="H604" s="5" t="str">
        <f>TEXT(Table3[[#This Row],[Value Date]],"mmmm")</f>
        <v>December</v>
      </c>
    </row>
    <row r="605" spans="1:8">
      <c r="A605" s="3">
        <f t="shared" si="9"/>
        <v>380221.26000000024</v>
      </c>
      <c r="B605" s="364"/>
      <c r="C605" s="364">
        <v>2</v>
      </c>
      <c r="D605" s="11" t="s">
        <v>1622</v>
      </c>
      <c r="E605" s="11" t="s">
        <v>1622</v>
      </c>
      <c r="F605" s="11" t="s">
        <v>1622</v>
      </c>
      <c r="G605" s="5" t="s">
        <v>1526</v>
      </c>
      <c r="H605" s="5" t="str">
        <f>TEXT(Table3[[#This Row],[Value Date]],"mmmm")</f>
        <v>December</v>
      </c>
    </row>
    <row r="606" spans="1:8">
      <c r="A606" s="3">
        <f t="shared" si="9"/>
        <v>380219.26000000024</v>
      </c>
      <c r="B606" s="364"/>
      <c r="C606" s="364">
        <v>2</v>
      </c>
      <c r="D606" s="11" t="s">
        <v>1622</v>
      </c>
      <c r="E606" s="11" t="s">
        <v>1622</v>
      </c>
      <c r="F606" s="11" t="s">
        <v>1622</v>
      </c>
      <c r="G606" s="5" t="s">
        <v>1526</v>
      </c>
      <c r="H606" s="5" t="str">
        <f>TEXT(Table3[[#This Row],[Value Date]],"mmmm")</f>
        <v>December</v>
      </c>
    </row>
    <row r="607" spans="1:8">
      <c r="A607" s="3">
        <f t="shared" si="9"/>
        <v>370219.26000000024</v>
      </c>
      <c r="B607" s="364"/>
      <c r="C607" s="364">
        <v>10000</v>
      </c>
      <c r="D607" s="11" t="s">
        <v>1624</v>
      </c>
      <c r="E607" s="11" t="s">
        <v>1624</v>
      </c>
      <c r="F607" s="11" t="s">
        <v>1624</v>
      </c>
      <c r="G607" s="5" t="s">
        <v>697</v>
      </c>
      <c r="H607" s="5" t="str">
        <f>TEXT(Table3[[#This Row],[Value Date]],"mmmm")</f>
        <v>December</v>
      </c>
    </row>
    <row r="608" spans="1:8">
      <c r="A608" s="3">
        <f t="shared" si="9"/>
        <v>380219.26000000024</v>
      </c>
      <c r="B608" s="364">
        <v>10000</v>
      </c>
      <c r="C608" s="364"/>
      <c r="D608" s="11" t="s">
        <v>1624</v>
      </c>
      <c r="E608" s="11" t="s">
        <v>1624</v>
      </c>
      <c r="F608" s="11" t="s">
        <v>1624</v>
      </c>
      <c r="G608" s="5" t="s">
        <v>697</v>
      </c>
      <c r="H608" s="5" t="str">
        <f>TEXT(Table3[[#This Row],[Value Date]],"mmmm")</f>
        <v>December</v>
      </c>
    </row>
    <row r="609" spans="1:8">
      <c r="A609" s="3">
        <f t="shared" si="9"/>
        <v>370219.26000000024</v>
      </c>
      <c r="B609" s="364"/>
      <c r="C609" s="364">
        <v>10000</v>
      </c>
      <c r="D609" s="11" t="s">
        <v>1624</v>
      </c>
      <c r="E609" s="11" t="s">
        <v>1624</v>
      </c>
      <c r="F609" s="11" t="s">
        <v>1624</v>
      </c>
      <c r="G609" s="5" t="s">
        <v>790</v>
      </c>
      <c r="H609" s="5" t="str">
        <f>TEXT(Table3[[#This Row],[Value Date]],"mmmm")</f>
        <v>December</v>
      </c>
    </row>
    <row r="610" spans="1:8">
      <c r="A610" s="3">
        <f t="shared" si="9"/>
        <v>369219.26000000024</v>
      </c>
      <c r="B610" s="364"/>
      <c r="C610" s="364">
        <v>1000</v>
      </c>
      <c r="D610" s="11" t="s">
        <v>1624</v>
      </c>
      <c r="E610" s="11" t="s">
        <v>1624</v>
      </c>
      <c r="F610" s="11" t="s">
        <v>1624</v>
      </c>
      <c r="G610" s="5" t="s">
        <v>697</v>
      </c>
      <c r="H610" s="5" t="str">
        <f>TEXT(Table3[[#This Row],[Value Date]],"mmmm")</f>
        <v>December</v>
      </c>
    </row>
    <row r="611" spans="1:8">
      <c r="A611" s="3">
        <f t="shared" si="9"/>
        <v>359219.26000000024</v>
      </c>
      <c r="B611" s="364"/>
      <c r="C611" s="364">
        <v>10000</v>
      </c>
      <c r="D611" s="11" t="s">
        <v>1624</v>
      </c>
      <c r="E611" s="11" t="s">
        <v>1624</v>
      </c>
      <c r="F611" s="11" t="s">
        <v>1624</v>
      </c>
      <c r="G611" s="5" t="s">
        <v>697</v>
      </c>
      <c r="H611" s="5" t="str">
        <f>TEXT(Table3[[#This Row],[Value Date]],"mmmm")</f>
        <v>December</v>
      </c>
    </row>
    <row r="612" spans="1:8">
      <c r="A612" s="3">
        <f t="shared" si="9"/>
        <v>350219.26000000024</v>
      </c>
      <c r="B612" s="364"/>
      <c r="C612" s="364">
        <v>9000</v>
      </c>
      <c r="D612" s="11" t="s">
        <v>1624</v>
      </c>
      <c r="E612" s="11" t="s">
        <v>1624</v>
      </c>
      <c r="F612" s="11" t="s">
        <v>1624</v>
      </c>
      <c r="G612" s="5" t="s">
        <v>697</v>
      </c>
      <c r="H612" s="5" t="str">
        <f>TEXT(Table3[[#This Row],[Value Date]],"mmmm")</f>
        <v>December</v>
      </c>
    </row>
    <row r="613" spans="1:8">
      <c r="A613" s="3">
        <f t="shared" si="9"/>
        <v>330169.26000000024</v>
      </c>
      <c r="B613" s="364"/>
      <c r="C613" s="364">
        <v>20050</v>
      </c>
      <c r="D613" s="11" t="s">
        <v>1624</v>
      </c>
      <c r="E613" s="11" t="s">
        <v>1624</v>
      </c>
      <c r="F613" s="11" t="s">
        <v>1624</v>
      </c>
      <c r="G613" s="5" t="s">
        <v>1625</v>
      </c>
      <c r="H613" s="5" t="str">
        <f>TEXT(Table3[[#This Row],[Value Date]],"mmmm")</f>
        <v>December</v>
      </c>
    </row>
    <row r="614" spans="1:8">
      <c r="A614" s="3">
        <f t="shared" si="9"/>
        <v>430341.78000000026</v>
      </c>
      <c r="B614" s="364">
        <v>100172.52</v>
      </c>
      <c r="C614" s="364"/>
      <c r="D614" s="11" t="s">
        <v>1624</v>
      </c>
      <c r="E614" s="11" t="s">
        <v>1624</v>
      </c>
      <c r="F614" s="11" t="s">
        <v>1624</v>
      </c>
      <c r="G614" s="5" t="s">
        <v>1627</v>
      </c>
      <c r="H614" s="5" t="str">
        <f>TEXT(Table3[[#This Row],[Value Date]],"mmmm")</f>
        <v>December</v>
      </c>
    </row>
    <row r="615" spans="1:8">
      <c r="A615" s="3">
        <f t="shared" si="9"/>
        <v>415341.78000000026</v>
      </c>
      <c r="B615" s="364"/>
      <c r="C615" s="364">
        <v>15000</v>
      </c>
      <c r="D615" s="11" t="s">
        <v>1628</v>
      </c>
      <c r="E615" s="11" t="s">
        <v>1628</v>
      </c>
      <c r="F615" s="11" t="s">
        <v>1629</v>
      </c>
      <c r="G615" s="5" t="s">
        <v>1527</v>
      </c>
      <c r="H615" s="5" t="str">
        <f>TEXT(Table3[[#This Row],[Value Date]],"mmmm")</f>
        <v>December</v>
      </c>
    </row>
    <row r="616" spans="1:8">
      <c r="A616" s="3">
        <f t="shared" si="9"/>
        <v>430341.78000000026</v>
      </c>
      <c r="B616" s="364">
        <v>15000</v>
      </c>
      <c r="C616" s="364"/>
      <c r="D616" s="11" t="s">
        <v>1628</v>
      </c>
      <c r="E616" s="11" t="s">
        <v>1628</v>
      </c>
      <c r="F616" s="11" t="s">
        <v>1629</v>
      </c>
      <c r="G616" s="5" t="s">
        <v>1527</v>
      </c>
      <c r="H616" s="5" t="str">
        <f>TEXT(Table3[[#This Row],[Value Date]],"mmmm")</f>
        <v>December</v>
      </c>
    </row>
    <row r="617" spans="1:8">
      <c r="A617" s="3">
        <f t="shared" si="9"/>
        <v>400341.78000000026</v>
      </c>
      <c r="B617" s="364"/>
      <c r="C617" s="364">
        <v>30000</v>
      </c>
      <c r="D617" s="11" t="s">
        <v>1628</v>
      </c>
      <c r="E617" s="11" t="s">
        <v>1628</v>
      </c>
      <c r="F617" s="11" t="s">
        <v>1629</v>
      </c>
      <c r="G617" s="5" t="s">
        <v>315</v>
      </c>
      <c r="H617" s="5" t="str">
        <f>TEXT(Table3[[#This Row],[Value Date]],"mmmm")</f>
        <v>December</v>
      </c>
    </row>
    <row r="618" spans="1:8">
      <c r="A618" s="3">
        <f t="shared" si="9"/>
        <v>430341.78000000026</v>
      </c>
      <c r="B618" s="364">
        <v>30000</v>
      </c>
      <c r="C618" s="364"/>
      <c r="D618" s="11" t="s">
        <v>1628</v>
      </c>
      <c r="E618" s="11" t="s">
        <v>1628</v>
      </c>
      <c r="F618" s="11" t="s">
        <v>1629</v>
      </c>
      <c r="G618" s="5" t="s">
        <v>315</v>
      </c>
      <c r="H618" s="5" t="str">
        <f>TEXT(Table3[[#This Row],[Value Date]],"mmmm")</f>
        <v>December</v>
      </c>
    </row>
    <row r="619" spans="1:8">
      <c r="A619" s="3">
        <f t="shared" si="9"/>
        <v>420341.78000000026</v>
      </c>
      <c r="B619" s="364"/>
      <c r="C619" s="364">
        <v>10000</v>
      </c>
      <c r="D619" s="11" t="s">
        <v>1628</v>
      </c>
      <c r="E619" s="11" t="s">
        <v>1628</v>
      </c>
      <c r="F619" s="11" t="s">
        <v>1629</v>
      </c>
      <c r="G619" s="5" t="s">
        <v>315</v>
      </c>
      <c r="H619" s="5" t="str">
        <f>TEXT(Table3[[#This Row],[Value Date]],"mmmm")</f>
        <v>December</v>
      </c>
    </row>
    <row r="620" spans="1:8">
      <c r="A620" s="3">
        <f t="shared" si="9"/>
        <v>405341.78000000026</v>
      </c>
      <c r="B620" s="364"/>
      <c r="C620" s="364">
        <v>15000</v>
      </c>
      <c r="D620" s="11" t="s">
        <v>1628</v>
      </c>
      <c r="E620" s="11" t="s">
        <v>1628</v>
      </c>
      <c r="F620" s="11" t="s">
        <v>1629</v>
      </c>
      <c r="G620" s="5" t="s">
        <v>315</v>
      </c>
      <c r="H620" s="5" t="str">
        <f>TEXT(Table3[[#This Row],[Value Date]],"mmmm")</f>
        <v>December</v>
      </c>
    </row>
    <row r="621" spans="1:8">
      <c r="A621" s="3">
        <f t="shared" si="9"/>
        <v>400341.78000000026</v>
      </c>
      <c r="B621" s="364"/>
      <c r="C621" s="364">
        <v>5000</v>
      </c>
      <c r="D621" s="11" t="s">
        <v>1628</v>
      </c>
      <c r="E621" s="11" t="s">
        <v>1628</v>
      </c>
      <c r="F621" s="11" t="s">
        <v>1629</v>
      </c>
      <c r="G621" s="5" t="s">
        <v>315</v>
      </c>
      <c r="H621" s="5" t="str">
        <f>TEXT(Table3[[#This Row],[Value Date]],"mmmm")</f>
        <v>December</v>
      </c>
    </row>
    <row r="622" spans="1:8">
      <c r="A622" s="3">
        <f t="shared" si="9"/>
        <v>330291.78000000026</v>
      </c>
      <c r="B622" s="364"/>
      <c r="C622" s="364">
        <v>70050</v>
      </c>
      <c r="D622" s="11" t="s">
        <v>1628</v>
      </c>
      <c r="E622" s="11" t="s">
        <v>1628</v>
      </c>
      <c r="F622" s="11" t="s">
        <v>1628</v>
      </c>
      <c r="G622" s="5" t="s">
        <v>1630</v>
      </c>
      <c r="H622" s="5" t="str">
        <f>TEXT(Table3[[#This Row],[Value Date]],"mmmm")</f>
        <v>December</v>
      </c>
    </row>
    <row r="623" spans="1:8">
      <c r="A623" s="3">
        <f t="shared" si="9"/>
        <v>512331.78000000026</v>
      </c>
      <c r="B623" s="364">
        <v>182040</v>
      </c>
      <c r="C623" s="364"/>
      <c r="D623" s="11" t="s">
        <v>1628</v>
      </c>
      <c r="E623" s="11" t="s">
        <v>1628</v>
      </c>
      <c r="F623" s="11" t="s">
        <v>1628</v>
      </c>
      <c r="G623" s="5" t="s">
        <v>1649</v>
      </c>
      <c r="H623" s="5" t="str">
        <f>TEXT(Table3[[#This Row],[Value Date]],"mmmm")</f>
        <v>December</v>
      </c>
    </row>
    <row r="624" spans="1:8">
      <c r="A624" s="3">
        <f t="shared" si="9"/>
        <v>482331.78000000026</v>
      </c>
      <c r="B624" s="364"/>
      <c r="C624" s="364">
        <v>30000</v>
      </c>
      <c r="D624" s="11" t="s">
        <v>1628</v>
      </c>
      <c r="E624" s="11" t="s">
        <v>1628</v>
      </c>
      <c r="F624" s="11" t="s">
        <v>1628</v>
      </c>
      <c r="G624" s="5" t="s">
        <v>1650</v>
      </c>
      <c r="H624" s="5" t="str">
        <f>TEXT(Table3[[#This Row],[Value Date]],"mmmm")</f>
        <v>December</v>
      </c>
    </row>
    <row r="625" spans="1:8">
      <c r="A625" s="3">
        <f t="shared" si="9"/>
        <v>512331.78000000026</v>
      </c>
      <c r="B625" s="364">
        <v>30000</v>
      </c>
      <c r="C625" s="364"/>
      <c r="D625" s="11" t="s">
        <v>1628</v>
      </c>
      <c r="E625" s="11" t="s">
        <v>1628</v>
      </c>
      <c r="F625" s="11" t="s">
        <v>1628</v>
      </c>
      <c r="G625" s="5" t="s">
        <v>1650</v>
      </c>
      <c r="H625" s="5" t="str">
        <f>TEXT(Table3[[#This Row],[Value Date]],"mmmm")</f>
        <v>December</v>
      </c>
    </row>
    <row r="626" spans="1:8">
      <c r="A626" s="3">
        <f t="shared" si="9"/>
        <v>502331.78000000026</v>
      </c>
      <c r="B626" s="364"/>
      <c r="C626" s="364">
        <v>10000</v>
      </c>
      <c r="D626" s="11" t="s">
        <v>1628</v>
      </c>
      <c r="E626" s="11" t="s">
        <v>1628</v>
      </c>
      <c r="F626" s="11" t="s">
        <v>1628</v>
      </c>
      <c r="G626" s="5" t="s">
        <v>1650</v>
      </c>
      <c r="H626" s="5" t="str">
        <f>TEXT(Table3[[#This Row],[Value Date]],"mmmm")</f>
        <v>December</v>
      </c>
    </row>
    <row r="627" spans="1:8">
      <c r="A627" s="3">
        <f t="shared" si="9"/>
        <v>492331.78000000026</v>
      </c>
      <c r="B627" s="364"/>
      <c r="C627" s="364">
        <v>10000</v>
      </c>
      <c r="D627" s="11" t="s">
        <v>1628</v>
      </c>
      <c r="E627" s="11" t="s">
        <v>1628</v>
      </c>
      <c r="F627" s="11" t="s">
        <v>1628</v>
      </c>
      <c r="G627" s="5" t="s">
        <v>1650</v>
      </c>
      <c r="H627" s="5" t="str">
        <f>TEXT(Table3[[#This Row],[Value Date]],"mmmm")</f>
        <v>December</v>
      </c>
    </row>
    <row r="628" spans="1:8">
      <c r="A628" s="3">
        <f t="shared" si="9"/>
        <v>482331.78000000026</v>
      </c>
      <c r="B628" s="364"/>
      <c r="C628" s="364">
        <v>10000</v>
      </c>
      <c r="D628" s="11" t="s">
        <v>1628</v>
      </c>
      <c r="E628" s="11" t="s">
        <v>1628</v>
      </c>
      <c r="F628" s="11" t="s">
        <v>1628</v>
      </c>
      <c r="G628" s="5" t="s">
        <v>1650</v>
      </c>
      <c r="H628" s="5" t="str">
        <f>TEXT(Table3[[#This Row],[Value Date]],"mmmm")</f>
        <v>December</v>
      </c>
    </row>
    <row r="629" spans="1:8">
      <c r="A629" s="3">
        <f t="shared" si="9"/>
        <v>442311.78000000026</v>
      </c>
      <c r="B629" s="364"/>
      <c r="C629" s="364">
        <v>40020</v>
      </c>
      <c r="D629" s="11" t="s">
        <v>1651</v>
      </c>
      <c r="E629" s="11" t="s">
        <v>1651</v>
      </c>
      <c r="F629" s="11" t="s">
        <v>1651</v>
      </c>
      <c r="G629" s="5" t="s">
        <v>1652</v>
      </c>
      <c r="H629" s="5" t="str">
        <f>TEXT(Table3[[#This Row],[Value Date]],"mmmm")</f>
        <v>December</v>
      </c>
    </row>
    <row r="630" spans="1:8">
      <c r="A630" s="3">
        <f t="shared" si="9"/>
        <v>412311.78000000026</v>
      </c>
      <c r="B630" s="364"/>
      <c r="C630" s="364">
        <v>30000</v>
      </c>
      <c r="D630" s="11" t="s">
        <v>1651</v>
      </c>
      <c r="E630" s="11" t="s">
        <v>1651</v>
      </c>
      <c r="F630" s="11" t="s">
        <v>1651</v>
      </c>
      <c r="G630" s="5" t="s">
        <v>1653</v>
      </c>
      <c r="H630" s="5" t="str">
        <f>TEXT(Table3[[#This Row],[Value Date]],"mmmm")</f>
        <v>December</v>
      </c>
    </row>
    <row r="631" spans="1:8">
      <c r="A631" s="3">
        <f t="shared" si="9"/>
        <v>410611.78000000026</v>
      </c>
      <c r="B631" s="364"/>
      <c r="C631" s="364">
        <v>1700</v>
      </c>
      <c r="D631" s="11" t="s">
        <v>1651</v>
      </c>
      <c r="E631" s="11" t="s">
        <v>1651</v>
      </c>
      <c r="F631" s="11" t="s">
        <v>1651</v>
      </c>
      <c r="G631" s="5" t="s">
        <v>1654</v>
      </c>
      <c r="H631" s="5" t="str">
        <f>TEXT(Table3[[#This Row],[Value Date]],"mmmm")</f>
        <v>December</v>
      </c>
    </row>
    <row r="632" spans="1:8">
      <c r="A632" s="3">
        <f t="shared" si="9"/>
        <v>410551.78000000026</v>
      </c>
      <c r="B632" s="364"/>
      <c r="C632" s="364">
        <v>60</v>
      </c>
      <c r="D632" s="11" t="s">
        <v>1651</v>
      </c>
      <c r="E632" s="11" t="s">
        <v>1651</v>
      </c>
      <c r="F632" s="11" t="s">
        <v>1651</v>
      </c>
      <c r="G632" s="5" t="s">
        <v>1655</v>
      </c>
      <c r="H632" s="5" t="str">
        <f>TEXT(Table3[[#This Row],[Value Date]],"mmmm")</f>
        <v>December</v>
      </c>
    </row>
    <row r="633" spans="1:8">
      <c r="A633" s="3">
        <f t="shared" si="9"/>
        <v>373051.78000000026</v>
      </c>
      <c r="B633" s="364"/>
      <c r="C633" s="364">
        <v>37500</v>
      </c>
      <c r="D633" s="11" t="s">
        <v>1651</v>
      </c>
      <c r="E633" s="11" t="s">
        <v>1651</v>
      </c>
      <c r="F633" s="11" t="s">
        <v>1651</v>
      </c>
      <c r="G633" s="5" t="s">
        <v>1656</v>
      </c>
      <c r="H633" s="5" t="str">
        <f>TEXT(Table3[[#This Row],[Value Date]],"mmmm")</f>
        <v>December</v>
      </c>
    </row>
    <row r="634" spans="1:8">
      <c r="A634" s="3">
        <f t="shared" si="9"/>
        <v>285751.78000000026</v>
      </c>
      <c r="B634" s="364"/>
      <c r="C634" s="364">
        <v>87300</v>
      </c>
      <c r="D634" s="11" t="s">
        <v>1651</v>
      </c>
      <c r="E634" s="11" t="s">
        <v>1651</v>
      </c>
      <c r="F634" s="11" t="s">
        <v>1651</v>
      </c>
      <c r="G634" s="5" t="s">
        <v>1657</v>
      </c>
      <c r="H634" s="5" t="str">
        <f>TEXT(Table3[[#This Row],[Value Date]],"mmmm")</f>
        <v>December</v>
      </c>
    </row>
    <row r="635" spans="1:8">
      <c r="A635" s="3">
        <f t="shared" si="9"/>
        <v>285601.78000000026</v>
      </c>
      <c r="B635" s="364"/>
      <c r="C635" s="364">
        <v>150</v>
      </c>
      <c r="D635" s="11" t="s">
        <v>1651</v>
      </c>
      <c r="E635" s="11" t="s">
        <v>1651</v>
      </c>
      <c r="F635" s="11" t="s">
        <v>1651</v>
      </c>
      <c r="G635" s="5" t="s">
        <v>1658</v>
      </c>
      <c r="H635" s="5" t="str">
        <f>TEXT(Table3[[#This Row],[Value Date]],"mmmm")</f>
        <v>December</v>
      </c>
    </row>
    <row r="636" spans="1:8">
      <c r="A636" s="3">
        <f t="shared" si="9"/>
        <v>275601.78000000026</v>
      </c>
      <c r="B636" s="364"/>
      <c r="C636" s="217">
        <v>10000</v>
      </c>
      <c r="D636" s="11" t="s">
        <v>1664</v>
      </c>
      <c r="E636" s="11" t="s">
        <v>1664</v>
      </c>
      <c r="F636" s="11" t="s">
        <v>1664</v>
      </c>
      <c r="G636" s="5" t="s">
        <v>697</v>
      </c>
      <c r="H636" s="5" t="str">
        <f>TEXT(Table3[[#This Row],[Value Date]],"mmmm")</f>
        <v>December</v>
      </c>
    </row>
    <row r="637" spans="1:8">
      <c r="A637" s="3">
        <f t="shared" si="9"/>
        <v>265601.78000000026</v>
      </c>
      <c r="B637" s="364"/>
      <c r="C637" s="217">
        <v>10000</v>
      </c>
      <c r="D637" s="11" t="s">
        <v>1664</v>
      </c>
      <c r="E637" s="11" t="s">
        <v>1664</v>
      </c>
      <c r="F637" s="11" t="s">
        <v>1664</v>
      </c>
      <c r="G637" s="5" t="s">
        <v>697</v>
      </c>
      <c r="H637" s="5" t="str">
        <f>TEXT(Table3[[#This Row],[Value Date]],"mmmm")</f>
        <v>December</v>
      </c>
    </row>
    <row r="638" spans="1:8">
      <c r="A638" s="3">
        <f t="shared" si="9"/>
        <v>255601.78000000026</v>
      </c>
      <c r="B638" s="364"/>
      <c r="C638" s="217">
        <v>10000</v>
      </c>
      <c r="D638" s="11" t="s">
        <v>1664</v>
      </c>
      <c r="E638" s="11" t="s">
        <v>1664</v>
      </c>
      <c r="F638" s="11" t="s">
        <v>1664</v>
      </c>
      <c r="G638" s="5" t="s">
        <v>697</v>
      </c>
      <c r="H638" s="5" t="str">
        <f>TEXT(Table3[[#This Row],[Value Date]],"mmmm")</f>
        <v>December</v>
      </c>
    </row>
    <row r="639" spans="1:8">
      <c r="A639" s="3">
        <f t="shared" si="9"/>
        <v>255401.78000000026</v>
      </c>
      <c r="B639" s="364"/>
      <c r="C639" s="216">
        <v>200</v>
      </c>
      <c r="D639" s="11" t="s">
        <v>1664</v>
      </c>
      <c r="E639" s="11" t="s">
        <v>1664</v>
      </c>
      <c r="F639" s="11" t="s">
        <v>1664</v>
      </c>
      <c r="G639" s="5" t="s">
        <v>1665</v>
      </c>
      <c r="H639" s="5" t="str">
        <f>TEXT(Table3[[#This Row],[Value Date]],"mmmm")</f>
        <v>December</v>
      </c>
    </row>
    <row r="640" spans="1:8">
      <c r="A640" s="3">
        <f t="shared" si="9"/>
        <v>337412.53000000026</v>
      </c>
      <c r="B640" s="217">
        <v>82010.75</v>
      </c>
      <c r="C640" s="364"/>
      <c r="D640" s="11" t="s">
        <v>1664</v>
      </c>
      <c r="E640" s="11" t="s">
        <v>1664</v>
      </c>
      <c r="F640" s="11" t="s">
        <v>1664</v>
      </c>
      <c r="G640" s="5" t="s">
        <v>1530</v>
      </c>
      <c r="H640" s="5" t="str">
        <f>TEXT(Table3[[#This Row],[Value Date]],"mmmm")</f>
        <v>December</v>
      </c>
    </row>
    <row r="641" spans="1:8">
      <c r="A641" s="3">
        <f t="shared" si="9"/>
        <v>290342.53000000026</v>
      </c>
      <c r="B641" s="364"/>
      <c r="C641" s="217">
        <v>47070</v>
      </c>
      <c r="D641" s="11"/>
      <c r="E641" s="11"/>
      <c r="F641" s="11"/>
      <c r="H641" s="5" t="str">
        <f>TEXT(Table3[[#This Row],[Value Date]],"mmmm")</f>
        <v>January</v>
      </c>
    </row>
    <row r="642" spans="1:8">
      <c r="A642" s="3">
        <f t="shared" si="9"/>
        <v>290342.53000000026</v>
      </c>
      <c r="B642" s="364"/>
      <c r="C642" s="364"/>
      <c r="D642" s="11"/>
      <c r="E642" s="11"/>
      <c r="F642" s="11"/>
      <c r="H642" s="5" t="str">
        <f>TEXT(Table3[[#This Row],[Value Date]],"mmmm")</f>
        <v>January</v>
      </c>
    </row>
    <row r="643" spans="1:8">
      <c r="A643" s="3">
        <f t="shared" si="9"/>
        <v>290342.53000000026</v>
      </c>
      <c r="B643" s="364"/>
      <c r="C643" s="364"/>
      <c r="D643" s="11"/>
      <c r="E643" s="11"/>
      <c r="F643" s="11"/>
      <c r="H643" s="5" t="str">
        <f>TEXT(Table3[[#This Row],[Value Date]],"mmmm")</f>
        <v>January</v>
      </c>
    </row>
    <row r="644" spans="1:8">
      <c r="A644" s="3">
        <f t="shared" si="9"/>
        <v>290342.53000000026</v>
      </c>
      <c r="B644" s="364"/>
      <c r="C644" s="364"/>
      <c r="D644" s="11"/>
      <c r="E644" s="11"/>
      <c r="F644" s="11"/>
      <c r="H644" s="5" t="str">
        <f>TEXT(Table3[[#This Row],[Value Date]],"mmmm")</f>
        <v>January</v>
      </c>
    </row>
    <row r="645" spans="1:8">
      <c r="A645" s="3">
        <f t="shared" si="9"/>
        <v>290342.53000000026</v>
      </c>
      <c r="B645" s="364"/>
      <c r="C645" s="364"/>
      <c r="D645" s="11"/>
      <c r="E645" s="11"/>
      <c r="F645" s="11"/>
      <c r="H645" s="5" t="str">
        <f>TEXT(Table3[[#This Row],[Value Date]],"mmmm")</f>
        <v>January</v>
      </c>
    </row>
    <row r="646" spans="1:8">
      <c r="A646" s="3">
        <f t="shared" si="9"/>
        <v>290342.53000000026</v>
      </c>
      <c r="B646" s="364"/>
      <c r="C646" s="364"/>
      <c r="D646" s="11"/>
      <c r="E646" s="11"/>
      <c r="F646" s="11"/>
      <c r="H646" s="5" t="str">
        <f>TEXT(Table3[[#This Row],[Value Date]],"mmmm")</f>
        <v>January</v>
      </c>
    </row>
    <row r="647" spans="1:8">
      <c r="A647" s="3">
        <f t="shared" si="9"/>
        <v>290342.53000000026</v>
      </c>
      <c r="B647" s="364"/>
      <c r="C647" s="364"/>
      <c r="D647" s="11"/>
      <c r="E647" s="11"/>
      <c r="F647" s="11"/>
      <c r="H647" s="5" t="str">
        <f>TEXT(Table3[[#This Row],[Value Date]],"mmmm")</f>
        <v>January</v>
      </c>
    </row>
    <row r="648" spans="1:8">
      <c r="A648" s="3">
        <f t="shared" si="9"/>
        <v>290342.53000000026</v>
      </c>
      <c r="B648" s="364"/>
      <c r="C648" s="364"/>
      <c r="D648" s="11"/>
      <c r="E648" s="11"/>
      <c r="F648" s="11"/>
      <c r="H648" s="5" t="str">
        <f>TEXT(Table3[[#This Row],[Value Date]],"mmmm")</f>
        <v>January</v>
      </c>
    </row>
    <row r="649" spans="1:8">
      <c r="A649" s="3">
        <f t="shared" si="9"/>
        <v>290342.53000000026</v>
      </c>
      <c r="B649" s="364"/>
      <c r="C649" s="364"/>
      <c r="D649" s="11"/>
      <c r="E649" s="11"/>
      <c r="F649" s="11"/>
      <c r="H649" s="5" t="str">
        <f>TEXT(Table3[[#This Row],[Value Date]],"mmmm")</f>
        <v>January</v>
      </c>
    </row>
    <row r="650" spans="1:8">
      <c r="A650" s="3">
        <f t="shared" si="9"/>
        <v>290342.53000000026</v>
      </c>
      <c r="B650" s="364"/>
      <c r="C650" s="364"/>
      <c r="D650" s="11"/>
      <c r="E650" s="11"/>
      <c r="F650" s="11"/>
      <c r="H650" s="5" t="str">
        <f>TEXT(Table3[[#This Row],[Value Date]],"mmmm")</f>
        <v>January</v>
      </c>
    </row>
    <row r="651" spans="1:8">
      <c r="A651" s="3">
        <f t="shared" si="9"/>
        <v>290342.53000000026</v>
      </c>
      <c r="B651" s="364"/>
      <c r="C651" s="364"/>
      <c r="D651" s="11"/>
      <c r="E651" s="11"/>
      <c r="F651" s="11"/>
      <c r="H651" s="5" t="str">
        <f>TEXT(Table3[[#This Row],[Value Date]],"mmmm")</f>
        <v>January</v>
      </c>
    </row>
    <row r="652" spans="1:8">
      <c r="A652" s="3">
        <f t="shared" si="9"/>
        <v>290342.53000000026</v>
      </c>
      <c r="B652" s="364"/>
      <c r="C652" s="364"/>
      <c r="D652" s="11"/>
      <c r="E652" s="11"/>
      <c r="F652" s="11"/>
      <c r="H652" s="5" t="str">
        <f>TEXT(Table3[[#This Row],[Value Date]],"mmmm")</f>
        <v>January</v>
      </c>
    </row>
    <row r="653" spans="1:8">
      <c r="A653" s="3">
        <f t="shared" si="9"/>
        <v>290342.53000000026</v>
      </c>
      <c r="B653" s="364"/>
      <c r="C653" s="364"/>
      <c r="D653" s="11"/>
      <c r="E653" s="11"/>
      <c r="F653" s="11"/>
      <c r="H653" s="5" t="str">
        <f>TEXT(Table3[[#This Row],[Value Date]],"mmmm")</f>
        <v>January</v>
      </c>
    </row>
    <row r="654" spans="1:8">
      <c r="A654" s="3">
        <f t="shared" si="9"/>
        <v>290342.53000000026</v>
      </c>
      <c r="B654" s="364"/>
      <c r="C654" s="364"/>
      <c r="D654" s="11"/>
      <c r="E654" s="11"/>
      <c r="F654" s="11"/>
      <c r="H654" s="5" t="str">
        <f>TEXT(Table3[[#This Row],[Value Date]],"mmmm")</f>
        <v>January</v>
      </c>
    </row>
    <row r="655" spans="1:8">
      <c r="A655" s="3">
        <f t="shared" si="9"/>
        <v>290342.53000000026</v>
      </c>
      <c r="B655" s="364"/>
      <c r="C655" s="364"/>
      <c r="D655" s="11"/>
      <c r="E655" s="11"/>
      <c r="F655" s="11"/>
      <c r="H655" s="5" t="str">
        <f>TEXT(Table3[[#This Row],[Value Date]],"mmmm")</f>
        <v>January</v>
      </c>
    </row>
    <row r="656" spans="1:8">
      <c r="A656" s="3">
        <f t="shared" si="9"/>
        <v>290342.53000000026</v>
      </c>
      <c r="B656" s="364"/>
      <c r="C656" s="364"/>
      <c r="D656" s="11"/>
      <c r="E656" s="11"/>
      <c r="F656" s="11"/>
      <c r="H656" s="5" t="str">
        <f>TEXT(Table3[[#This Row],[Value Date]],"mmmm")</f>
        <v>January</v>
      </c>
    </row>
    <row r="657" spans="1:11">
      <c r="A657" s="3">
        <f t="shared" si="9"/>
        <v>290342.53000000026</v>
      </c>
      <c r="B657" s="364"/>
      <c r="C657" s="364"/>
      <c r="D657" s="11"/>
      <c r="E657" s="11"/>
      <c r="F657" s="11"/>
      <c r="H657" s="5" t="str">
        <f>TEXT(Table3[[#This Row],[Value Date]],"mmmm")</f>
        <v>January</v>
      </c>
    </row>
    <row r="658" spans="1:11">
      <c r="A658" s="3">
        <f t="shared" si="9"/>
        <v>290342.53000000026</v>
      </c>
      <c r="B658" s="364"/>
      <c r="C658" s="364"/>
      <c r="D658" s="11"/>
      <c r="E658" s="11"/>
      <c r="F658" s="11"/>
      <c r="H658" s="5" t="str">
        <f>TEXT(Table3[[#This Row],[Value Date]],"mmmm")</f>
        <v>January</v>
      </c>
    </row>
    <row r="659" spans="1:11">
      <c r="A659" s="3">
        <f t="shared" si="9"/>
        <v>290342.53000000026</v>
      </c>
      <c r="B659" s="364"/>
      <c r="C659" s="364"/>
      <c r="D659" s="11"/>
      <c r="E659" s="11"/>
      <c r="F659" s="11"/>
      <c r="H659" s="5" t="str">
        <f>TEXT(Table3[[#This Row],[Value Date]],"mmmm")</f>
        <v>January</v>
      </c>
    </row>
    <row r="660" spans="1:11">
      <c r="A660" s="3">
        <f t="shared" si="9"/>
        <v>290342.53000000026</v>
      </c>
      <c r="B660" s="364"/>
      <c r="C660" s="364"/>
      <c r="D660" s="11"/>
      <c r="E660" s="11"/>
      <c r="F660" s="11"/>
      <c r="H660" s="5" t="str">
        <f>TEXT(Table3[[#This Row],[Value Date]],"mmmm")</f>
        <v>January</v>
      </c>
    </row>
    <row r="661" spans="1:11">
      <c r="A661" s="3">
        <f t="shared" si="9"/>
        <v>290342.53000000026</v>
      </c>
      <c r="B661" s="364"/>
      <c r="C661" s="364"/>
      <c r="D661" s="11"/>
      <c r="E661" s="11"/>
      <c r="F661" s="11"/>
      <c r="H661" s="5" t="str">
        <f>TEXT(Table3[[#This Row],[Value Date]],"mmmm")</f>
        <v>January</v>
      </c>
    </row>
    <row r="662" spans="1:11">
      <c r="A662" s="3">
        <f t="shared" si="9"/>
        <v>290342.53000000026</v>
      </c>
      <c r="B662" s="364"/>
      <c r="C662" s="364"/>
      <c r="H662" s="5" t="str">
        <f>TEXT(Table3[[#This Row],[Value Date]],"mmmm")</f>
        <v>January</v>
      </c>
    </row>
    <row r="663" spans="1:11">
      <c r="A663" s="3">
        <f t="shared" si="9"/>
        <v>290342.53000000026</v>
      </c>
      <c r="B663" s="364"/>
      <c r="C663" s="364"/>
      <c r="H663" s="5" t="str">
        <f>TEXT(Table3[[#This Row],[Value Date]],"mmmm")</f>
        <v>January</v>
      </c>
    </row>
    <row r="664" spans="1:11">
      <c r="A664" s="3">
        <f t="shared" si="9"/>
        <v>290342.53000000026</v>
      </c>
      <c r="B664" s="364"/>
      <c r="C664" s="364"/>
      <c r="H664" s="5" t="str">
        <f>TEXT(Table3[[#This Row],[Value Date]],"mmmm")</f>
        <v>January</v>
      </c>
    </row>
    <row r="665" spans="1:11">
      <c r="A665" s="3">
        <f t="shared" si="9"/>
        <v>290342.53000000026</v>
      </c>
      <c r="B665" s="367"/>
      <c r="C665" s="367"/>
      <c r="D665" s="13"/>
      <c r="E665" s="13"/>
      <c r="F665" s="13"/>
      <c r="G665" s="14" t="s">
        <v>33</v>
      </c>
      <c r="H665" s="14" t="str">
        <f>TEXT(Table3[[#This Row],[Value Date]],"mmmm")</f>
        <v>January</v>
      </c>
      <c r="I665" s="13"/>
      <c r="J665" s="13"/>
      <c r="K665" s="15"/>
    </row>
    <row r="666" spans="1:11">
      <c r="A666" s="287"/>
      <c r="B666" s="368"/>
      <c r="C666" s="368"/>
    </row>
  </sheetData>
  <phoneticPr fontId="14" type="noConversion"/>
  <pageMargins left="0.7" right="0.7" top="0.75" bottom="0.75" header="0.3" footer="0.3"/>
  <pageSetup paperSize="9" scale="23"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20EEA-9F92-4480-9FAD-5BE16E13A987}">
  <sheetPr codeName="Sheet2">
    <pageSetUpPr fitToPage="1"/>
  </sheetPr>
  <dimension ref="A1:O107"/>
  <sheetViews>
    <sheetView rightToLeft="1" topLeftCell="B1" workbookViewId="0">
      <selection activeCell="A67" sqref="A67:XFD142"/>
    </sheetView>
  </sheetViews>
  <sheetFormatPr defaultRowHeight="15"/>
  <cols>
    <col min="1" max="1" width="11.5703125" style="120" bestFit="1" customWidth="1"/>
    <col min="2" max="2" width="10.7109375" style="120" bestFit="1" customWidth="1"/>
    <col min="3" max="3" width="11.28515625" style="120" bestFit="1" customWidth="1"/>
    <col min="4" max="4" width="33.140625" style="120" customWidth="1"/>
    <col min="5" max="5" width="18.7109375" style="120" bestFit="1" customWidth="1"/>
    <col min="6" max="6" width="22.140625" style="120" hidden="1" customWidth="1"/>
    <col min="7" max="7" width="14" style="120" bestFit="1" customWidth="1"/>
    <col min="8" max="8" width="16" style="122" bestFit="1" customWidth="1"/>
    <col min="9" max="9" width="36.140625" style="120" bestFit="1" customWidth="1"/>
    <col min="10" max="10" width="26.140625" style="120" bestFit="1" customWidth="1"/>
    <col min="11" max="11" width="14" style="120" bestFit="1" customWidth="1"/>
    <col min="12" max="12" width="11.28515625" style="120" bestFit="1" customWidth="1"/>
    <col min="13" max="13" width="32.7109375" style="120" bestFit="1" customWidth="1"/>
    <col min="14" max="14" width="7" style="120" bestFit="1" customWidth="1"/>
    <col min="15" max="15" width="7.28515625" style="120" customWidth="1"/>
    <col min="16" max="16384" width="9.140625" style="120"/>
  </cols>
  <sheetData>
    <row r="1" spans="1:15" ht="21.75" thickBot="1">
      <c r="E1" s="348">
        <f>SUM(Table4[[السلفه ]])</f>
        <v>26600</v>
      </c>
      <c r="G1" s="29" t="s">
        <v>11</v>
      </c>
      <c r="H1" s="25">
        <f>SUBTOTAL(9,Table4[[السلفه ]])</f>
        <v>26600</v>
      </c>
      <c r="J1" s="238"/>
      <c r="K1" s="238"/>
      <c r="O1" s="120" t="s">
        <v>145</v>
      </c>
    </row>
    <row r="2" spans="1:15">
      <c r="A2" s="16" t="s">
        <v>0</v>
      </c>
      <c r="B2" s="17" t="s">
        <v>1</v>
      </c>
      <c r="C2" s="17" t="s">
        <v>35</v>
      </c>
      <c r="D2" s="17" t="s">
        <v>36</v>
      </c>
      <c r="E2" s="17" t="s">
        <v>8</v>
      </c>
      <c r="F2" s="17" t="s">
        <v>6</v>
      </c>
      <c r="G2" s="24" t="s">
        <v>40</v>
      </c>
      <c r="H2" s="26" t="s">
        <v>37</v>
      </c>
      <c r="I2" s="17" t="s">
        <v>41</v>
      </c>
      <c r="J2" s="20" t="s">
        <v>12</v>
      </c>
      <c r="K2" s="20" t="s">
        <v>31</v>
      </c>
      <c r="O2" s="120" t="s">
        <v>146</v>
      </c>
    </row>
    <row r="3" spans="1:15">
      <c r="A3" s="18">
        <v>45403</v>
      </c>
      <c r="B3" s="19" t="str">
        <f>TEXT(Table4[[#This Row],[التاريخ ]],"mmm")</f>
        <v>Apr</v>
      </c>
      <c r="C3" s="232">
        <v>281</v>
      </c>
      <c r="D3" s="232" t="str">
        <f>VLOOKUP(C:C,'[11]قاعدة بيانات  '!K:L,2,0)</f>
        <v>احمد عاطف محمد محمود</v>
      </c>
      <c r="E3" s="232" t="str">
        <f>VLOOKUP(C:C,'[11]قاعدة بيانات  '!K:P,4,0)</f>
        <v xml:space="preserve">وكيل تحصيل </v>
      </c>
      <c r="F3" s="232" t="str">
        <f>VLOOKUP(C:C,'[11]قاعدة بيانات  '!K:Q,5,0)</f>
        <v>سهولة</v>
      </c>
      <c r="G3" s="232" t="s">
        <v>145</v>
      </c>
      <c r="H3" s="233">
        <v>150</v>
      </c>
      <c r="I3" s="19" t="s">
        <v>1328</v>
      </c>
      <c r="J3" s="120">
        <v>35055</v>
      </c>
      <c r="K3" s="85"/>
      <c r="O3" s="362">
        <v>3000</v>
      </c>
    </row>
    <row r="4" spans="1:15">
      <c r="A4" s="21">
        <v>45400</v>
      </c>
      <c r="B4" s="19" t="str">
        <f>TEXT(Table4[[#This Row],[التاريخ ]],"mmm")</f>
        <v>Apr</v>
      </c>
      <c r="C4" s="232">
        <v>266</v>
      </c>
      <c r="D4" s="232" t="str">
        <f>VLOOKUP(C:C,'[11]قاعدة بيانات  '!K:L,2,0)</f>
        <v>عبد الرحمن خالد عبد الفتاح محمد الرياش</v>
      </c>
      <c r="E4" s="232" t="str">
        <f>VLOOKUP(C:C,'[11]قاعدة بيانات  '!K:P,4,0)</f>
        <v xml:space="preserve">وكيل تحصيل </v>
      </c>
      <c r="F4" s="232" t="str">
        <f>VLOOKUP(C:C,'[11]قاعدة بيانات  '!K:Q,5,0)</f>
        <v>فاليو</v>
      </c>
      <c r="G4" s="232" t="s">
        <v>145</v>
      </c>
      <c r="H4" s="233">
        <v>150</v>
      </c>
      <c r="I4" s="19" t="s">
        <v>1328</v>
      </c>
      <c r="J4" s="238">
        <f>+J3-J1</f>
        <v>35055</v>
      </c>
      <c r="K4" s="85"/>
      <c r="O4" s="362">
        <v>1500</v>
      </c>
    </row>
    <row r="5" spans="1:15">
      <c r="A5" s="21">
        <v>45501</v>
      </c>
      <c r="B5" s="19" t="str">
        <f>TEXT(Table4[[#This Row],[التاريخ ]],"mmm")</f>
        <v>Jul</v>
      </c>
      <c r="C5" s="232">
        <v>339</v>
      </c>
      <c r="D5" s="232" t="str">
        <f>VLOOKUP(C:C,'[11]قاعدة بيانات  '!K:L,2,0)</f>
        <v>كريم مجدى ربيع</v>
      </c>
      <c r="E5" s="232" t="str">
        <f>VLOOKUP(C:C,'[11]قاعدة بيانات  '!K:P,4,0)</f>
        <v>كبير مشرفى تحصيل</v>
      </c>
      <c r="F5" s="232" t="str">
        <f>VLOOKUP(C:C,'[11]قاعدة بيانات  '!K:Q,5,0)</f>
        <v>كريدى اجريكول</v>
      </c>
      <c r="G5" s="232" t="s">
        <v>145</v>
      </c>
      <c r="H5" s="233">
        <v>2000</v>
      </c>
      <c r="I5" s="19" t="s">
        <v>1328</v>
      </c>
      <c r="K5" s="85"/>
      <c r="O5" s="362">
        <v>500</v>
      </c>
    </row>
    <row r="6" spans="1:15">
      <c r="A6" s="18">
        <v>45738</v>
      </c>
      <c r="B6" s="19" t="str">
        <f>TEXT(Table4[[#This Row],[التاريخ ]],"mmm")</f>
        <v>Mar</v>
      </c>
      <c r="C6" s="232">
        <v>574</v>
      </c>
      <c r="D6" s="232" t="str">
        <f>VLOOKUP(C:C,'[11]قاعدة بيانات  '!K:L,2,0)</f>
        <v>عادل الادهم امين احمد</v>
      </c>
      <c r="E6" s="232" t="str">
        <f>VLOOKUP(C:C,'[11]قاعدة بيانات  '!K:P,4,0)</f>
        <v>بنك كريدى اجريكول</v>
      </c>
      <c r="F6" s="232" t="str">
        <f>VLOOKUP(C:C,'[11]قاعدة بيانات  '!K:Q,5,0)</f>
        <v>مشرف تحصيل</v>
      </c>
      <c r="G6" s="232" t="s">
        <v>145</v>
      </c>
      <c r="H6" s="233">
        <v>1000</v>
      </c>
      <c r="I6" s="19" t="s">
        <v>1328</v>
      </c>
      <c r="K6" s="85"/>
      <c r="O6" s="362">
        <v>1500</v>
      </c>
    </row>
    <row r="7" spans="1:15">
      <c r="A7" s="18">
        <v>45792</v>
      </c>
      <c r="B7" s="19" t="str">
        <f>TEXT(Table4[[#This Row],[التاريخ ]],"mmm")</f>
        <v>May</v>
      </c>
      <c r="C7" s="232">
        <v>340</v>
      </c>
      <c r="D7" s="232" t="str">
        <f>VLOOKUP(C:C,'[11]قاعدة بيانات  '!K:L,2,0)</f>
        <v>اميرة شعراوى ابراهيم  حامد على</v>
      </c>
      <c r="E7" s="19" t="str">
        <f>VLOOKUP(C:C,'[11]قاعدة بيانات  '!K:P,4,0)</f>
        <v>كبير مشرفى تحصيل</v>
      </c>
      <c r="F7" s="232" t="str">
        <f>VLOOKUP(C:C,'[11]قاعدة بيانات  '!K:Q,5,0)</f>
        <v>شركة فاليو</v>
      </c>
      <c r="G7" s="232" t="s">
        <v>145</v>
      </c>
      <c r="H7" s="233">
        <v>0</v>
      </c>
      <c r="I7" s="19"/>
      <c r="K7" s="85">
        <v>1500</v>
      </c>
    </row>
    <row r="8" spans="1:15">
      <c r="A8" s="18">
        <v>45831</v>
      </c>
      <c r="B8" s="19" t="str">
        <f>TEXT(Table4[[#This Row],[التاريخ ]],"mmm")</f>
        <v>Jun</v>
      </c>
      <c r="C8" s="232">
        <v>515</v>
      </c>
      <c r="D8" s="232" t="str">
        <f>VLOOKUP(C:C,'[11]قاعدة بيانات  '!K:L,2,0)</f>
        <v>محمد عبدالمنعم عبدالحليم إبراهيم</v>
      </c>
      <c r="E8" s="19" t="str">
        <f>VLOOKUP(C:C,'[11]قاعدة بيانات  '!K:P,4,0)</f>
        <v>خدمات معاونة</v>
      </c>
      <c r="F8" s="232" t="str">
        <f>VLOOKUP(C:C,'[11]قاعدة بيانات  '!K:Q,5,0)</f>
        <v>الخدمات المعاونة</v>
      </c>
      <c r="G8" s="232" t="s">
        <v>145</v>
      </c>
      <c r="H8" s="233">
        <v>0</v>
      </c>
      <c r="I8" s="19" t="s">
        <v>1267</v>
      </c>
      <c r="K8" s="85">
        <v>1000</v>
      </c>
    </row>
    <row r="9" spans="1:15">
      <c r="A9" s="18">
        <v>45853</v>
      </c>
      <c r="B9" s="19" t="str">
        <f>TEXT(Table4[[#This Row],[التاريخ ]],"mmm")</f>
        <v>Jul</v>
      </c>
      <c r="C9" s="232">
        <v>701</v>
      </c>
      <c r="D9" s="232" t="s">
        <v>1164</v>
      </c>
      <c r="E9" s="19" t="s">
        <v>222</v>
      </c>
      <c r="F9" s="232" t="e">
        <f>VLOOKUP(C:C,'[11]قاعدة بيانات  '!K:Q,5,0)</f>
        <v>#N/A</v>
      </c>
      <c r="G9" s="232" t="s">
        <v>145</v>
      </c>
      <c r="H9" s="233">
        <v>1000</v>
      </c>
      <c r="I9" s="19" t="s">
        <v>1133</v>
      </c>
      <c r="K9" s="85">
        <v>1000</v>
      </c>
      <c r="O9" s="362">
        <v>1000</v>
      </c>
    </row>
    <row r="10" spans="1:15">
      <c r="A10" s="18">
        <v>45920</v>
      </c>
      <c r="B10" s="19" t="str">
        <f>TEXT(Table4[[#This Row],[التاريخ ]],"mmm")</f>
        <v>Sep</v>
      </c>
      <c r="C10" s="232">
        <v>515</v>
      </c>
      <c r="D10" s="232" t="str">
        <f>VLOOKUP(Table4[[#This Row],[الكود]],'قاعدة بيانات  '!$K$3:$L$290,2,0)</f>
        <v>محمد عبدالمنعم عبدالحليم إبراهيم</v>
      </c>
      <c r="E10" s="19" t="str">
        <f>VLOOKUP(Table4[[#This Row],[الكود]],'قاعدة بيانات  '!$K$3:$N$290,4,0)</f>
        <v>خدمات معاونة</v>
      </c>
      <c r="F10" s="232" t="str">
        <f>VLOOKUP(C:C,'[11]قاعدة بيانات  '!K:Q,5,0)</f>
        <v>الخدمات المعاونة</v>
      </c>
      <c r="G10" s="232" t="s">
        <v>145</v>
      </c>
      <c r="H10" s="233">
        <v>0</v>
      </c>
      <c r="I10" s="19" t="s">
        <v>1346</v>
      </c>
      <c r="K10" s="85">
        <v>500</v>
      </c>
      <c r="O10" s="362">
        <v>1000</v>
      </c>
    </row>
    <row r="11" spans="1:15">
      <c r="A11" s="18">
        <v>45921</v>
      </c>
      <c r="B11" s="19" t="str">
        <f>TEXT(Table4[[#This Row],[التاريخ ]],"mmm")</f>
        <v>Sep</v>
      </c>
      <c r="C11" s="232">
        <v>284</v>
      </c>
      <c r="D11" s="232" t="str">
        <f>VLOOKUP(Table4[[#This Row],[الكود]],'قاعدة بيانات  '!$K$3:$L$290,2,0)</f>
        <v>زياد كرم عبد الفضيل عبد المجيد</v>
      </c>
      <c r="E11" s="19" t="str">
        <f>VLOOKUP(Table4[[#This Row],[الكود]],'قاعدة بيانات  '!$K$3:$N$290,4,0)</f>
        <v>وكيل تحصيل</v>
      </c>
      <c r="F11" s="232" t="str">
        <f>VLOOKUP(C:C,'[11]قاعدة بيانات  '!K:Q,5,0)</f>
        <v>شركة فاليو</v>
      </c>
      <c r="G11" s="232" t="s">
        <v>145</v>
      </c>
      <c r="H11" s="233">
        <v>0</v>
      </c>
      <c r="I11" s="19"/>
      <c r="K11" s="85">
        <v>500</v>
      </c>
      <c r="O11" s="362">
        <v>500</v>
      </c>
    </row>
    <row r="12" spans="1:15">
      <c r="A12" s="18">
        <v>45936</v>
      </c>
      <c r="B12" s="19" t="str">
        <f>TEXT(Table4[[#This Row],[التاريخ ]],"mmm")</f>
        <v>Oct</v>
      </c>
      <c r="C12" s="232">
        <v>544</v>
      </c>
      <c r="D12" s="232" t="str">
        <f>VLOOKUP(Table4[[#This Row],[الكود]],'قاعدة بيانات  '!$K$3:$L$290,2,0)</f>
        <v>احمد منصور سليم منصور سليم</v>
      </c>
      <c r="E12" s="19" t="str">
        <f>VLOOKUP(Table4[[#This Row],[الكود]],'قاعدة بيانات  '!$K$3:$N$290,4,0)</f>
        <v>الشئون القانونية</v>
      </c>
      <c r="F12" s="232" t="str">
        <f>VLOOKUP(C:C,'[11]قاعدة بيانات  '!K:Q,5,0)</f>
        <v>محامى</v>
      </c>
      <c r="G12" s="232" t="s">
        <v>145</v>
      </c>
      <c r="H12" s="233">
        <v>0</v>
      </c>
      <c r="I12" s="19" t="s">
        <v>1351</v>
      </c>
      <c r="K12" s="85">
        <v>1500</v>
      </c>
      <c r="O12" s="362">
        <v>1000</v>
      </c>
    </row>
    <row r="13" spans="1:15">
      <c r="A13" s="18">
        <v>45944</v>
      </c>
      <c r="B13" s="19" t="str">
        <f>TEXT(Table4[[#This Row],[التاريخ ]],"mmm")</f>
        <v>Oct</v>
      </c>
      <c r="C13" s="232">
        <v>284</v>
      </c>
      <c r="D13" s="232" t="str">
        <f>VLOOKUP(Table4[[#This Row],[الكود]],'قاعدة بيانات  '!$K$3:$L$290,2,0)</f>
        <v>زياد كرم عبد الفضيل عبد المجيد</v>
      </c>
      <c r="E13" s="19" t="str">
        <f>VLOOKUP(Table4[[#This Row],[الكود]],'قاعدة بيانات  '!$K$3:$N$290,4,0)</f>
        <v>وكيل تحصيل</v>
      </c>
      <c r="F13" s="232" t="str">
        <f>VLOOKUP(C:C,'[11]قاعدة بيانات  '!K:Q,5,0)</f>
        <v>شركة فاليو</v>
      </c>
      <c r="G13" s="232" t="s">
        <v>145</v>
      </c>
      <c r="H13" s="233">
        <v>0</v>
      </c>
      <c r="I13" s="19"/>
      <c r="K13" s="85">
        <v>500</v>
      </c>
      <c r="O13" s="362">
        <v>200</v>
      </c>
    </row>
    <row r="14" spans="1:15">
      <c r="A14" s="18">
        <v>45955</v>
      </c>
      <c r="B14" s="19" t="str">
        <f>TEXT(Table4[[#This Row],[التاريخ ]],"mmm")</f>
        <v>Oct</v>
      </c>
      <c r="C14" s="232">
        <v>744</v>
      </c>
      <c r="D14" s="232" t="str">
        <f>VLOOKUP(Table4[[#This Row],[الكود]],'قاعدة بيانات  '!$K$3:$L$290,2,0)</f>
        <v>الهام حسن عبدالمولي</v>
      </c>
      <c r="E14" s="19" t="str">
        <f>VLOOKUP(Table4[[#This Row],[الكود]],'قاعدة بيانات  '!$K$3:$N$290,4,0)</f>
        <v>الشئون القانونية</v>
      </c>
      <c r="F14" s="19" t="e">
        <f>VLOOKUP(C:C,'[11]قاعدة بيانات  '!K:Q,5,0)</f>
        <v>#N/A</v>
      </c>
      <c r="G14" s="232" t="s">
        <v>145</v>
      </c>
      <c r="H14" s="27">
        <v>0</v>
      </c>
      <c r="I14" s="19" t="s">
        <v>1420</v>
      </c>
      <c r="K14" s="85">
        <v>500</v>
      </c>
      <c r="O14" s="362">
        <v>1000</v>
      </c>
    </row>
    <row r="15" spans="1:15">
      <c r="A15" s="18">
        <v>45965</v>
      </c>
      <c r="B15" s="19" t="str">
        <f>TEXT(Table4[[#This Row],[التاريخ ]],"mmm")</f>
        <v>Nov</v>
      </c>
      <c r="C15" s="232">
        <v>197</v>
      </c>
      <c r="D15" s="232" t="str">
        <f>VLOOKUP(Table4[[#This Row],[الكود]],'قاعدة بيانات  '!$K$3:$L$290,2,0)</f>
        <v xml:space="preserve">احمد مجدى بكر على </v>
      </c>
      <c r="E15" s="19" t="str">
        <f>VLOOKUP(Table4[[#This Row],[الكود]],'قاعدة بيانات  '!$K$3:$N$290,4,0)</f>
        <v>وكيل تحصيل</v>
      </c>
      <c r="F15" s="19" t="str">
        <f>VLOOKUP(C:C,'[11]قاعدة بيانات  '!K:Q,5,0)</f>
        <v>شركة فاليو</v>
      </c>
      <c r="G15" s="232" t="s">
        <v>145</v>
      </c>
      <c r="H15" s="27">
        <v>2000</v>
      </c>
      <c r="I15" s="19" t="s">
        <v>1133</v>
      </c>
      <c r="K15" s="85">
        <v>1000</v>
      </c>
    </row>
    <row r="16" spans="1:15">
      <c r="A16" s="18">
        <v>45969</v>
      </c>
      <c r="B16" s="19" t="str">
        <f>TEXT(Table4[[#This Row],[التاريخ ]],"mmm")</f>
        <v>Nov</v>
      </c>
      <c r="C16" s="232">
        <v>657</v>
      </c>
      <c r="D16" s="232" t="str">
        <f>VLOOKUP(Table4[[#This Row],[الكود]],'قاعدة بيانات  '!$K$3:$L$290,2,0)</f>
        <v>محمود فوزى بخيت</v>
      </c>
      <c r="E16" s="19" t="str">
        <f>VLOOKUP(Table4[[#This Row],[الكود]],'قاعدة بيانات  '!$K$3:$N$290,4,0)</f>
        <v>مشرف تحصيل</v>
      </c>
      <c r="F16" s="19" t="e">
        <f>VLOOKUP(C:C,'[11]قاعدة بيانات  '!K:Q,5,0)</f>
        <v>#N/A</v>
      </c>
      <c r="G16" s="232" t="s">
        <v>145</v>
      </c>
      <c r="H16" s="27">
        <v>0</v>
      </c>
      <c r="I16" s="19"/>
      <c r="K16" s="85">
        <v>500</v>
      </c>
      <c r="O16" s="362">
        <v>2500</v>
      </c>
    </row>
    <row r="17" spans="1:15">
      <c r="A17" s="18">
        <v>45969</v>
      </c>
      <c r="B17" s="19" t="str">
        <f>TEXT(Table4[[#This Row],[التاريخ ]],"mmm")</f>
        <v>Nov</v>
      </c>
      <c r="C17" s="232">
        <v>119</v>
      </c>
      <c r="D17" s="232" t="str">
        <f>VLOOKUP(Table4[[#This Row],[الكود]],'قاعدة بيانات  '!$K$3:$L$290,2,0)</f>
        <v>مصطفى جميل عبد الفتاح محمد شاهين</v>
      </c>
      <c r="E17" s="19" t="str">
        <f>VLOOKUP(Table4[[#This Row],[الكود]],'قاعدة بيانات  '!$K$3:$N$290,4,0)</f>
        <v>وكيل تحصيل</v>
      </c>
      <c r="F17" s="19" t="str">
        <f>VLOOKUP(C:C,'[11]قاعدة بيانات  '!K:Q,5,0)</f>
        <v>بنك كريدى اجريكول</v>
      </c>
      <c r="G17" s="232" t="s">
        <v>145</v>
      </c>
      <c r="H17" s="27">
        <v>2000</v>
      </c>
      <c r="I17" s="19" t="s">
        <v>1507</v>
      </c>
      <c r="K17" s="85">
        <v>1000</v>
      </c>
    </row>
    <row r="18" spans="1:15">
      <c r="A18" s="18">
        <v>45969</v>
      </c>
      <c r="B18" s="19" t="str">
        <f>TEXT(Table4[[#This Row],[التاريخ ]],"mmm")</f>
        <v>Nov</v>
      </c>
      <c r="C18" s="232">
        <v>515</v>
      </c>
      <c r="D18" s="232" t="str">
        <f>VLOOKUP(Table4[[#This Row],[الكود]],'قاعدة بيانات  '!$K$3:$L$290,2,0)</f>
        <v>محمد عبدالمنعم عبدالحليم إبراهيم</v>
      </c>
      <c r="E18" s="19" t="str">
        <f>VLOOKUP(Table4[[#This Row],[الكود]],'قاعدة بيانات  '!$K$3:$N$290,4,0)</f>
        <v>خدمات معاونة</v>
      </c>
      <c r="F18" s="19" t="str">
        <f>VLOOKUP(C:C,'[11]قاعدة بيانات  '!K:Q,5,0)</f>
        <v>الخدمات المعاونة</v>
      </c>
      <c r="G18" s="232" t="s">
        <v>145</v>
      </c>
      <c r="H18" s="27">
        <v>2000</v>
      </c>
      <c r="I18" s="19"/>
      <c r="K18" s="85"/>
      <c r="O18" s="362">
        <v>500</v>
      </c>
    </row>
    <row r="19" spans="1:15">
      <c r="A19" s="18">
        <v>45969</v>
      </c>
      <c r="B19" s="19" t="str">
        <f>TEXT(Table4[[#This Row],[التاريخ ]],"mmm")</f>
        <v>Nov</v>
      </c>
      <c r="C19" s="232">
        <v>527</v>
      </c>
      <c r="D19" s="232" t="str">
        <f>VLOOKUP(Table4[[#This Row],[الكود]],'قاعدة بيانات  '!$K$3:$L$290,2,0)</f>
        <v>محمد محمود حسين محمود</v>
      </c>
      <c r="E19" s="19" t="str">
        <f>VLOOKUP(Table4[[#This Row],[الكود]],'قاعدة بيانات  '!$K$3:$N$290,4,0)</f>
        <v>مشرف تحصيل</v>
      </c>
      <c r="F19" s="19" t="str">
        <f>VLOOKUP(C:C,'[11]قاعدة بيانات  '!K:Q,5,0)</f>
        <v>بنك الاسكندرية</v>
      </c>
      <c r="G19" s="232" t="s">
        <v>145</v>
      </c>
      <c r="H19" s="27">
        <v>0</v>
      </c>
      <c r="I19" s="19" t="s">
        <v>1581</v>
      </c>
      <c r="K19" s="85">
        <v>4000</v>
      </c>
      <c r="O19" s="362">
        <v>1500</v>
      </c>
    </row>
    <row r="20" spans="1:15">
      <c r="A20" s="18">
        <v>45970</v>
      </c>
      <c r="B20" s="19" t="str">
        <f>TEXT(Table4[[#This Row],[التاريخ ]],"mmm")</f>
        <v>Nov</v>
      </c>
      <c r="C20" s="232">
        <v>655</v>
      </c>
      <c r="D20" s="232" t="str">
        <f>VLOOKUP(Table4[[#This Row],[الكود]],'قاعدة بيانات  '!$K$3:$L$290,2,0)</f>
        <v>احمد عبدالعزيز إبراهيم عبدالعزيز</v>
      </c>
      <c r="E20" s="19" t="s">
        <v>211</v>
      </c>
      <c r="F20" s="19" t="e">
        <f>VLOOKUP(C:C,'[11]قاعدة بيانات  '!K:Q,5,0)</f>
        <v>#N/A</v>
      </c>
      <c r="G20" s="232" t="s">
        <v>145</v>
      </c>
      <c r="H20" s="27">
        <v>0</v>
      </c>
      <c r="I20" s="19" t="s">
        <v>1510</v>
      </c>
      <c r="K20" s="85">
        <v>1000</v>
      </c>
      <c r="O20" s="362">
        <v>4500</v>
      </c>
    </row>
    <row r="21" spans="1:15">
      <c r="A21" s="18">
        <v>45971</v>
      </c>
      <c r="B21" s="19" t="str">
        <f>TEXT(Table4[[#This Row],[التاريخ ]],"mmm")</f>
        <v>Nov</v>
      </c>
      <c r="C21" s="232">
        <v>332</v>
      </c>
      <c r="D21" s="232" t="str">
        <f>VLOOKUP(Table4[[#This Row],[الكود]],'قاعدة بيانات  '!$K$3:$L$290,2,0)</f>
        <v xml:space="preserve">إسماعيل سلامه إسماعيل بركات </v>
      </c>
      <c r="E21" s="19" t="str">
        <f>VLOOKUP(Table4[[#This Row],[الكود]],'قاعدة بيانات  '!$K$3:$N$290,4,0)</f>
        <v>وكيل تحصيل</v>
      </c>
      <c r="F21" s="19" t="str">
        <f>VLOOKUP(C:C,'[11]قاعدة بيانات  '!K:Q,5,0)</f>
        <v>شركة ميد تقسيط</v>
      </c>
      <c r="G21" s="232" t="s">
        <v>145</v>
      </c>
      <c r="H21" s="27">
        <v>0</v>
      </c>
      <c r="I21" s="19"/>
      <c r="K21" s="85">
        <v>1000</v>
      </c>
    </row>
    <row r="22" spans="1:15">
      <c r="A22" s="18">
        <v>45971</v>
      </c>
      <c r="B22" s="19" t="str">
        <f>TEXT(Table4[[#This Row],[التاريخ ]],"mmm")</f>
        <v>Nov</v>
      </c>
      <c r="C22" s="232">
        <v>731</v>
      </c>
      <c r="D22" s="232" t="str">
        <f>VLOOKUP(Table4[[#This Row],[الكود]],'قاعدة بيانات  '!$K$3:$L$290,2,0)</f>
        <v>يوسف تامر محمد</v>
      </c>
      <c r="E22" s="19" t="str">
        <f>VLOOKUP(Table4[[#This Row],[الكود]],'قاعدة بيانات  '!$K$3:$N$290,4,0)</f>
        <v>وكيل تحصيل</v>
      </c>
      <c r="F22" s="19" t="e">
        <f>VLOOKUP(C:C,'[11]قاعدة بيانات  '!K:Q,5,0)</f>
        <v>#N/A</v>
      </c>
      <c r="G22" s="232" t="s">
        <v>145</v>
      </c>
      <c r="H22" s="27">
        <v>0</v>
      </c>
      <c r="I22" s="19"/>
      <c r="K22" s="85">
        <v>1500</v>
      </c>
      <c r="O22" s="362">
        <v>1500</v>
      </c>
    </row>
    <row r="23" spans="1:15">
      <c r="A23" s="18">
        <v>45972</v>
      </c>
      <c r="B23" s="19" t="str">
        <f>TEXT(Table4[[#This Row],[التاريخ ]],"mmm")</f>
        <v>Nov</v>
      </c>
      <c r="C23" s="232">
        <v>749</v>
      </c>
      <c r="D23" s="232" t="str">
        <f>VLOOKUP(Table4[[#This Row],[الكود]],'قاعدة بيانات  '!$K$3:$L$290,2,0)</f>
        <v>احمد محمد مصطفى عبد الغفار</v>
      </c>
      <c r="E23" s="19" t="str">
        <f>VLOOKUP(Table4[[#This Row],[الكود]],'قاعدة بيانات  '!$K$3:$N$290,4,0)</f>
        <v>وكيل تحصيل</v>
      </c>
      <c r="F23" s="19" t="e">
        <f>VLOOKUP(C:C,'[11]قاعدة بيانات  '!K:Q,5,0)</f>
        <v>#N/A</v>
      </c>
      <c r="G23" s="232" t="s">
        <v>145</v>
      </c>
      <c r="H23" s="27">
        <v>0</v>
      </c>
      <c r="I23" s="19"/>
      <c r="K23" s="85">
        <v>1000</v>
      </c>
      <c r="O23" s="362">
        <v>500</v>
      </c>
    </row>
    <row r="24" spans="1:15">
      <c r="A24" s="18">
        <v>45972</v>
      </c>
      <c r="B24" s="19" t="str">
        <f>TEXT(Table4[[#This Row],[التاريخ ]],"mmm")</f>
        <v>Nov</v>
      </c>
      <c r="C24" s="232">
        <v>747</v>
      </c>
      <c r="D24" s="232" t="str">
        <f>VLOOKUP(Table4[[#This Row],[الكود]],'قاعدة بيانات  '!$K$3:$L$290,2,0)</f>
        <v>هاله محمد موسى</v>
      </c>
      <c r="E24" s="19" t="str">
        <f>VLOOKUP(Table4[[#This Row],[الكود]],'قاعدة بيانات  '!$K$3:$N$290,4,0)</f>
        <v>خدمات معاونة</v>
      </c>
      <c r="F24" s="19" t="e">
        <f>VLOOKUP(C:C,'[11]قاعدة بيانات  '!K:Q,5,0)</f>
        <v>#N/A</v>
      </c>
      <c r="G24" s="232" t="s">
        <v>145</v>
      </c>
      <c r="H24" s="27">
        <v>500</v>
      </c>
      <c r="I24" s="19" t="s">
        <v>1514</v>
      </c>
      <c r="K24" s="85">
        <v>500</v>
      </c>
      <c r="O24" s="362">
        <v>1000</v>
      </c>
    </row>
    <row r="25" spans="1:15">
      <c r="A25" s="18">
        <v>45972</v>
      </c>
      <c r="B25" s="19" t="str">
        <f>TEXT(Table4[[#This Row],[التاريخ ]],"mmm")</f>
        <v>Nov</v>
      </c>
      <c r="C25" s="232">
        <v>594</v>
      </c>
      <c r="D25" s="232" t="str">
        <f>VLOOKUP(Table4[[#This Row],[الكود]],'قاعدة بيانات  '!$K$3:$L$290,2,0)</f>
        <v>امنيه وليد احمد توفيق</v>
      </c>
      <c r="E25" s="19" t="str">
        <f>VLOOKUP(Table4[[#This Row],[الكود]],'قاعدة بيانات  '!$K$3:$N$290,4,0)</f>
        <v>وكيل تحصيل هاتفى</v>
      </c>
      <c r="F25" s="19" t="e">
        <f>VLOOKUP(C:C,'[11]قاعدة بيانات  '!K:Q,5,0)</f>
        <v>#N/A</v>
      </c>
      <c r="G25" s="232" t="s">
        <v>145</v>
      </c>
      <c r="H25" s="27">
        <v>0</v>
      </c>
      <c r="I25" s="19"/>
      <c r="K25" s="85">
        <v>600</v>
      </c>
      <c r="O25" s="362">
        <v>1000</v>
      </c>
    </row>
    <row r="26" spans="1:15">
      <c r="A26" s="18">
        <v>45972</v>
      </c>
      <c r="B26" s="19" t="str">
        <f>TEXT(Table4[[#This Row],[التاريخ ]],"mmm")</f>
        <v>Nov</v>
      </c>
      <c r="C26" s="232">
        <v>31</v>
      </c>
      <c r="D26" s="232" t="str">
        <f>VLOOKUP(Table4[[#This Row],[الكود]],'قاعدة بيانات  '!$K$3:$L$290,2,0)</f>
        <v>محمود النادى أبو الحسن احمد</v>
      </c>
      <c r="E26" s="19" t="str">
        <f>VLOOKUP(Table4[[#This Row],[الكود]],'قاعدة بيانات  '!$K$3:$N$290,4,0)</f>
        <v>كبير مشرفى تحصيل</v>
      </c>
      <c r="F26" s="19" t="str">
        <f>VLOOKUP(C:C,'[11]قاعدة بيانات  '!K:Q,5,0)</f>
        <v>بنك الإسكندرية / شركة سهولة</v>
      </c>
      <c r="G26" s="232" t="s">
        <v>145</v>
      </c>
      <c r="H26" s="27"/>
      <c r="I26" s="360"/>
      <c r="K26" s="85">
        <v>1000</v>
      </c>
      <c r="O26" s="362">
        <v>1000</v>
      </c>
    </row>
    <row r="27" spans="1:15">
      <c r="A27" s="18">
        <v>45973</v>
      </c>
      <c r="B27" s="19" t="str">
        <f>TEXT(Table4[[#This Row],[التاريخ ]],"mmm")</f>
        <v>Nov</v>
      </c>
      <c r="C27" s="232">
        <v>45</v>
      </c>
      <c r="D27" s="232" t="str">
        <f>VLOOKUP(Table4[[#This Row],[الكود]],'قاعدة بيانات  '!$K$3:$L$290,2,0)</f>
        <v>محمد مجدى ربيع عبد الغنى جاد</v>
      </c>
      <c r="E27" s="19" t="str">
        <f>VLOOKUP(Table4[[#This Row],[الكود]],'قاعدة بيانات  '!$K$3:$N$290,4,0)</f>
        <v>مشرف تحصيل</v>
      </c>
      <c r="F27" s="19" t="str">
        <f>VLOOKUP(C:C,'[11]قاعدة بيانات  '!K:Q,5,0)</f>
        <v>شركة فاليو</v>
      </c>
      <c r="G27" s="232" t="s">
        <v>145</v>
      </c>
      <c r="H27" s="27">
        <v>1500</v>
      </c>
      <c r="I27" s="19" t="s">
        <v>1133</v>
      </c>
      <c r="K27" s="85">
        <v>1500</v>
      </c>
      <c r="O27" s="362">
        <v>500</v>
      </c>
    </row>
    <row r="28" spans="1:15">
      <c r="A28" s="18">
        <v>45974</v>
      </c>
      <c r="B28" s="19" t="str">
        <f>TEXT(Table4[[#This Row],[التاريخ ]],"mmm")</f>
        <v>Nov</v>
      </c>
      <c r="C28" s="232">
        <v>774</v>
      </c>
      <c r="D28" s="232" t="str">
        <f>VLOOKUP(Table4[[#This Row],[الكود]],'قاعدة بيانات  '!$K$3:$L$290,2,0)</f>
        <v>احمد سعيد محمود</v>
      </c>
      <c r="E28" s="19" t="str">
        <f>VLOOKUP(Table4[[#This Row],[الكود]],'قاعدة بيانات  '!$K$3:$N$290,4,0)</f>
        <v>وكيل تحصيل</v>
      </c>
      <c r="F28" s="19" t="e">
        <f>VLOOKUP(C:C,'[11]قاعدة بيانات  '!K:Q,5,0)</f>
        <v>#N/A</v>
      </c>
      <c r="G28" s="232" t="s">
        <v>145</v>
      </c>
      <c r="H28" s="27">
        <v>0</v>
      </c>
      <c r="I28" s="19"/>
      <c r="K28" s="85">
        <v>300</v>
      </c>
      <c r="O28" s="362">
        <v>200</v>
      </c>
    </row>
    <row r="29" spans="1:15">
      <c r="A29" s="18">
        <v>45974</v>
      </c>
      <c r="B29" s="19" t="str">
        <f>TEXT(Table4[[#This Row],[التاريخ ]],"mmm")</f>
        <v>Nov</v>
      </c>
      <c r="C29" s="232">
        <v>756</v>
      </c>
      <c r="D29" s="232" t="str">
        <f>VLOOKUP(Table4[[#This Row],[الكود]],'قاعدة بيانات  '!$K$3:$L$290,2,0)</f>
        <v xml:space="preserve">عبدالله هاني عبد المنعم عيد </v>
      </c>
      <c r="E29" s="19" t="str">
        <f>VLOOKUP(Table4[[#This Row],[الكود]],'قاعدة بيانات  '!$K$3:$N$290,4,0)</f>
        <v>وكيل تحصيل</v>
      </c>
      <c r="F29" s="19" t="e">
        <f>VLOOKUP(C:C,'[11]قاعدة بيانات  '!K:Q,5,0)</f>
        <v>#N/A</v>
      </c>
      <c r="G29" s="232" t="s">
        <v>145</v>
      </c>
      <c r="H29" s="27">
        <v>0</v>
      </c>
      <c r="I29" s="19"/>
      <c r="K29" s="85">
        <v>300</v>
      </c>
      <c r="O29" s="362">
        <v>1500</v>
      </c>
    </row>
    <row r="30" spans="1:15">
      <c r="A30" s="18">
        <v>45977</v>
      </c>
      <c r="B30" s="19" t="str">
        <f>TEXT(Table4[[#This Row],[التاريخ ]],"mmm")</f>
        <v>Nov</v>
      </c>
      <c r="C30" s="232">
        <v>621</v>
      </c>
      <c r="D30" s="232" t="str">
        <f>VLOOKUP(Table4[[#This Row],[الكود]],'قاعدة بيانات  '!$K$3:$L$290,2,0)</f>
        <v>بسنت نصر سالم محمد سالم</v>
      </c>
      <c r="E30" s="19" t="str">
        <f>VLOOKUP(Table4[[#This Row],[الكود]],'قاعدة بيانات  '!$K$3:$N$290,4,0)</f>
        <v>وكيل تحصيل هاتفى</v>
      </c>
      <c r="F30" s="19" t="e">
        <f>VLOOKUP(C:C,'[11]قاعدة بيانات  '!K:Q,5,0)</f>
        <v>#N/A</v>
      </c>
      <c r="G30" s="232" t="s">
        <v>145</v>
      </c>
      <c r="H30" s="27">
        <v>0</v>
      </c>
      <c r="I30" s="19"/>
      <c r="K30" s="85">
        <v>500</v>
      </c>
      <c r="O30" s="362">
        <v>500</v>
      </c>
    </row>
    <row r="31" spans="1:15">
      <c r="A31" s="18">
        <v>45977</v>
      </c>
      <c r="B31" s="19" t="str">
        <f>TEXT(Table4[[#This Row],[التاريخ ]],"mmm")</f>
        <v>Nov</v>
      </c>
      <c r="C31" s="232">
        <v>512</v>
      </c>
      <c r="D31" s="232" t="str">
        <f>VLOOKUP(Table4[[#This Row],[الكود]],'قاعدة بيانات  '!$K$3:$L$290,2,0)</f>
        <v>شريهان كمال شفيق حسب الله</v>
      </c>
      <c r="E31" s="19" t="str">
        <f>VLOOKUP(Table4[[#This Row],[الكود]],'قاعدة بيانات  '!$K$3:$N$290,4,0)</f>
        <v>وكيل تحصيل هاتفى</v>
      </c>
      <c r="F31" s="19" t="str">
        <f>VLOOKUP(C:C,'[11]قاعدة بيانات  '!K:Q,5,0)</f>
        <v xml:space="preserve">بنك الإسكندرية </v>
      </c>
      <c r="G31" s="232" t="s">
        <v>145</v>
      </c>
      <c r="H31" s="27">
        <v>0</v>
      </c>
      <c r="I31" s="19"/>
      <c r="K31" s="85">
        <v>300</v>
      </c>
      <c r="O31" s="362">
        <v>2000</v>
      </c>
    </row>
    <row r="32" spans="1:15">
      <c r="A32" s="18">
        <v>45977</v>
      </c>
      <c r="B32" s="19" t="str">
        <f>TEXT(Table4[[#This Row],[التاريخ ]],"mmm")</f>
        <v>Nov</v>
      </c>
      <c r="C32" s="232">
        <v>657</v>
      </c>
      <c r="D32" s="232" t="str">
        <f>VLOOKUP(Table4[[#This Row],[الكود]],'قاعدة بيانات  '!$K$3:$L$290,2,0)</f>
        <v>محمود فوزى بخيت</v>
      </c>
      <c r="E32" s="19" t="str">
        <f>VLOOKUP(Table4[[#This Row],[الكود]],'قاعدة بيانات  '!$K$3:$N$290,4,0)</f>
        <v>مشرف تحصيل</v>
      </c>
      <c r="F32" s="19" t="e">
        <f>VLOOKUP(C:C,'[11]قاعدة بيانات  '!K:Q,5,0)</f>
        <v>#N/A</v>
      </c>
      <c r="G32" s="232" t="s">
        <v>145</v>
      </c>
      <c r="H32" s="27">
        <v>0</v>
      </c>
      <c r="I32" s="19"/>
      <c r="K32" s="85">
        <v>500</v>
      </c>
      <c r="O32" s="362">
        <v>500</v>
      </c>
    </row>
    <row r="33" spans="1:15">
      <c r="A33" s="18">
        <v>45978</v>
      </c>
      <c r="B33" s="19" t="str">
        <f>TEXT(Table4[[#This Row],[التاريخ ]],"mmm")</f>
        <v>Nov</v>
      </c>
      <c r="C33" s="232">
        <v>54</v>
      </c>
      <c r="D33" s="232" t="str">
        <f>VLOOKUP(Table4[[#This Row],[الكود]],'قاعدة بيانات  '!$K$3:$L$290,2,0)</f>
        <v>رحاب عبد الهادى احمد بدوى</v>
      </c>
      <c r="E33" s="19" t="str">
        <f>VLOOKUP(Table4[[#This Row],[الكود]],'قاعدة بيانات  '!$K$3:$N$290,4,0)</f>
        <v>مشرف تحصيل</v>
      </c>
      <c r="F33" s="19" t="str">
        <f>VLOOKUP(C:C,'[11]قاعدة بيانات  '!K:Q,5,0)</f>
        <v>بنك الإسكندرية / شركة سهولة</v>
      </c>
      <c r="G33" s="232" t="s">
        <v>145</v>
      </c>
      <c r="H33" s="27">
        <v>0</v>
      </c>
      <c r="I33" s="19"/>
      <c r="K33" s="85">
        <v>500</v>
      </c>
      <c r="O33" s="362">
        <v>600</v>
      </c>
    </row>
    <row r="34" spans="1:15">
      <c r="A34" s="18">
        <v>45978</v>
      </c>
      <c r="B34" s="19" t="str">
        <f>TEXT(Table4[[#This Row],[التاريخ ]],"mmm")</f>
        <v>Nov</v>
      </c>
      <c r="C34" s="232">
        <v>119</v>
      </c>
      <c r="D34" s="232" t="str">
        <f>VLOOKUP(Table4[[#This Row],[الكود]],'قاعدة بيانات  '!$K$3:$L$290,2,0)</f>
        <v>مصطفى جميل عبد الفتاح محمد شاهين</v>
      </c>
      <c r="E34" s="19" t="str">
        <f>VLOOKUP(Table4[[#This Row],[الكود]],'قاعدة بيانات  '!$K$3:$N$290,4,0)</f>
        <v>وكيل تحصيل</v>
      </c>
      <c r="F34" s="19" t="str">
        <f>VLOOKUP(C:C,'[11]قاعدة بيانات  '!K:Q,5,0)</f>
        <v>بنك كريدى اجريكول</v>
      </c>
      <c r="G34" s="232" t="s">
        <v>145</v>
      </c>
      <c r="H34" s="27">
        <v>500</v>
      </c>
      <c r="I34" s="19"/>
      <c r="K34" s="85"/>
      <c r="O34" s="362">
        <v>300</v>
      </c>
    </row>
    <row r="35" spans="1:15">
      <c r="A35" s="18">
        <v>45978</v>
      </c>
      <c r="B35" s="19" t="str">
        <f>TEXT(Table4[[#This Row],[التاريخ ]],"mmm")</f>
        <v>Nov</v>
      </c>
      <c r="C35" s="232">
        <v>71</v>
      </c>
      <c r="D35" s="232" t="str">
        <f>VLOOKUP(Table4[[#This Row],[الكود]],'قاعدة بيانات  '!$K$3:$L$290,2,0)</f>
        <v>ندى محمد سعد محمد</v>
      </c>
      <c r="E35" s="19" t="str">
        <f>VLOOKUP(Table4[[#This Row],[الكود]],'قاعدة بيانات  '!$K$3:$N$290,4,0)</f>
        <v>وكيل تحصيل هاتفى</v>
      </c>
      <c r="F35" s="19" t="str">
        <f>VLOOKUP(C:C,'[11]قاعدة بيانات  '!K:Q,5,0)</f>
        <v>بنك كريدى اجريكول</v>
      </c>
      <c r="G35" s="232" t="s">
        <v>145</v>
      </c>
      <c r="H35" s="27">
        <v>0</v>
      </c>
      <c r="I35" s="19"/>
      <c r="K35" s="85">
        <v>500</v>
      </c>
      <c r="O35" s="362">
        <v>500</v>
      </c>
    </row>
    <row r="36" spans="1:15">
      <c r="A36" s="18">
        <v>45978</v>
      </c>
      <c r="B36" s="19" t="str">
        <f>TEXT(Table4[[#This Row],[التاريخ ]],"mmm")</f>
        <v>Nov</v>
      </c>
      <c r="C36" s="232">
        <v>31</v>
      </c>
      <c r="D36" s="232" t="str">
        <f>VLOOKUP(Table4[[#This Row],[الكود]],'قاعدة بيانات  '!$K$3:$L$290,2,0)</f>
        <v>محمود النادى أبو الحسن احمد</v>
      </c>
      <c r="E36" s="19" t="str">
        <f>VLOOKUP(Table4[[#This Row],[الكود]],'قاعدة بيانات  '!$K$3:$N$290,4,0)</f>
        <v>كبير مشرفى تحصيل</v>
      </c>
      <c r="F36" s="19" t="str">
        <f>VLOOKUP(C:C,'[11]قاعدة بيانات  '!K:Q,5,0)</f>
        <v>بنك الإسكندرية / شركة سهولة</v>
      </c>
      <c r="G36" s="232" t="s">
        <v>145</v>
      </c>
      <c r="H36" s="27"/>
      <c r="I36" s="360"/>
      <c r="K36" s="85">
        <v>500</v>
      </c>
      <c r="O36" s="362">
        <v>500</v>
      </c>
    </row>
    <row r="37" spans="1:15">
      <c r="A37" s="18">
        <v>45978</v>
      </c>
      <c r="B37" s="19" t="str">
        <f>TEXT(Table4[[#This Row],[التاريخ ]],"mmm")</f>
        <v>Nov</v>
      </c>
      <c r="C37" s="232">
        <v>197</v>
      </c>
      <c r="D37" s="232" t="str">
        <f>VLOOKUP(Table4[[#This Row],[الكود]],'قاعدة بيانات  '!$K$3:$L$290,2,0)</f>
        <v xml:space="preserve">احمد مجدى بكر على </v>
      </c>
      <c r="E37" s="19" t="str">
        <f>VLOOKUP(Table4[[#This Row],[الكود]],'قاعدة بيانات  '!$K$3:$N$290,4,0)</f>
        <v>وكيل تحصيل</v>
      </c>
      <c r="F37" s="19" t="str">
        <f>VLOOKUP(C:C,'[11]قاعدة بيانات  '!K:Q,5,0)</f>
        <v>شركة فاليو</v>
      </c>
      <c r="G37" s="232" t="s">
        <v>145</v>
      </c>
      <c r="H37" s="27">
        <v>2000</v>
      </c>
      <c r="I37" s="19" t="s">
        <v>1133</v>
      </c>
      <c r="K37" s="85"/>
      <c r="O37" s="362">
        <v>500</v>
      </c>
    </row>
    <row r="38" spans="1:15">
      <c r="A38" s="18">
        <v>45979</v>
      </c>
      <c r="B38" s="19" t="str">
        <f>TEXT(Table4[[#This Row],[التاريخ ]],"mmm")</f>
        <v>Nov</v>
      </c>
      <c r="C38" s="232">
        <v>705</v>
      </c>
      <c r="D38" s="232" t="str">
        <f>VLOOKUP(Table4[[#This Row],[الكود]],'قاعدة بيانات  '!$K$3:$L$290,2,0)</f>
        <v>محمود مصطفى محمود</v>
      </c>
      <c r="E38" s="19" t="s">
        <v>225</v>
      </c>
      <c r="F38" s="19" t="e">
        <f>VLOOKUP(C:C,'[11]قاعدة بيانات  '!K:Q,5,0)</f>
        <v>#N/A</v>
      </c>
      <c r="G38" s="232" t="s">
        <v>145</v>
      </c>
      <c r="H38" s="27">
        <v>0</v>
      </c>
      <c r="I38" s="19"/>
      <c r="K38" s="85">
        <v>500</v>
      </c>
    </row>
    <row r="39" spans="1:15">
      <c r="A39" s="18">
        <v>45979</v>
      </c>
      <c r="B39" s="23" t="str">
        <f>TEXT(Table4[[#This Row],[التاريخ ]],"mmm")</f>
        <v>Nov</v>
      </c>
      <c r="C39" s="309">
        <v>749</v>
      </c>
      <c r="D39" s="232" t="str">
        <f>VLOOKUP(Table4[[#This Row],[الكود]],'قاعدة بيانات  '!$K$3:$L$290,2,0)</f>
        <v>احمد محمد مصطفى عبد الغفار</v>
      </c>
      <c r="E39" s="19" t="str">
        <f>VLOOKUP(Table4[[#This Row],[الكود]],'قاعدة بيانات  '!$K$3:$N$290,4,0)</f>
        <v>وكيل تحصيل</v>
      </c>
      <c r="F39" s="23" t="e">
        <f>VLOOKUP(C:C,'[11]قاعدة بيانات  '!K:Q,5,0)</f>
        <v>#N/A</v>
      </c>
      <c r="G39" s="232" t="s">
        <v>145</v>
      </c>
      <c r="H39" s="28">
        <v>0</v>
      </c>
      <c r="I39" s="23"/>
      <c r="K39" s="85">
        <v>1000</v>
      </c>
      <c r="O39" s="362">
        <v>500</v>
      </c>
    </row>
    <row r="40" spans="1:15">
      <c r="A40" s="18">
        <v>45980</v>
      </c>
      <c r="B40" s="19" t="str">
        <f>TEXT(Table4[[#This Row],[التاريخ ]],"mmm")</f>
        <v>Nov</v>
      </c>
      <c r="C40" s="232">
        <v>756</v>
      </c>
      <c r="D40" s="232" t="str">
        <f>VLOOKUP(Table4[[#This Row],[الكود]],'قاعدة بيانات  '!$K$3:$L$290,2,0)</f>
        <v xml:space="preserve">عبدالله هاني عبد المنعم عيد </v>
      </c>
      <c r="E40" s="19" t="str">
        <f>VLOOKUP(Table4[[#This Row],[الكود]],'قاعدة بيانات  '!$K$3:$N$290,4,0)</f>
        <v>وكيل تحصيل</v>
      </c>
      <c r="F40" s="19" t="e">
        <f>VLOOKUP(C:C,'[11]قاعدة بيانات  '!K:Q,5,0)</f>
        <v>#N/A</v>
      </c>
      <c r="G40" s="232" t="s">
        <v>145</v>
      </c>
      <c r="H40" s="27">
        <v>0</v>
      </c>
      <c r="I40" s="19"/>
      <c r="K40" s="85">
        <v>200</v>
      </c>
    </row>
    <row r="41" spans="1:15">
      <c r="A41" s="18">
        <v>45980</v>
      </c>
      <c r="B41" s="19" t="str">
        <f>TEXT(Table4[[#This Row],[التاريخ ]],"mmm")</f>
        <v>Nov</v>
      </c>
      <c r="C41" s="232">
        <v>702</v>
      </c>
      <c r="D41" s="232" t="str">
        <f>VLOOKUP(Table4[[#This Row],[الكود]],'قاعدة بيانات  '!$K$3:$L$380,2,0)</f>
        <v>فاطمة خالد عبدالمرضى شهاب الدين</v>
      </c>
      <c r="E41" s="19" t="str">
        <f>VLOOKUP(Table4[[#This Row],[الكود]],'قاعدة بيانات  '!$K$3:$N$380,4,0)</f>
        <v>وكيل تحصيل هاتفى</v>
      </c>
      <c r="F41" s="19" t="e">
        <f>VLOOKUP(C:C,'[11]قاعدة بيانات  '!K:Q,5,0)</f>
        <v>#N/A</v>
      </c>
      <c r="G41" s="232" t="s">
        <v>145</v>
      </c>
      <c r="H41" s="27">
        <v>0</v>
      </c>
      <c r="I41" s="19"/>
      <c r="K41" s="85">
        <v>500</v>
      </c>
    </row>
    <row r="42" spans="1:15">
      <c r="A42" s="18">
        <v>45980</v>
      </c>
      <c r="B42" s="19" t="str">
        <f>TEXT(Table4[[#This Row],[التاريخ ]],"mmm")</f>
        <v>Nov</v>
      </c>
      <c r="C42" s="232">
        <v>515</v>
      </c>
      <c r="D42" s="232" t="str">
        <f>VLOOKUP(Table4[[#This Row],[الكود]],'قاعدة بيانات  '!$K$3:$L$380,2,0)</f>
        <v>محمد عبدالمنعم عبدالحليم إبراهيم</v>
      </c>
      <c r="E42" s="19" t="str">
        <f>VLOOKUP(Table4[[#This Row],[الكود]],'قاعدة بيانات  '!$K$3:$N$380,4,0)</f>
        <v>خدمات معاونة</v>
      </c>
      <c r="F42" s="19" t="str">
        <f>VLOOKUP(C:C,'[11]قاعدة بيانات  '!K:Q,5,0)</f>
        <v>الخدمات المعاونة</v>
      </c>
      <c r="G42" s="232" t="s">
        <v>145</v>
      </c>
      <c r="H42" s="27">
        <v>200</v>
      </c>
      <c r="I42" s="19"/>
      <c r="K42" s="85"/>
      <c r="N42" s="120">
        <v>-18330</v>
      </c>
      <c r="O42" s="120">
        <v>33300</v>
      </c>
    </row>
    <row r="43" spans="1:15">
      <c r="A43" s="18">
        <v>45980</v>
      </c>
      <c r="B43" s="19" t="str">
        <f>TEXT(Table4[[#This Row],[التاريخ ]],"mmm")</f>
        <v>Nov</v>
      </c>
      <c r="C43" s="232">
        <v>657</v>
      </c>
      <c r="D43" s="232" t="str">
        <f>VLOOKUP(Table4[[#This Row],[الكود]],'قاعدة بيانات  '!$K$3:$L$380,2,0)</f>
        <v>محمود فوزى بخيت</v>
      </c>
      <c r="E43" s="19" t="str">
        <f>VLOOKUP(Table4[[#This Row],[الكود]],'قاعدة بيانات  '!$K$3:$N$380,4,0)</f>
        <v>مشرف تحصيل</v>
      </c>
      <c r="F43" s="19" t="e">
        <f>VLOOKUP(C:C,'[11]قاعدة بيانات  '!K:Q,5,0)</f>
        <v>#N/A</v>
      </c>
      <c r="G43" s="232" t="s">
        <v>145</v>
      </c>
      <c r="H43" s="27">
        <v>500</v>
      </c>
      <c r="I43" s="19" t="s">
        <v>1554</v>
      </c>
      <c r="K43" s="85"/>
      <c r="N43" s="361"/>
    </row>
    <row r="44" spans="1:15">
      <c r="A44" s="18">
        <v>45980</v>
      </c>
      <c r="B44" s="19" t="str">
        <f>TEXT(Table4[[#This Row],[التاريخ ]],"mmm")</f>
        <v>Nov</v>
      </c>
      <c r="C44" s="232">
        <v>512</v>
      </c>
      <c r="D44" s="232" t="str">
        <f>VLOOKUP(Table4[[#This Row],[الكود]],'قاعدة بيانات  '!$K$3:$L$380,2,0)</f>
        <v>شريهان كمال شفيق حسب الله</v>
      </c>
      <c r="E44" s="19" t="str">
        <f>VLOOKUP(Table4[[#This Row],[الكود]],'قاعدة بيانات  '!$K$3:$N$380,4,0)</f>
        <v>وكيل تحصيل هاتفى</v>
      </c>
      <c r="F44" s="19" t="str">
        <f>VLOOKUP(C:C,'[11]قاعدة بيانات  '!K:Q,5,0)</f>
        <v xml:space="preserve">بنك الإسكندرية </v>
      </c>
      <c r="G44" s="232" t="s">
        <v>145</v>
      </c>
      <c r="H44" s="27">
        <v>0</v>
      </c>
      <c r="I44" s="19"/>
      <c r="K44" s="85">
        <v>200</v>
      </c>
    </row>
    <row r="45" spans="1:15">
      <c r="A45" s="18">
        <v>45980</v>
      </c>
      <c r="B45" s="19" t="str">
        <f>TEXT(Table4[[#This Row],[التاريخ ]],"mmm")</f>
        <v>Nov</v>
      </c>
      <c r="C45" s="232">
        <v>707</v>
      </c>
      <c r="D45" s="232" t="str">
        <f>VLOOKUP(Table4[[#This Row],[الكود]],'قاعدة بيانات  '!$K$3:$L$380,2,0)</f>
        <v>شهد احمد عبد الله</v>
      </c>
      <c r="E45" s="19" t="str">
        <f>VLOOKUP(Table4[[#This Row],[الكود]],'قاعدة بيانات  '!$K$3:$N$380,4,0)</f>
        <v>وكيل تحصيل هاتفى</v>
      </c>
      <c r="F45" s="19" t="e">
        <f>VLOOKUP(C:C,'[11]قاعدة بيانات  '!K:Q,5,0)</f>
        <v>#N/A</v>
      </c>
      <c r="G45" s="232" t="s">
        <v>145</v>
      </c>
      <c r="H45" s="27">
        <v>0</v>
      </c>
      <c r="I45" s="19"/>
      <c r="K45" s="85">
        <v>200</v>
      </c>
    </row>
    <row r="46" spans="1:15">
      <c r="A46" s="18">
        <v>45981</v>
      </c>
      <c r="B46" s="19" t="str">
        <f>TEXT(Table4[[#This Row],[التاريخ ]],"mmm")</f>
        <v>Nov</v>
      </c>
      <c r="C46" s="232">
        <v>31</v>
      </c>
      <c r="D46" s="232" t="str">
        <f>VLOOKUP(Table4[[#This Row],[الكود]],'قاعدة بيانات  '!$K$3:$L$380,2,0)</f>
        <v>محمود النادى أبو الحسن احمد</v>
      </c>
      <c r="E46" s="19" t="str">
        <f>VLOOKUP(Table4[[#This Row],[الكود]],'قاعدة بيانات  '!$K$3:$N$380,4,0)</f>
        <v>كبير مشرفى تحصيل</v>
      </c>
      <c r="F46" s="19" t="str">
        <f>VLOOKUP(C:C,'[11]قاعدة بيانات  '!K:Q,5,0)</f>
        <v>بنك الإسكندرية / شركة سهولة</v>
      </c>
      <c r="G46" s="232" t="s">
        <v>145</v>
      </c>
      <c r="H46" s="27"/>
      <c r="I46" s="360"/>
      <c r="K46" s="85">
        <v>500</v>
      </c>
    </row>
    <row r="47" spans="1:15">
      <c r="A47" s="18">
        <v>45981</v>
      </c>
      <c r="B47" s="19" t="str">
        <f>TEXT(Table4[[#This Row],[التاريخ ]],"mmm")</f>
        <v>Nov</v>
      </c>
      <c r="C47" s="232">
        <v>71</v>
      </c>
      <c r="D47" s="232" t="str">
        <f>VLOOKUP(Table4[[#This Row],[الكود]],'قاعدة بيانات  '!$K$3:$L$380,2,0)</f>
        <v>ندى محمد سعد محمد</v>
      </c>
      <c r="E47" s="19" t="str">
        <f>VLOOKUP(Table4[[#This Row],[الكود]],'قاعدة بيانات  '!$K$3:$N$380,4,0)</f>
        <v>وكيل تحصيل هاتفى</v>
      </c>
      <c r="F47" s="19" t="str">
        <f>VLOOKUP(C:C,'[11]قاعدة بيانات  '!K:Q,5,0)</f>
        <v>بنك كريدى اجريكول</v>
      </c>
      <c r="G47" s="232" t="s">
        <v>145</v>
      </c>
      <c r="H47" s="27">
        <v>0</v>
      </c>
      <c r="I47" s="19"/>
      <c r="K47" s="85">
        <v>1500</v>
      </c>
    </row>
    <row r="48" spans="1:15">
      <c r="A48" s="18">
        <v>45981</v>
      </c>
      <c r="B48" s="19" t="str">
        <f>TEXT(Table4[[#This Row],[التاريخ ]],"mmm")</f>
        <v>Nov</v>
      </c>
      <c r="C48" s="232">
        <v>239</v>
      </c>
      <c r="D48" s="232" t="str">
        <f>VLOOKUP(Table4[[#This Row],[الكود]],'قاعدة بيانات  '!$K$3:$L$380,2,0)</f>
        <v xml:space="preserve">يوسف كامل  عبد الله صبحى غنيم </v>
      </c>
      <c r="E48" s="19" t="str">
        <f>VLOOKUP(Table4[[#This Row],[الكود]],'قاعدة بيانات  '!$K$3:$N$380,4,0)</f>
        <v xml:space="preserve">وكيل تحصيل </v>
      </c>
      <c r="F48" s="19" t="str">
        <f>VLOOKUP(C:C,'[11]قاعدة بيانات  '!K:Q,5,0)</f>
        <v>شركة ميد تقسيط</v>
      </c>
      <c r="G48" s="232" t="s">
        <v>145</v>
      </c>
      <c r="H48" s="27">
        <v>0</v>
      </c>
      <c r="I48" s="19"/>
      <c r="K48" s="85">
        <v>200</v>
      </c>
    </row>
    <row r="49" spans="1:11">
      <c r="A49" s="18">
        <v>45984</v>
      </c>
      <c r="B49" s="19" t="str">
        <f>TEXT(Table4[[#This Row],[التاريخ ]],"mmm")</f>
        <v>Nov</v>
      </c>
      <c r="C49" s="232">
        <v>238</v>
      </c>
      <c r="D49" s="232" t="str">
        <f>VLOOKUP(Table4[[#This Row],[الكود]],'قاعدة بيانات  '!$K$3:$L$380,2,0)</f>
        <v xml:space="preserve">اشرف محمد محروس محمود </v>
      </c>
      <c r="E49" s="19" t="str">
        <f>VLOOKUP(Table4[[#This Row],[الكود]],'قاعدة بيانات  '!$K$3:$N$380,4,0)</f>
        <v xml:space="preserve">وكيل تحصيل </v>
      </c>
      <c r="F49" s="19" t="str">
        <f>VLOOKUP(C:C,'[11]قاعدة بيانات  '!K:Q,5,0)</f>
        <v>بنك الإسكندرية</v>
      </c>
      <c r="G49" s="232" t="s">
        <v>145</v>
      </c>
      <c r="H49" s="27">
        <v>0</v>
      </c>
      <c r="I49" s="19"/>
      <c r="K49" s="85">
        <v>500</v>
      </c>
    </row>
    <row r="50" spans="1:11">
      <c r="A50" s="18">
        <v>45984</v>
      </c>
      <c r="B50" s="19" t="str">
        <f>TEXT(Table4[[#This Row],[التاريخ ]],"mmm")</f>
        <v>Nov</v>
      </c>
      <c r="C50" s="232">
        <v>642</v>
      </c>
      <c r="D50" s="232" t="str">
        <f>VLOOKUP(Table4[[#This Row],[الكود]],'قاعدة بيانات  '!$K$3:$L$380,2,0)</f>
        <v>سلمى محمد محمد السيد</v>
      </c>
      <c r="E50" s="19" t="str">
        <f>VLOOKUP(Table4[[#This Row],[الكود]],'قاعدة بيانات  '!$K$3:$N$380,4,0)</f>
        <v>وكيل تحصيل هاتفى</v>
      </c>
      <c r="F50" s="19" t="e">
        <f>VLOOKUP(C:C,'[11]قاعدة بيانات  '!K:Q,5,0)</f>
        <v>#N/A</v>
      </c>
      <c r="G50" s="232" t="s">
        <v>145</v>
      </c>
      <c r="H50" s="27">
        <v>0</v>
      </c>
      <c r="I50" s="19"/>
      <c r="K50" s="85">
        <v>500</v>
      </c>
    </row>
    <row r="51" spans="1:11">
      <c r="A51" s="18">
        <v>45984</v>
      </c>
      <c r="B51" s="19" t="str">
        <f>TEXT(Table4[[#This Row],[التاريخ ]],"mmm")</f>
        <v>Nov</v>
      </c>
      <c r="C51" s="232">
        <v>119</v>
      </c>
      <c r="D51" s="232" t="str">
        <f>VLOOKUP(Table4[[#This Row],[الكود]],'قاعدة بيانات  '!$K$3:$L$380,2,0)</f>
        <v>مصطفى جميل عبد الفتاح محمد شاهين</v>
      </c>
      <c r="E51" s="19" t="str">
        <f>VLOOKUP(Table4[[#This Row],[الكود]],'قاعدة بيانات  '!$K$3:$N$380,4,0)</f>
        <v>وكيل تحصيل</v>
      </c>
      <c r="F51" s="19" t="str">
        <f>VLOOKUP(C:C,'[11]قاعدة بيانات  '!K:Q,5,0)</f>
        <v>بنك كريدى اجريكول</v>
      </c>
      <c r="G51" s="232" t="s">
        <v>145</v>
      </c>
      <c r="H51" s="27">
        <v>500</v>
      </c>
      <c r="I51" s="19"/>
      <c r="K51" s="85"/>
    </row>
    <row r="52" spans="1:11">
      <c r="A52" s="18">
        <v>45984</v>
      </c>
      <c r="B52" s="19" t="str">
        <f>TEXT(Table4[[#This Row],[التاريخ ]],"mmm")</f>
        <v>Nov</v>
      </c>
      <c r="C52" s="232">
        <v>31</v>
      </c>
      <c r="D52" s="232" t="str">
        <f>VLOOKUP(Table4[[#This Row],[الكود]],'قاعدة بيانات  '!$K$3:$L$380,2,0)</f>
        <v>محمود النادى أبو الحسن احمد</v>
      </c>
      <c r="E52" s="19" t="str">
        <f>VLOOKUP(Table4[[#This Row],[الكود]],'قاعدة بيانات  '!$K$3:$N$380,4,0)</f>
        <v>كبير مشرفى تحصيل</v>
      </c>
      <c r="F52" s="19" t="str">
        <f>VLOOKUP(C:C,'[11]قاعدة بيانات  '!K:Q,5,0)</f>
        <v>بنك الإسكندرية / شركة سهولة</v>
      </c>
      <c r="G52" s="232" t="s">
        <v>145</v>
      </c>
      <c r="H52" s="27"/>
      <c r="I52" s="360"/>
      <c r="K52" s="85">
        <v>500</v>
      </c>
    </row>
    <row r="53" spans="1:11">
      <c r="A53" s="18">
        <v>45985</v>
      </c>
      <c r="B53" s="19" t="str">
        <f>TEXT(Table4[[#This Row],[التاريخ ]],"mmm")</f>
        <v>Nov</v>
      </c>
      <c r="C53" s="232">
        <v>612</v>
      </c>
      <c r="D53" s="232" t="str">
        <f>VLOOKUP(Table4[[#This Row],[الكود]],'قاعدة بيانات  '!$K$3:$L$380,2,0)</f>
        <v>احمد محمد حسنى</v>
      </c>
      <c r="E53" s="19" t="str">
        <f>VLOOKUP(Table4[[#This Row],[الكود]],'قاعدة بيانات  '!$K$3:$N$380,4,0)</f>
        <v>الشئون القانونية</v>
      </c>
      <c r="F53" s="19" t="e">
        <f>VLOOKUP(C:C,'[11]قاعدة بيانات  '!K:Q,5,0)</f>
        <v>#N/A</v>
      </c>
      <c r="G53" s="232" t="s">
        <v>145</v>
      </c>
      <c r="H53" s="27"/>
      <c r="I53" s="19"/>
      <c r="K53" s="85">
        <v>500</v>
      </c>
    </row>
    <row r="54" spans="1:11">
      <c r="A54" s="18">
        <v>45986</v>
      </c>
      <c r="B54" s="19" t="str">
        <f>TEXT(Table4[[#This Row],[التاريخ ]],"mmm")</f>
        <v>Nov</v>
      </c>
      <c r="C54" s="232">
        <v>340</v>
      </c>
      <c r="D54" s="232" t="str">
        <f>VLOOKUP(Table4[[#This Row],[الكود]],'قاعدة بيانات  '!$K$3:$L$380,2,0)</f>
        <v>اميرة شعراوى ابراهيم  حامد على</v>
      </c>
      <c r="E54" s="19" t="str">
        <f>VLOOKUP(Table4[[#This Row],[الكود]],'قاعدة بيانات  '!$K$3:$N$380,4,0)</f>
        <v>كبير مشرفى تحصيل</v>
      </c>
      <c r="F54" s="19" t="str">
        <f>VLOOKUP(C:C,'[11]قاعدة بيانات  '!K:Q,5,0)</f>
        <v>شركة فاليو</v>
      </c>
      <c r="G54" s="232" t="s">
        <v>145</v>
      </c>
      <c r="H54" s="27">
        <v>0</v>
      </c>
      <c r="I54" s="19"/>
      <c r="K54" s="85">
        <v>1000</v>
      </c>
    </row>
    <row r="55" spans="1:11">
      <c r="A55" s="18">
        <v>45987</v>
      </c>
      <c r="B55" s="19" t="str">
        <f>TEXT(Table4[[#This Row],[التاريخ ]],"mmm")</f>
        <v>Nov</v>
      </c>
      <c r="C55" s="232">
        <v>31</v>
      </c>
      <c r="D55" s="232" t="str">
        <f>VLOOKUP(Table4[[#This Row],[الكود]],'قاعدة بيانات  '!$K$3:$L$380,2,0)</f>
        <v>محمود النادى أبو الحسن احمد</v>
      </c>
      <c r="E55" s="19" t="str">
        <f>VLOOKUP(Table4[[#This Row],[الكود]],'قاعدة بيانات  '!$K$3:$N$380,4,0)</f>
        <v>كبير مشرفى تحصيل</v>
      </c>
      <c r="F55" s="19" t="str">
        <f>VLOOKUP(C:C,'[11]قاعدة بيانات  '!K:Q,5,0)</f>
        <v>بنك الإسكندرية / شركة سهولة</v>
      </c>
      <c r="G55" s="232" t="s">
        <v>145</v>
      </c>
      <c r="H55" s="27"/>
      <c r="I55" s="360"/>
      <c r="K55" s="85">
        <v>500</v>
      </c>
    </row>
    <row r="56" spans="1:11">
      <c r="A56" s="18">
        <v>45987</v>
      </c>
      <c r="B56" s="19" t="str">
        <f>TEXT(Table4[[#This Row],[التاريخ ]],"mmm")</f>
        <v>Nov</v>
      </c>
      <c r="C56" s="232">
        <v>527</v>
      </c>
      <c r="D56" s="232" t="str">
        <f>VLOOKUP(Table4[[#This Row],[الكود]],'قاعدة بيانات  '!$K$3:$L$380,2,0)</f>
        <v>محمد محمود حسين محمود</v>
      </c>
      <c r="E56" s="19" t="str">
        <f>VLOOKUP(Table4[[#This Row],[الكود]],'قاعدة بيانات  '!$K$3:$N$380,4,0)</f>
        <v>مشرف تحصيل</v>
      </c>
      <c r="F56" s="19" t="str">
        <f>VLOOKUP(C:C,'[11]قاعدة بيانات  '!K:Q,5,0)</f>
        <v>بنك الاسكندرية</v>
      </c>
      <c r="G56" s="232" t="s">
        <v>145</v>
      </c>
      <c r="H56" s="27">
        <v>0</v>
      </c>
      <c r="I56" s="19"/>
      <c r="K56" s="85">
        <v>500</v>
      </c>
    </row>
    <row r="57" spans="1:11">
      <c r="A57" s="18">
        <v>45992</v>
      </c>
      <c r="B57" s="19" t="str">
        <f>TEXT(Table4[[#This Row],[التاريخ ]],"mmm")</f>
        <v>Dec</v>
      </c>
      <c r="C57" s="232">
        <v>515</v>
      </c>
      <c r="D57" s="232" t="str">
        <f>VLOOKUP(Table4[[#This Row],[الكود]],'قاعدة بيانات  '!$K$3:$L$380,2,0)</f>
        <v>محمد عبدالمنعم عبدالحليم إبراهيم</v>
      </c>
      <c r="E57" s="19" t="str">
        <f>VLOOKUP(Table4[[#This Row],[الكود]],'قاعدة بيانات  '!$K$3:$N$380,4,0)</f>
        <v>خدمات معاونة</v>
      </c>
      <c r="F57" s="19"/>
      <c r="G57" s="232" t="s">
        <v>145</v>
      </c>
      <c r="H57" s="27">
        <v>1000</v>
      </c>
      <c r="I57" s="19"/>
      <c r="K57" s="85"/>
    </row>
    <row r="58" spans="1:11">
      <c r="A58" s="18">
        <v>45997</v>
      </c>
      <c r="B58" s="19" t="str">
        <f>TEXT(Table4[[#This Row],[التاريخ ]],"mmm")</f>
        <v>Dec</v>
      </c>
      <c r="C58" s="232">
        <v>655</v>
      </c>
      <c r="D58" s="232" t="str">
        <f>VLOOKUP(Table4[[#This Row],[الكود]],'قاعدة بيانات  '!$K$3:$L$380,2,0)</f>
        <v>احمد عبدالعزيز إبراهيم عبدالعزيز</v>
      </c>
      <c r="E58" s="19" t="str">
        <f>VLOOKUP(Table4[[#This Row],[الكود]],'قاعدة بيانات  '!$K$3:$N$380,4,0)</f>
        <v>وكيل تحصيل</v>
      </c>
      <c r="F58" s="19"/>
      <c r="G58" s="232" t="s">
        <v>145</v>
      </c>
      <c r="H58" s="27">
        <v>500</v>
      </c>
      <c r="I58" s="19" t="s">
        <v>1633</v>
      </c>
      <c r="J58" s="120" t="s">
        <v>1632</v>
      </c>
      <c r="K58" s="85"/>
    </row>
    <row r="59" spans="1:11">
      <c r="A59" s="18">
        <v>45998</v>
      </c>
      <c r="B59" s="19" t="str">
        <f>TEXT(Table4[[#This Row],[التاريخ ]],"mmm")</f>
        <v>Dec</v>
      </c>
      <c r="C59" s="232">
        <v>71</v>
      </c>
      <c r="D59" s="232" t="str">
        <f>VLOOKUP(Table4[[#This Row],[الكود]],'قاعدة بيانات  '!$K$3:$L$380,2,0)</f>
        <v>ندى محمد سعد محمد</v>
      </c>
      <c r="E59" s="19" t="str">
        <f>VLOOKUP(Table4[[#This Row],[الكود]],'قاعدة بيانات  '!$K$3:$N$380,4,0)</f>
        <v>وكيل تحصيل هاتفى</v>
      </c>
      <c r="F59" s="19"/>
      <c r="G59" s="232" t="s">
        <v>145</v>
      </c>
      <c r="H59" s="27">
        <v>1500</v>
      </c>
      <c r="I59" s="19"/>
      <c r="K59" s="85"/>
    </row>
    <row r="60" spans="1:11">
      <c r="A60" s="18">
        <v>45998</v>
      </c>
      <c r="B60" s="19" t="str">
        <f>TEXT(Table4[[#This Row],[التاريخ ]],"mmm")</f>
        <v>Dec</v>
      </c>
      <c r="C60" s="232">
        <v>723</v>
      </c>
      <c r="D60" s="232" t="str">
        <f>VLOOKUP(Table4[[#This Row],[الكود]],'قاعدة بيانات  '!$K$3:$L$380,2,0)</f>
        <v>هاجر عبدالنبي علي</v>
      </c>
      <c r="E60" s="19" t="str">
        <f>VLOOKUP(Table4[[#This Row],[الكود]],'قاعدة بيانات  '!$K$3:$N$380,4,0)</f>
        <v>وكيل تحصيل هاتفى</v>
      </c>
      <c r="F60" s="19"/>
      <c r="G60" s="232" t="s">
        <v>145</v>
      </c>
      <c r="H60" s="27">
        <v>3000</v>
      </c>
      <c r="I60" s="19"/>
      <c r="J60" s="120" t="s">
        <v>1639</v>
      </c>
      <c r="K60" s="85"/>
    </row>
    <row r="61" spans="1:11">
      <c r="A61" s="18">
        <v>45999</v>
      </c>
      <c r="B61" s="19" t="str">
        <f>TEXT(Table4[[#This Row],[التاريخ ]],"mmm")</f>
        <v>Dec</v>
      </c>
      <c r="C61" s="232">
        <v>527</v>
      </c>
      <c r="D61" s="232" t="str">
        <f>VLOOKUP(Table4[[#This Row],[الكود]],'قاعدة بيانات  '!$K$3:$L$380,2,0)</f>
        <v>محمد محمود حسين محمود</v>
      </c>
      <c r="E61" s="19" t="str">
        <f>VLOOKUP(Table4[[#This Row],[الكود]],'قاعدة بيانات  '!$K$3:$N$380,4,0)</f>
        <v>مشرف تحصيل</v>
      </c>
      <c r="F61" s="19"/>
      <c r="G61" s="232" t="s">
        <v>145</v>
      </c>
      <c r="H61" s="27">
        <v>1000</v>
      </c>
      <c r="I61" s="19"/>
      <c r="J61" s="120" t="s">
        <v>1648</v>
      </c>
      <c r="K61" s="85"/>
    </row>
    <row r="62" spans="1:11">
      <c r="A62" s="18">
        <v>46000</v>
      </c>
      <c r="B62" s="19" t="str">
        <f>TEXT(Table4[[#This Row],[التاريخ ]],"mmm")</f>
        <v>Dec</v>
      </c>
      <c r="C62" s="232">
        <v>544</v>
      </c>
      <c r="D62" s="232" t="str">
        <f>VLOOKUP(Table4[[#This Row],[الكود]],'قاعدة بيانات  '!$K$3:$L$380,2,0)</f>
        <v>احمد منصور سليم منصور سليم</v>
      </c>
      <c r="E62" s="19" t="str">
        <f>VLOOKUP(Table4[[#This Row],[الكود]],'قاعدة بيانات  '!$K$3:$N$380,4,0)</f>
        <v>الشئون القانونية</v>
      </c>
      <c r="F62" s="19"/>
      <c r="G62" s="232" t="s">
        <v>145</v>
      </c>
      <c r="H62" s="27">
        <v>2000</v>
      </c>
      <c r="I62" s="19"/>
      <c r="K62" s="85"/>
    </row>
    <row r="63" spans="1:11">
      <c r="A63" s="18">
        <v>46002</v>
      </c>
      <c r="B63" s="19" t="str">
        <f>TEXT(Table4[[#This Row],[التاريخ ]],"mmm")</f>
        <v>Dec</v>
      </c>
      <c r="C63" s="232">
        <v>803</v>
      </c>
      <c r="D63" s="232" t="str">
        <f>VLOOKUP(Table4[[#This Row],[الكود]],'قاعدة بيانات  '!$K$3:$L$380,2,0)</f>
        <v xml:space="preserve">نهي اسامه </v>
      </c>
      <c r="E63" s="19" t="str">
        <f>VLOOKUP(Table4[[#This Row],[الكود]],'قاعدة بيانات  '!$K$3:$N$380,4,0)</f>
        <v>كبير مشرفى تحصيل</v>
      </c>
      <c r="F63" s="19"/>
      <c r="G63" s="232" t="s">
        <v>145</v>
      </c>
      <c r="H63" s="27">
        <v>1000</v>
      </c>
      <c r="I63" s="19"/>
      <c r="K63" s="85"/>
    </row>
    <row r="64" spans="1:11">
      <c r="A64" s="18">
        <v>46002</v>
      </c>
      <c r="B64" s="19" t="str">
        <f>TEXT(Table4[[#This Row],[التاريخ ]],"mmm")</f>
        <v>Dec</v>
      </c>
      <c r="C64" s="232">
        <v>756</v>
      </c>
      <c r="D64" s="232" t="str">
        <f>VLOOKUP(Table4[[#This Row],[الكود]],'قاعدة بيانات  '!$K$3:$L$380,2,0)</f>
        <v xml:space="preserve">عبدالله هاني عبد المنعم عيد </v>
      </c>
      <c r="E64" s="19" t="str">
        <f>VLOOKUP(Table4[[#This Row],[الكود]],'قاعدة بيانات  '!$K$3:$N$380,4,0)</f>
        <v>وكيل تحصيل</v>
      </c>
      <c r="F64" s="19"/>
      <c r="G64" s="232" t="s">
        <v>145</v>
      </c>
      <c r="H64" s="27">
        <v>300</v>
      </c>
      <c r="I64" s="19"/>
      <c r="K64" s="85"/>
    </row>
    <row r="65" spans="1:11">
      <c r="A65" s="18">
        <v>46002</v>
      </c>
      <c r="B65" s="19" t="str">
        <f>TEXT(Table4[[#This Row],[التاريخ ]],"mmm")</f>
        <v>Dec</v>
      </c>
      <c r="C65" s="232">
        <v>731</v>
      </c>
      <c r="D65" s="232" t="str">
        <f>VLOOKUP(Table4[[#This Row],[الكود]],'قاعدة بيانات  '!$K$3:$L$380,2,0)</f>
        <v>يوسف تامر محمد</v>
      </c>
      <c r="E65" s="19" t="str">
        <f>VLOOKUP(Table4[[#This Row],[الكود]],'قاعدة بيانات  '!$K$3:$N$380,4,0)</f>
        <v>وكيل تحصيل</v>
      </c>
      <c r="F65" s="19" t="e">
        <f>VLOOKUP(C:C,'[11]قاعدة بيانات  '!K:Q,5,0)</f>
        <v>#N/A</v>
      </c>
      <c r="G65" s="232" t="s">
        <v>145</v>
      </c>
      <c r="H65" s="27">
        <v>300</v>
      </c>
      <c r="I65" s="19"/>
      <c r="K65" s="85"/>
    </row>
    <row r="66" spans="1:11">
      <c r="A66" s="18"/>
      <c r="B66" s="19" t="str">
        <f>TEXT(Table4[[#This Row],[التاريخ ]],"mmm")</f>
        <v>Jan</v>
      </c>
      <c r="C66" s="232"/>
      <c r="D66" s="232" t="e">
        <f>VLOOKUP(Table4[[#This Row],[الكود]],'قاعدة بيانات  '!$K$3:$L$380,2,0)</f>
        <v>#N/A</v>
      </c>
      <c r="E66" s="19" t="e">
        <f>VLOOKUP(Table4[[#This Row],[الكود]],'قاعدة بيانات  '!$K$3:$N$380,4,0)</f>
        <v>#N/A</v>
      </c>
      <c r="F66" s="19" t="e">
        <f>VLOOKUP(C:C,'[11]قاعدة بيانات  '!K:Q,5,0)</f>
        <v>#N/A</v>
      </c>
      <c r="G66" s="232" t="s">
        <v>145</v>
      </c>
      <c r="H66" s="27"/>
      <c r="I66" s="19"/>
      <c r="K66" s="85"/>
    </row>
    <row r="69" spans="1:11">
      <c r="A69" s="119" t="s">
        <v>35</v>
      </c>
      <c r="B69" s="119" t="s">
        <v>36</v>
      </c>
      <c r="C69" s="120" t="s">
        <v>42</v>
      </c>
    </row>
    <row r="70" spans="1:11">
      <c r="A70" s="120">
        <v>31</v>
      </c>
      <c r="B70" s="120" t="s">
        <v>221</v>
      </c>
      <c r="C70" s="359"/>
    </row>
    <row r="71" spans="1:11">
      <c r="A71" s="120">
        <v>45</v>
      </c>
      <c r="B71" s="120" t="s">
        <v>223</v>
      </c>
      <c r="C71" s="121">
        <v>1500</v>
      </c>
    </row>
    <row r="72" spans="1:11">
      <c r="A72" s="120">
        <v>54</v>
      </c>
      <c r="B72" s="120" t="s">
        <v>226</v>
      </c>
      <c r="C72" s="121">
        <v>0</v>
      </c>
    </row>
    <row r="73" spans="1:11">
      <c r="A73" s="120">
        <v>71</v>
      </c>
      <c r="B73" s="120" t="s">
        <v>497</v>
      </c>
      <c r="C73" s="121">
        <v>0</v>
      </c>
    </row>
    <row r="74" spans="1:11">
      <c r="A74" s="120">
        <v>266</v>
      </c>
      <c r="B74" s="120" t="s">
        <v>339</v>
      </c>
      <c r="C74" s="121">
        <v>150</v>
      </c>
    </row>
    <row r="75" spans="1:11">
      <c r="A75" s="120">
        <v>281</v>
      </c>
      <c r="B75" s="120" t="s">
        <v>344</v>
      </c>
      <c r="C75" s="121">
        <v>150</v>
      </c>
    </row>
    <row r="76" spans="1:11">
      <c r="A76" s="120">
        <v>284</v>
      </c>
      <c r="B76" s="120" t="s">
        <v>357</v>
      </c>
      <c r="C76" s="121">
        <v>0</v>
      </c>
    </row>
    <row r="77" spans="1:11">
      <c r="A77" s="120">
        <v>197</v>
      </c>
      <c r="B77" s="120" t="s">
        <v>241</v>
      </c>
      <c r="C77" s="121">
        <v>4000</v>
      </c>
    </row>
    <row r="78" spans="1:11">
      <c r="A78" s="120">
        <v>238</v>
      </c>
      <c r="B78" s="120" t="s">
        <v>248</v>
      </c>
      <c r="C78" s="121">
        <v>0</v>
      </c>
    </row>
    <row r="79" spans="1:11">
      <c r="A79" s="120">
        <v>119</v>
      </c>
      <c r="B79" s="120" t="s">
        <v>498</v>
      </c>
      <c r="C79" s="121">
        <v>3000</v>
      </c>
    </row>
    <row r="80" spans="1:11">
      <c r="A80" s="120">
        <v>239</v>
      </c>
      <c r="B80" s="120" t="s">
        <v>249</v>
      </c>
      <c r="C80" s="121">
        <v>0</v>
      </c>
    </row>
    <row r="81" spans="1:3">
      <c r="A81" s="120">
        <v>332</v>
      </c>
      <c r="B81" s="120" t="s">
        <v>387</v>
      </c>
      <c r="C81" s="121">
        <v>0</v>
      </c>
    </row>
    <row r="82" spans="1:3">
      <c r="A82" s="120">
        <v>339</v>
      </c>
      <c r="B82" s="120" t="s">
        <v>390</v>
      </c>
      <c r="C82" s="121">
        <v>2000</v>
      </c>
    </row>
    <row r="83" spans="1:3">
      <c r="A83" s="120">
        <v>340</v>
      </c>
      <c r="B83" s="120" t="s">
        <v>509</v>
      </c>
      <c r="C83" s="121">
        <v>0</v>
      </c>
    </row>
    <row r="84" spans="1:3">
      <c r="A84" s="120" t="s">
        <v>415</v>
      </c>
      <c r="B84" s="120" t="s">
        <v>416</v>
      </c>
      <c r="C84" s="121"/>
    </row>
    <row r="85" spans="1:3">
      <c r="A85" s="120">
        <v>512</v>
      </c>
      <c r="B85" s="120" t="s">
        <v>421</v>
      </c>
      <c r="C85" s="121">
        <v>0</v>
      </c>
    </row>
    <row r="86" spans="1:3">
      <c r="A86" s="120">
        <v>515</v>
      </c>
      <c r="B86" s="120" t="s">
        <v>456</v>
      </c>
      <c r="C86" s="121">
        <v>2200</v>
      </c>
    </row>
    <row r="87" spans="1:3">
      <c r="A87" s="120">
        <v>527</v>
      </c>
      <c r="B87" s="120" t="s">
        <v>465</v>
      </c>
      <c r="C87" s="121">
        <v>0</v>
      </c>
    </row>
    <row r="88" spans="1:3">
      <c r="A88" s="120">
        <v>574</v>
      </c>
      <c r="B88" s="120" t="s">
        <v>990</v>
      </c>
      <c r="C88" s="121">
        <v>1000</v>
      </c>
    </row>
    <row r="89" spans="1:3">
      <c r="A89" s="120">
        <v>544</v>
      </c>
      <c r="B89" s="120" t="s">
        <v>772</v>
      </c>
      <c r="C89" s="121">
        <v>0</v>
      </c>
    </row>
    <row r="90" spans="1:3">
      <c r="A90" s="120">
        <v>612</v>
      </c>
      <c r="B90" s="120" t="s">
        <v>1026</v>
      </c>
      <c r="C90" s="121"/>
    </row>
    <row r="91" spans="1:3">
      <c r="A91" s="120">
        <v>655</v>
      </c>
      <c r="B91" s="120" t="s">
        <v>1107</v>
      </c>
      <c r="C91" s="121">
        <v>0</v>
      </c>
    </row>
    <row r="92" spans="1:3">
      <c r="A92" s="120">
        <v>657</v>
      </c>
      <c r="B92" s="120" t="s">
        <v>1116</v>
      </c>
      <c r="C92" s="121">
        <v>500</v>
      </c>
    </row>
    <row r="93" spans="1:3">
      <c r="A93" s="120">
        <v>701</v>
      </c>
      <c r="B93" s="120" t="s">
        <v>1164</v>
      </c>
      <c r="C93" s="121">
        <v>1000</v>
      </c>
    </row>
    <row r="94" spans="1:3">
      <c r="A94" s="120">
        <v>621</v>
      </c>
      <c r="B94" s="120" t="s">
        <v>1302</v>
      </c>
      <c r="C94" s="121">
        <v>0</v>
      </c>
    </row>
    <row r="95" spans="1:3">
      <c r="A95" s="120">
        <v>707</v>
      </c>
      <c r="B95" s="120" t="s">
        <v>1249</v>
      </c>
      <c r="C95" s="121">
        <v>0</v>
      </c>
    </row>
    <row r="96" spans="1:3">
      <c r="A96" s="120">
        <v>731</v>
      </c>
      <c r="B96" s="120" t="s">
        <v>1247</v>
      </c>
      <c r="C96" s="121">
        <v>0</v>
      </c>
    </row>
    <row r="97" spans="1:3">
      <c r="A97" s="120">
        <v>744</v>
      </c>
      <c r="B97" s="120" t="s">
        <v>1303</v>
      </c>
      <c r="C97" s="121">
        <v>0</v>
      </c>
    </row>
    <row r="98" spans="1:3">
      <c r="A98" s="120">
        <v>749</v>
      </c>
      <c r="B98" s="120" t="s">
        <v>1417</v>
      </c>
      <c r="C98" s="121">
        <v>0</v>
      </c>
    </row>
    <row r="99" spans="1:3">
      <c r="A99" s="120">
        <v>747</v>
      </c>
      <c r="B99" s="120" t="s">
        <v>1292</v>
      </c>
      <c r="C99" s="121">
        <v>500</v>
      </c>
    </row>
    <row r="100" spans="1:3">
      <c r="A100" s="120">
        <v>594</v>
      </c>
      <c r="B100" s="120" t="s">
        <v>1467</v>
      </c>
      <c r="C100" s="121">
        <v>0</v>
      </c>
    </row>
    <row r="101" spans="1:3">
      <c r="A101" s="120">
        <v>774</v>
      </c>
      <c r="B101" s="120" t="s">
        <v>1414</v>
      </c>
      <c r="C101" s="121">
        <v>0</v>
      </c>
    </row>
    <row r="102" spans="1:3">
      <c r="A102" s="120">
        <v>756</v>
      </c>
      <c r="B102" s="120" t="s">
        <v>1401</v>
      </c>
      <c r="C102" s="121">
        <v>0</v>
      </c>
    </row>
    <row r="103" spans="1:3">
      <c r="A103" s="120">
        <v>705</v>
      </c>
      <c r="B103" s="120" t="s">
        <v>1173</v>
      </c>
      <c r="C103" s="121">
        <v>0</v>
      </c>
    </row>
    <row r="104" spans="1:3">
      <c r="A104" s="120">
        <v>702</v>
      </c>
      <c r="B104" s="120" t="s">
        <v>1478</v>
      </c>
      <c r="C104" s="121">
        <v>0</v>
      </c>
    </row>
    <row r="105" spans="1:3">
      <c r="A105" s="120">
        <v>759</v>
      </c>
      <c r="B105" s="120" t="s">
        <v>1347</v>
      </c>
      <c r="C105" s="121">
        <v>2330</v>
      </c>
    </row>
    <row r="106" spans="1:3">
      <c r="A106" s="120">
        <v>642</v>
      </c>
      <c r="B106" s="120" t="s">
        <v>1402</v>
      </c>
      <c r="C106" s="121">
        <v>0</v>
      </c>
    </row>
    <row r="107" spans="1:3">
      <c r="A107" s="120" t="s">
        <v>39</v>
      </c>
      <c r="C107" s="121">
        <v>18330</v>
      </c>
    </row>
  </sheetData>
  <phoneticPr fontId="14" type="noConversion"/>
  <dataValidations count="1">
    <dataValidation type="list" allowBlank="1" showInputMessage="1" showErrorMessage="1" sqref="G3:G66" xr:uid="{8783F9F6-AE42-4C33-990B-0AE6D5D0E3A6}">
      <formula1>$O$1:$O$2</formula1>
    </dataValidation>
  </dataValidations>
  <pageMargins left="0.7" right="0.7" top="0.75" bottom="0.75" header="0.3" footer="0.3"/>
  <pageSetup paperSize="9" scale="87" fitToHeight="0" orientation="landscape" r:id="rId2"/>
  <colBreaks count="1" manualBreakCount="1">
    <brk id="11" max="95" man="1"/>
  </colBreaks>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37EFD-B87A-4650-BA82-6DF9F5D9F88F}">
  <sheetPr codeName="Sheet3">
    <pageSetUpPr fitToPage="1"/>
  </sheetPr>
  <dimension ref="A1:Q150"/>
  <sheetViews>
    <sheetView rightToLeft="1" zoomScaleNormal="100" workbookViewId="0">
      <selection activeCell="A85" sqref="A85:XFD255"/>
    </sheetView>
  </sheetViews>
  <sheetFormatPr defaultRowHeight="15"/>
  <cols>
    <col min="1" max="1" width="11.5703125" bestFit="1" customWidth="1"/>
    <col min="2" max="2" width="7.42578125" bestFit="1" customWidth="1"/>
    <col min="3" max="3" width="53.5703125" bestFit="1" customWidth="1"/>
    <col min="4" max="4" width="28.7109375" bestFit="1" customWidth="1"/>
    <col min="5" max="5" width="28.42578125" bestFit="1" customWidth="1"/>
    <col min="6" max="6" width="12.42578125" bestFit="1" customWidth="1"/>
    <col min="7" max="7" width="11.7109375" bestFit="1" customWidth="1"/>
    <col min="8" max="8" width="9.85546875" bestFit="1" customWidth="1"/>
    <col min="9" max="9" width="18.140625" customWidth="1"/>
    <col min="10" max="10" width="15.42578125" bestFit="1" customWidth="1"/>
    <col min="11" max="11" width="17.7109375" style="1" bestFit="1" customWidth="1"/>
    <col min="12" max="12" width="48.5703125" customWidth="1"/>
    <col min="13" max="13" width="14" bestFit="1" customWidth="1"/>
    <col min="14" max="14" width="19.28515625" bestFit="1" customWidth="1"/>
    <col min="15" max="15" width="29" bestFit="1" customWidth="1"/>
    <col min="16" max="17" width="12.42578125" style="1" bestFit="1" customWidth="1"/>
  </cols>
  <sheetData>
    <row r="1" spans="1:17" ht="21.75" thickBot="1">
      <c r="I1" s="348">
        <f>SUM(Table47[[العهدة ]])</f>
        <v>591865.0499234111</v>
      </c>
      <c r="J1" s="79" t="s">
        <v>11</v>
      </c>
      <c r="K1" s="25">
        <f>SUBTOTAL(9,Table47[[العهدة ]])</f>
        <v>591865.0499234111</v>
      </c>
      <c r="L1" s="357"/>
      <c r="M1" s="253"/>
    </row>
    <row r="2" spans="1:17" s="35" customFormat="1" ht="45" customHeight="1">
      <c r="A2" s="174" t="s">
        <v>0</v>
      </c>
      <c r="B2" s="175" t="s">
        <v>1</v>
      </c>
      <c r="C2" s="175" t="s">
        <v>2</v>
      </c>
      <c r="D2" s="175" t="s">
        <v>3</v>
      </c>
      <c r="E2" s="175" t="s">
        <v>5</v>
      </c>
      <c r="F2" s="175" t="s">
        <v>8</v>
      </c>
      <c r="G2" s="34" t="s">
        <v>7</v>
      </c>
      <c r="H2" s="34" t="s">
        <v>4</v>
      </c>
      <c r="I2" s="175" t="s">
        <v>34</v>
      </c>
      <c r="J2" s="34" t="s">
        <v>49</v>
      </c>
      <c r="K2" s="176" t="s">
        <v>50</v>
      </c>
      <c r="L2" s="34" t="s">
        <v>12</v>
      </c>
      <c r="M2" s="34" t="s">
        <v>31</v>
      </c>
      <c r="P2" s="297"/>
      <c r="Q2" s="297"/>
    </row>
    <row r="3" spans="1:17">
      <c r="A3" s="177">
        <v>45997</v>
      </c>
      <c r="B3" s="204" t="str">
        <f>TEXT(Table47[[#This Row],[التاريخ ]],"mmm")</f>
        <v>Dec</v>
      </c>
      <c r="C3" s="204" t="s">
        <v>1635</v>
      </c>
      <c r="D3" s="204" t="str">
        <f>IFERROR(VLOOKUP(E:E,'قاعدة بيانات  '!K:L,2,0),"")</f>
        <v>باسم ناجى سعد ابرهيم خلف</v>
      </c>
      <c r="E3" s="204">
        <v>294</v>
      </c>
      <c r="F3" s="204"/>
      <c r="G3" s="204" t="s">
        <v>111</v>
      </c>
      <c r="H3" s="204"/>
      <c r="I3" s="204"/>
      <c r="J3" s="178" t="s">
        <v>194</v>
      </c>
      <c r="K3" s="235">
        <v>51088.06492341109</v>
      </c>
      <c r="L3" s="268"/>
      <c r="M3" s="286"/>
    </row>
    <row r="4" spans="1:17" ht="15.75" thickBot="1">
      <c r="A4" s="177">
        <v>45715</v>
      </c>
      <c r="B4" s="204" t="str">
        <f>TEXT(Table47[[#This Row],[التاريخ ]],"mmm")</f>
        <v>Feb</v>
      </c>
      <c r="C4" s="204" t="s">
        <v>393</v>
      </c>
      <c r="D4" s="204" t="str">
        <f>IFERROR(VLOOKUP(E:E,'قاعدة بيانات  '!K:L,2,0),"")</f>
        <v>عبد المنعم مجدى عبدربه محمد هلهل</v>
      </c>
      <c r="E4" s="204">
        <v>10</v>
      </c>
      <c r="F4" s="204"/>
      <c r="G4" s="204" t="s">
        <v>301</v>
      </c>
      <c r="H4" s="204"/>
      <c r="I4" s="204"/>
      <c r="J4" s="204" t="s">
        <v>194</v>
      </c>
      <c r="K4" s="179">
        <v>25000</v>
      </c>
      <c r="L4" s="299"/>
      <c r="M4" s="285"/>
      <c r="Q4"/>
    </row>
    <row r="5" spans="1:17" ht="15.75" thickBot="1">
      <c r="A5" s="177">
        <v>45796</v>
      </c>
      <c r="B5" s="204" t="str">
        <f>TEXT(Table47[[#This Row],[التاريخ ]],"mmm")</f>
        <v>May</v>
      </c>
      <c r="C5" s="204" t="s">
        <v>1080</v>
      </c>
      <c r="D5" s="204" t="str">
        <f>IFERROR(VLOOKUP(E:E,'قاعدة بيانات  '!K:L,2,0),"")</f>
        <v>احمد خالد زغلول إبراهيم</v>
      </c>
      <c r="E5" s="204">
        <v>759</v>
      </c>
      <c r="F5" s="204"/>
      <c r="G5" s="204" t="s">
        <v>301</v>
      </c>
      <c r="H5" s="204"/>
      <c r="I5" s="204"/>
      <c r="J5" s="204" t="s">
        <v>194</v>
      </c>
      <c r="K5" s="350">
        <f>[12]التقرير!$F$13</f>
        <v>49667.985000000001</v>
      </c>
      <c r="L5" s="307" t="s">
        <v>1374</v>
      </c>
      <c r="M5" s="285"/>
      <c r="Q5"/>
    </row>
    <row r="6" spans="1:17">
      <c r="A6" s="177">
        <v>45852</v>
      </c>
      <c r="B6" s="204" t="str">
        <f>TEXT(Table47[[#This Row],[التاريخ ]],"mmm")</f>
        <v>Jul</v>
      </c>
      <c r="C6" s="204" t="s">
        <v>1080</v>
      </c>
      <c r="D6" s="204" t="str">
        <f>IFERROR(VLOOKUP(E:E,'قاعدة بيانات  '!K:L,2,0),"")</f>
        <v>باسم ناجى سعد ابرهيم خلف</v>
      </c>
      <c r="E6" s="204">
        <v>294</v>
      </c>
      <c r="F6" s="204"/>
      <c r="G6" s="204" t="s">
        <v>301</v>
      </c>
      <c r="H6" s="204"/>
      <c r="I6" s="204"/>
      <c r="J6" s="204" t="s">
        <v>194</v>
      </c>
      <c r="K6" s="179">
        <v>20000</v>
      </c>
      <c r="L6" s="299"/>
      <c r="M6" s="285"/>
      <c r="Q6"/>
    </row>
    <row r="7" spans="1:17">
      <c r="A7" s="177">
        <v>45885</v>
      </c>
      <c r="B7" s="204" t="str">
        <f>TEXT(Table47[[#This Row],[التاريخ ]],"mmm")</f>
        <v>Aug</v>
      </c>
      <c r="C7" s="204" t="s">
        <v>1182</v>
      </c>
      <c r="D7" s="204" t="str">
        <f>IFERROR(VLOOKUP(E:E,'قاعدة بيانات  '!K:L,2,0),"")</f>
        <v>عمر عبد الرحيم إبراهيم</v>
      </c>
      <c r="E7" s="204">
        <v>695</v>
      </c>
      <c r="F7" s="204"/>
      <c r="G7" s="204" t="s">
        <v>768</v>
      </c>
      <c r="H7" s="204"/>
      <c r="I7" s="204"/>
      <c r="J7" s="204" t="s">
        <v>194</v>
      </c>
      <c r="K7" s="179">
        <v>1500</v>
      </c>
      <c r="L7" s="180" t="s">
        <v>1352</v>
      </c>
      <c r="M7" s="285"/>
      <c r="Q7"/>
    </row>
    <row r="8" spans="1:17">
      <c r="A8" s="177">
        <v>45887</v>
      </c>
      <c r="B8" s="204" t="str">
        <f>TEXT(Table47[[#This Row],[التاريخ ]],"mmm")</f>
        <v>Aug</v>
      </c>
      <c r="C8" s="204" t="s">
        <v>1182</v>
      </c>
      <c r="D8" s="204" t="str">
        <f>IFERROR(VLOOKUP(E:E,'قاعدة بيانات  '!K:L,2,0),"")</f>
        <v>عمر عبد الرحيم إبراهيم</v>
      </c>
      <c r="E8" s="204">
        <v>695</v>
      </c>
      <c r="F8" s="204"/>
      <c r="G8" s="204" t="s">
        <v>768</v>
      </c>
      <c r="H8" s="204"/>
      <c r="I8" s="204"/>
      <c r="J8" s="204" t="s">
        <v>194</v>
      </c>
      <c r="K8" s="179">
        <v>500</v>
      </c>
      <c r="L8" s="180" t="s">
        <v>1352</v>
      </c>
      <c r="M8" s="285"/>
      <c r="Q8"/>
    </row>
    <row r="9" spans="1:17">
      <c r="A9" s="177">
        <v>45903</v>
      </c>
      <c r="B9" s="204" t="str">
        <f>TEXT(Table47[[#This Row],[التاريخ ]],"mmm")</f>
        <v>Sep</v>
      </c>
      <c r="C9" s="204" t="s">
        <v>1365</v>
      </c>
      <c r="D9" s="204" t="s">
        <v>1289</v>
      </c>
      <c r="E9" s="204"/>
      <c r="F9" s="204"/>
      <c r="G9" s="204" t="s">
        <v>112</v>
      </c>
      <c r="H9" s="204"/>
      <c r="I9" s="204"/>
      <c r="J9" s="204" t="s">
        <v>194</v>
      </c>
      <c r="K9" s="179">
        <f>2500-1626.5</f>
        <v>873.5</v>
      </c>
      <c r="L9" s="180" t="s">
        <v>1438</v>
      </c>
      <c r="M9" s="285"/>
      <c r="Q9"/>
    </row>
    <row r="10" spans="1:17">
      <c r="A10" s="177">
        <v>45911</v>
      </c>
      <c r="B10" s="204" t="str">
        <f>TEXT(Table47[[#This Row],[التاريخ ]],"mmm")</f>
        <v>Sep</v>
      </c>
      <c r="C10" s="204" t="s">
        <v>1295</v>
      </c>
      <c r="D10" s="204" t="s">
        <v>1294</v>
      </c>
      <c r="E10" s="204"/>
      <c r="F10" s="204"/>
      <c r="G10" s="204" t="s">
        <v>301</v>
      </c>
      <c r="H10" s="204"/>
      <c r="I10" s="204"/>
      <c r="J10" s="204" t="s">
        <v>194</v>
      </c>
      <c r="K10" s="179">
        <v>5000</v>
      </c>
      <c r="L10" s="180" t="s">
        <v>1133</v>
      </c>
      <c r="M10" s="285"/>
      <c r="Q10"/>
    </row>
    <row r="11" spans="1:17">
      <c r="A11" s="177">
        <v>45934</v>
      </c>
      <c r="B11" s="204" t="str">
        <f>TEXT(Table47[[#This Row],[التاريخ ]],"mmm")</f>
        <v>Oct</v>
      </c>
      <c r="C11" s="204" t="s">
        <v>1348</v>
      </c>
      <c r="D11" s="204" t="str">
        <f>IFERROR(VLOOKUP(E:E,'قاعدة بيانات  '!K:L,2,0),"")</f>
        <v>عزيزه عبدالكريم حسين غنيم</v>
      </c>
      <c r="E11" s="204">
        <v>577</v>
      </c>
      <c r="F11" s="204" t="s">
        <v>1620</v>
      </c>
      <c r="G11" s="204" t="s">
        <v>112</v>
      </c>
      <c r="H11" s="204"/>
      <c r="I11" s="204"/>
      <c r="J11" s="204" t="s">
        <v>194</v>
      </c>
      <c r="K11" s="179">
        <f>15000+170.5+191-12419.5</f>
        <v>2942</v>
      </c>
      <c r="L11" s="301"/>
      <c r="M11" s="285"/>
      <c r="Q11"/>
    </row>
    <row r="12" spans="1:17">
      <c r="A12" s="177">
        <v>45952</v>
      </c>
      <c r="B12" s="204" t="str">
        <f>TEXT(Table47[[#This Row],[التاريخ ]],"mmm")</f>
        <v>Oct</v>
      </c>
      <c r="C12" s="204" t="s">
        <v>1583</v>
      </c>
      <c r="D12" s="204" t="str">
        <f>IFERROR(VLOOKUP(E:E,'قاعدة بيانات  '!K:L,2,0),"")</f>
        <v>يوسف تامر محمد</v>
      </c>
      <c r="E12" s="204">
        <v>731</v>
      </c>
      <c r="F12" s="204"/>
      <c r="G12" s="204" t="s">
        <v>1113</v>
      </c>
      <c r="H12" s="204"/>
      <c r="I12" s="204"/>
      <c r="J12" s="204" t="s">
        <v>194</v>
      </c>
      <c r="K12" s="179">
        <v>200</v>
      </c>
      <c r="L12" s="299"/>
      <c r="M12" s="285"/>
      <c r="P12"/>
      <c r="Q12"/>
    </row>
    <row r="13" spans="1:17">
      <c r="A13" s="177">
        <v>45952</v>
      </c>
      <c r="B13" s="204" t="str">
        <f>TEXT(Table47[[#This Row],[التاريخ ]],"mmm")</f>
        <v>Oct</v>
      </c>
      <c r="C13" s="204" t="s">
        <v>1415</v>
      </c>
      <c r="D13" s="204" t="str">
        <f>IFERROR(VLOOKUP(E:E,'قاعدة بيانات  '!K:L,2,0),"")</f>
        <v>احمد سعيد محمود</v>
      </c>
      <c r="E13" s="204">
        <v>774</v>
      </c>
      <c r="F13" s="204"/>
      <c r="G13" s="204" t="s">
        <v>1113</v>
      </c>
      <c r="H13" s="204"/>
      <c r="I13" s="204"/>
      <c r="J13" s="204" t="s">
        <v>194</v>
      </c>
      <c r="K13" s="179">
        <v>200</v>
      </c>
      <c r="L13" s="299"/>
      <c r="M13" s="285"/>
      <c r="P13"/>
      <c r="Q13"/>
    </row>
    <row r="14" spans="1:17">
      <c r="A14" s="177">
        <v>45953</v>
      </c>
      <c r="B14" s="204" t="str">
        <f>TEXT(Table47[[#This Row],[التاريخ ]],"mmm")</f>
        <v>Oct</v>
      </c>
      <c r="C14" s="204" t="s">
        <v>1416</v>
      </c>
      <c r="D14" s="204" t="str">
        <f>IFERROR(VLOOKUP(E:E,'قاعدة بيانات  '!K:L,2,0),"")</f>
        <v>احمد عبدالعزيز إبراهيم عبدالعزيز</v>
      </c>
      <c r="E14" s="204">
        <v>655</v>
      </c>
      <c r="F14" s="204"/>
      <c r="G14" s="204" t="s">
        <v>112</v>
      </c>
      <c r="H14" s="204"/>
      <c r="I14" s="204"/>
      <c r="J14" s="204" t="s">
        <v>194</v>
      </c>
      <c r="K14" s="179">
        <f>1500-292-711-111</f>
        <v>386</v>
      </c>
      <c r="L14" s="299" t="s">
        <v>1515</v>
      </c>
      <c r="M14" s="285"/>
      <c r="P14"/>
      <c r="Q14"/>
    </row>
    <row r="15" spans="1:17">
      <c r="A15" s="177">
        <v>45955</v>
      </c>
      <c r="B15" s="314" t="str">
        <f>TEXT(Table47[[#This Row],[التاريخ ]],"mmm")</f>
        <v>Oct</v>
      </c>
      <c r="C15" s="204" t="s">
        <v>1418</v>
      </c>
      <c r="D15" s="204" t="str">
        <f>IFERROR(VLOOKUP(E:E,'قاعدة بيانات  '!K:L,2,0),"")</f>
        <v>احمد عبدالعزيز إبراهيم عبدالعزيز</v>
      </c>
      <c r="E15" s="204">
        <v>655</v>
      </c>
      <c r="F15" s="204"/>
      <c r="G15" s="204" t="s">
        <v>112</v>
      </c>
      <c r="H15" s="204"/>
      <c r="I15" s="204"/>
      <c r="J15" s="204" t="s">
        <v>194</v>
      </c>
      <c r="K15" s="179">
        <v>500</v>
      </c>
      <c r="L15" s="180"/>
      <c r="M15" s="285"/>
      <c r="P15"/>
      <c r="Q15"/>
    </row>
    <row r="16" spans="1:17">
      <c r="A16" s="177">
        <v>45955</v>
      </c>
      <c r="B16" s="314" t="str">
        <f>TEXT(Table47[[#This Row],[التاريخ ]],"mmm")</f>
        <v>Oct</v>
      </c>
      <c r="C16" s="204" t="s">
        <v>1419</v>
      </c>
      <c r="D16" s="204" t="s">
        <v>1294</v>
      </c>
      <c r="E16" s="204"/>
      <c r="F16" s="204"/>
      <c r="G16" s="204" t="s">
        <v>301</v>
      </c>
      <c r="H16" s="204"/>
      <c r="I16" s="204"/>
      <c r="J16" s="204" t="s">
        <v>194</v>
      </c>
      <c r="K16" s="179">
        <v>5000</v>
      </c>
      <c r="L16" s="180" t="s">
        <v>1133</v>
      </c>
      <c r="M16" s="285"/>
      <c r="O16" s="80"/>
      <c r="P16"/>
      <c r="Q16"/>
    </row>
    <row r="17" spans="1:17">
      <c r="A17" s="177">
        <v>45957</v>
      </c>
      <c r="B17" s="314" t="str">
        <f>TEXT(Table47[[#This Row],[التاريخ ]],"mmm")</f>
        <v>Oct</v>
      </c>
      <c r="C17" s="204" t="s">
        <v>1418</v>
      </c>
      <c r="D17" s="204" t="str">
        <f>IFERROR(VLOOKUP(E:E,'قاعدة بيانات  '!K:L,2,0),"")</f>
        <v>احمد عبدالعزيز إبراهيم عبدالعزيز</v>
      </c>
      <c r="E17" s="204">
        <v>655</v>
      </c>
      <c r="F17" s="204"/>
      <c r="G17" s="204" t="s">
        <v>112</v>
      </c>
      <c r="H17" s="204"/>
      <c r="I17" s="204"/>
      <c r="J17" s="204" t="s">
        <v>194</v>
      </c>
      <c r="K17" s="179">
        <v>1000</v>
      </c>
      <c r="L17" s="180"/>
      <c r="M17" s="285"/>
      <c r="P17"/>
      <c r="Q17"/>
    </row>
    <row r="18" spans="1:17">
      <c r="A18" s="177">
        <v>45957</v>
      </c>
      <c r="B18" s="314" t="str">
        <f>TEXT(Table47[[#This Row],[التاريخ ]],"mmm")</f>
        <v>Oct</v>
      </c>
      <c r="C18" s="204"/>
      <c r="D18" s="204" t="str">
        <f>IFERROR(VLOOKUP(E:E,'قاعدة بيانات  '!K:L,2,0),"")</f>
        <v>وليد عبد الكريم عبد العليم</v>
      </c>
      <c r="E18" s="204">
        <v>4</v>
      </c>
      <c r="F18" s="204"/>
      <c r="G18" s="204" t="s">
        <v>301</v>
      </c>
      <c r="H18" s="204"/>
      <c r="I18" s="204"/>
      <c r="J18" s="204" t="s">
        <v>194</v>
      </c>
      <c r="K18" s="179">
        <v>566</v>
      </c>
      <c r="L18" s="180"/>
      <c r="M18" s="285"/>
      <c r="P18"/>
      <c r="Q18"/>
    </row>
    <row r="19" spans="1:17">
      <c r="A19" s="177">
        <v>45959</v>
      </c>
      <c r="B19" s="204" t="str">
        <f>TEXT(Table47[[#This Row],[التاريخ ]],"mmm")</f>
        <v>Oct</v>
      </c>
      <c r="C19" s="204" t="s">
        <v>1350</v>
      </c>
      <c r="D19" s="204" t="str">
        <f>IFERROR(VLOOKUP(E:E,'قاعدة بيانات  '!K:L,2,0),"")</f>
        <v>احمد عبدالعزيز إبراهيم عبدالعزيز</v>
      </c>
      <c r="E19" s="204">
        <v>655</v>
      </c>
      <c r="F19" s="204"/>
      <c r="G19" s="204" t="s">
        <v>112</v>
      </c>
      <c r="H19" s="204"/>
      <c r="I19" s="204"/>
      <c r="J19" s="204" t="s">
        <v>194</v>
      </c>
      <c r="K19" s="179">
        <v>200</v>
      </c>
      <c r="L19" s="180"/>
      <c r="M19" s="285"/>
      <c r="P19"/>
    </row>
    <row r="20" spans="1:17">
      <c r="A20" s="177">
        <v>45960</v>
      </c>
      <c r="B20" s="204" t="str">
        <f>TEXT(Table47[[#This Row],[التاريخ ]],"mmm")</f>
        <v>Oct</v>
      </c>
      <c r="C20" s="204" t="s">
        <v>1459</v>
      </c>
      <c r="D20" s="204" t="str">
        <f>IFERROR(VLOOKUP(E:E,'قاعدة بيانات  '!K:L,2,0),"")</f>
        <v>احمد عبدالعزيز إبراهيم عبدالعزيز</v>
      </c>
      <c r="E20" s="204">
        <v>655</v>
      </c>
      <c r="F20" s="204"/>
      <c r="G20" s="204" t="s">
        <v>112</v>
      </c>
      <c r="H20" s="204"/>
      <c r="I20" s="204"/>
      <c r="J20" s="204" t="s">
        <v>194</v>
      </c>
      <c r="K20" s="179">
        <v>1000</v>
      </c>
      <c r="L20" s="180" t="s">
        <v>1460</v>
      </c>
      <c r="M20" s="285"/>
      <c r="P20"/>
      <c r="Q20"/>
    </row>
    <row r="21" spans="1:17">
      <c r="A21" s="177">
        <v>45963</v>
      </c>
      <c r="B21" s="204" t="str">
        <f>TEXT(Table47[[#This Row],[التاريخ ]],"mmm")</f>
        <v>Nov</v>
      </c>
      <c r="C21" s="204" t="s">
        <v>1496</v>
      </c>
      <c r="D21" s="204" t="str">
        <f>IFERROR(VLOOKUP(E:E,'قاعدة بيانات  '!K:L,2,0),"")</f>
        <v>احمد عبدالعزيز إبراهيم عبدالعزيز</v>
      </c>
      <c r="E21" s="204">
        <v>655</v>
      </c>
      <c r="F21" s="204"/>
      <c r="G21" s="204" t="s">
        <v>112</v>
      </c>
      <c r="H21" s="204"/>
      <c r="I21" s="204"/>
      <c r="J21" s="204" t="s">
        <v>194</v>
      </c>
      <c r="K21" s="179">
        <v>1000</v>
      </c>
      <c r="L21" s="299"/>
      <c r="M21" s="285"/>
      <c r="P21"/>
    </row>
    <row r="22" spans="1:17">
      <c r="A22" s="177">
        <v>45964</v>
      </c>
      <c r="B22" s="204" t="str">
        <f>TEXT(Table47[[#This Row],[التاريخ ]],"mmm")</f>
        <v>Nov</v>
      </c>
      <c r="C22" s="204" t="s">
        <v>1440</v>
      </c>
      <c r="D22" s="204" t="str">
        <f>IFERROR(VLOOKUP(E:E,'قاعدة بيانات  '!K:L,2,0),"")</f>
        <v>احمد عبدالعزيز إبراهيم عبدالعزيز</v>
      </c>
      <c r="E22" s="204">
        <v>655</v>
      </c>
      <c r="F22" s="204"/>
      <c r="G22" s="204" t="s">
        <v>112</v>
      </c>
      <c r="H22" s="204"/>
      <c r="I22" s="204"/>
      <c r="J22" s="204" t="s">
        <v>194</v>
      </c>
      <c r="K22" s="179">
        <v>800</v>
      </c>
      <c r="L22" s="299"/>
      <c r="M22" s="285"/>
      <c r="P22"/>
    </row>
    <row r="23" spans="1:17">
      <c r="A23" s="177">
        <v>45967</v>
      </c>
      <c r="B23" s="204" t="str">
        <f>TEXT(Table47[[#This Row],[التاريخ ]],"mmm")</f>
        <v>Nov</v>
      </c>
      <c r="C23" s="204" t="s">
        <v>1440</v>
      </c>
      <c r="D23" s="204" t="str">
        <f>IFERROR(VLOOKUP(E:E,'قاعدة بيانات  '!K:L,2,0),"")</f>
        <v>كريم خالد محمد محمود</v>
      </c>
      <c r="E23" s="204">
        <v>675</v>
      </c>
      <c r="F23" s="204"/>
      <c r="G23" s="204" t="s">
        <v>112</v>
      </c>
      <c r="H23" s="204"/>
      <c r="I23" s="204"/>
      <c r="J23" s="204" t="s">
        <v>194</v>
      </c>
      <c r="K23" s="179">
        <f>200-11.5</f>
        <v>188.5</v>
      </c>
      <c r="L23" s="180" t="s">
        <v>1504</v>
      </c>
      <c r="M23" s="285"/>
      <c r="P23"/>
    </row>
    <row r="24" spans="1:17">
      <c r="A24" s="177">
        <v>45971</v>
      </c>
      <c r="B24" s="204" t="str">
        <f>TEXT(Table47[[#This Row],[التاريخ ]],"mmm")</f>
        <v>Nov</v>
      </c>
      <c r="C24" s="204" t="s">
        <v>1512</v>
      </c>
      <c r="D24" s="204" t="str">
        <f>IFERROR(VLOOKUP(E:E,'قاعدة بيانات  '!K:L,2,0),"")</f>
        <v>عزيزه عبدالكريم حسين غنيم</v>
      </c>
      <c r="E24" s="204">
        <v>577</v>
      </c>
      <c r="F24" s="204" t="s">
        <v>1620</v>
      </c>
      <c r="G24" s="204" t="s">
        <v>112</v>
      </c>
      <c r="H24" s="204"/>
      <c r="I24" s="204"/>
      <c r="J24" s="204" t="s">
        <v>194</v>
      </c>
      <c r="K24" s="179">
        <v>6000</v>
      </c>
      <c r="L24" s="180" t="s">
        <v>1511</v>
      </c>
      <c r="M24" s="285"/>
      <c r="P24"/>
    </row>
    <row r="25" spans="1:17">
      <c r="A25" s="177">
        <v>45971</v>
      </c>
      <c r="B25" s="204" t="str">
        <f>TEXT(Table47[[#This Row],[التاريخ ]],"mmm")</f>
        <v>Nov</v>
      </c>
      <c r="C25" s="204" t="s">
        <v>1512</v>
      </c>
      <c r="D25" s="204" t="str">
        <f>IFERROR(VLOOKUP(E:E,'قاعدة بيانات  '!K:L,2,0),"")</f>
        <v>عزيزه عبدالكريم حسين غنيم</v>
      </c>
      <c r="E25" s="204">
        <v>577</v>
      </c>
      <c r="F25" s="204" t="s">
        <v>1620</v>
      </c>
      <c r="G25" s="204" t="s">
        <v>112</v>
      </c>
      <c r="H25" s="204"/>
      <c r="I25" s="204"/>
      <c r="J25" s="204" t="s">
        <v>194</v>
      </c>
      <c r="K25" s="179">
        <v>6000</v>
      </c>
      <c r="L25" s="180" t="s">
        <v>1511</v>
      </c>
      <c r="M25" s="285"/>
      <c r="P25"/>
    </row>
    <row r="26" spans="1:17">
      <c r="A26" s="177">
        <v>45970</v>
      </c>
      <c r="B26" s="204" t="str">
        <f>TEXT(Table47[[#This Row],[التاريخ ]],"mmm")</f>
        <v>Nov</v>
      </c>
      <c r="C26" s="204" t="s">
        <v>1509</v>
      </c>
      <c r="D26" s="204" t="str">
        <f>IFERROR(VLOOKUP(E:E,'قاعدة بيانات  '!K:L,2,0),"")</f>
        <v>اسامه محمد احمد عبد الحميد</v>
      </c>
      <c r="E26" s="204">
        <v>492</v>
      </c>
      <c r="F26" s="204"/>
      <c r="G26" s="204" t="s">
        <v>112</v>
      </c>
      <c r="H26" s="204"/>
      <c r="I26" s="204"/>
      <c r="J26" s="204" t="s">
        <v>194</v>
      </c>
      <c r="K26" s="179">
        <v>1000</v>
      </c>
      <c r="L26" s="180"/>
      <c r="M26" s="285"/>
      <c r="P26"/>
    </row>
    <row r="27" spans="1:17">
      <c r="A27" s="177">
        <v>45970</v>
      </c>
      <c r="B27" s="204" t="str">
        <f>TEXT(Table47[[#This Row],[التاريخ ]],"mmm")</f>
        <v>Nov</v>
      </c>
      <c r="C27" s="204" t="s">
        <v>1508</v>
      </c>
      <c r="D27" s="204" t="str">
        <f>IFERROR(VLOOKUP(E:E,'قاعدة بيانات  '!K:L,2,0),"")</f>
        <v>اسامه محمد احمد عبد الحميد</v>
      </c>
      <c r="E27" s="204">
        <v>492</v>
      </c>
      <c r="F27" s="204"/>
      <c r="G27" s="204" t="s">
        <v>112</v>
      </c>
      <c r="H27" s="204"/>
      <c r="I27" s="204"/>
      <c r="J27" s="204" t="s">
        <v>194</v>
      </c>
      <c r="K27" s="179">
        <v>1600</v>
      </c>
      <c r="L27" s="180"/>
      <c r="M27" s="285"/>
      <c r="P27"/>
    </row>
    <row r="28" spans="1:17">
      <c r="A28" s="177">
        <v>45972</v>
      </c>
      <c r="B28" s="204" t="str">
        <f>TEXT(Table47[[#This Row],[التاريخ ]],"mmm")</f>
        <v>Nov</v>
      </c>
      <c r="C28" s="204" t="s">
        <v>1513</v>
      </c>
      <c r="D28" s="204" t="str">
        <f>IFERROR(VLOOKUP(E:E,'قاعدة بيانات  '!K:L,2,0),"")</f>
        <v>علاء محمد عوض جاد الله</v>
      </c>
      <c r="E28" s="204">
        <v>2</v>
      </c>
      <c r="F28" s="204"/>
      <c r="G28" s="204" t="s">
        <v>111</v>
      </c>
      <c r="H28" s="204"/>
      <c r="I28" s="204"/>
      <c r="J28" s="204" t="s">
        <v>194</v>
      </c>
      <c r="K28" s="179">
        <v>1000</v>
      </c>
      <c r="L28" s="180"/>
      <c r="M28" s="285"/>
    </row>
    <row r="29" spans="1:17">
      <c r="A29" s="177">
        <v>45972</v>
      </c>
      <c r="B29" s="204" t="str">
        <f>TEXT(Table47[[#This Row],[التاريخ ]],"mmm")</f>
        <v>Nov</v>
      </c>
      <c r="C29" s="204" t="s">
        <v>1370</v>
      </c>
      <c r="D29" s="204" t="str">
        <f>IFERROR(VLOOKUP(E:E,'قاعدة بيانات  '!K:L,2,0),"")</f>
        <v>عبد المنعم مجدى عبدربه محمد هلهل</v>
      </c>
      <c r="E29" s="204">
        <v>10</v>
      </c>
      <c r="F29" s="204"/>
      <c r="G29" s="204" t="s">
        <v>301</v>
      </c>
      <c r="H29" s="204"/>
      <c r="I29" s="204"/>
      <c r="J29" s="204" t="s">
        <v>194</v>
      </c>
      <c r="K29" s="179">
        <v>7500</v>
      </c>
      <c r="L29" s="299" t="s">
        <v>1516</v>
      </c>
      <c r="M29" s="285"/>
    </row>
    <row r="30" spans="1:17">
      <c r="A30" s="177">
        <v>45972</v>
      </c>
      <c r="B30" s="204" t="str">
        <f>TEXT(Table47[[#This Row],[التاريخ ]],"mmm")</f>
        <v>Nov</v>
      </c>
      <c r="C30" s="204" t="s">
        <v>1517</v>
      </c>
      <c r="D30" s="204" t="str">
        <f>IFERROR(VLOOKUP(E:E,'قاعدة بيانات  '!K:L,2,0),"")</f>
        <v>احمد عبدالعزيز إبراهيم عبدالعزيز</v>
      </c>
      <c r="E30" s="204">
        <v>655</v>
      </c>
      <c r="F30" s="204"/>
      <c r="G30" s="204" t="s">
        <v>112</v>
      </c>
      <c r="H30" s="204"/>
      <c r="I30" s="204"/>
      <c r="J30" s="204" t="s">
        <v>194</v>
      </c>
      <c r="K30" s="179">
        <v>800</v>
      </c>
      <c r="L30" s="180"/>
      <c r="M30" s="285"/>
    </row>
    <row r="31" spans="1:17">
      <c r="A31" s="177">
        <v>45974</v>
      </c>
      <c r="B31" s="204" t="str">
        <f>TEXT(Table47[[#This Row],[التاريخ ]],"mmm")</f>
        <v>Nov</v>
      </c>
      <c r="C31" s="204" t="s">
        <v>1534</v>
      </c>
      <c r="D31" s="204" t="str">
        <f>IFERROR(VLOOKUP(E:E,'قاعدة بيانات  '!K:L,2,0),"")</f>
        <v>كريم خالد محمد محمود</v>
      </c>
      <c r="E31" s="204">
        <v>675</v>
      </c>
      <c r="F31" s="204"/>
      <c r="G31" s="204" t="s">
        <v>112</v>
      </c>
      <c r="H31" s="204"/>
      <c r="I31" s="204"/>
      <c r="J31" s="204" t="s">
        <v>194</v>
      </c>
      <c r="K31" s="179">
        <v>300</v>
      </c>
      <c r="L31" s="180"/>
      <c r="M31" s="285"/>
    </row>
    <row r="32" spans="1:17">
      <c r="A32" s="177">
        <v>45974</v>
      </c>
      <c r="B32" s="204" t="str">
        <f>TEXT(Table47[[#This Row],[التاريخ ]],"mmm")</f>
        <v>Nov</v>
      </c>
      <c r="C32" s="204" t="s">
        <v>1535</v>
      </c>
      <c r="D32" s="204" t="str">
        <f>IFERROR(VLOOKUP(E:E,'قاعدة بيانات  '!K:L,2,0),"")</f>
        <v>الهام حسن عبدالمولي</v>
      </c>
      <c r="E32" s="204">
        <v>744</v>
      </c>
      <c r="F32" s="204"/>
      <c r="G32" s="204" t="s">
        <v>112</v>
      </c>
      <c r="H32" s="204"/>
      <c r="I32" s="204"/>
      <c r="J32" s="204" t="s">
        <v>194</v>
      </c>
      <c r="K32" s="179">
        <f>5500-2030</f>
        <v>3470</v>
      </c>
      <c r="L32" s="180"/>
      <c r="M32" s="285"/>
    </row>
    <row r="33" spans="1:13">
      <c r="A33" s="177">
        <v>45976</v>
      </c>
      <c r="B33" s="204" t="str">
        <f>TEXT(Table47[[#This Row],[التاريخ ]],"mmm")</f>
        <v>Nov</v>
      </c>
      <c r="C33" s="204" t="s">
        <v>1536</v>
      </c>
      <c r="D33" s="204" t="str">
        <f>IFERROR(VLOOKUP(E:E,'قاعدة بيانات  '!K:L,2,0),"")</f>
        <v>وليد عبد الكريم عبد العليم</v>
      </c>
      <c r="E33" s="204">
        <v>4</v>
      </c>
      <c r="F33" s="204"/>
      <c r="G33" s="204" t="s">
        <v>301</v>
      </c>
      <c r="H33" s="204"/>
      <c r="I33" s="204"/>
      <c r="J33" s="204" t="s">
        <v>194</v>
      </c>
      <c r="K33" s="179">
        <v>2000</v>
      </c>
      <c r="L33" s="180"/>
      <c r="M33" s="285"/>
    </row>
    <row r="34" spans="1:13">
      <c r="A34" s="177">
        <v>45976</v>
      </c>
      <c r="B34" s="204" t="str">
        <f>TEXT(Table47[[#This Row],[التاريخ ]],"mmm")</f>
        <v>Nov</v>
      </c>
      <c r="C34" s="204" t="s">
        <v>1537</v>
      </c>
      <c r="D34" s="204" t="s">
        <v>1294</v>
      </c>
      <c r="E34" s="204"/>
      <c r="F34" s="204"/>
      <c r="G34" s="204" t="s">
        <v>301</v>
      </c>
      <c r="H34" s="204"/>
      <c r="I34" s="204"/>
      <c r="J34" s="204" t="s">
        <v>194</v>
      </c>
      <c r="K34" s="179">
        <f>2000+3000</f>
        <v>5000</v>
      </c>
      <c r="L34" s="180" t="s">
        <v>1133</v>
      </c>
      <c r="M34" s="285"/>
    </row>
    <row r="35" spans="1:13">
      <c r="A35" s="177">
        <v>45978</v>
      </c>
      <c r="B35" s="204" t="str">
        <f>TEXT(Table47[[#This Row],[التاريخ ]],"mmm")</f>
        <v>Nov</v>
      </c>
      <c r="C35" s="204" t="s">
        <v>1350</v>
      </c>
      <c r="D35" s="204" t="str">
        <f>IFERROR(VLOOKUP(E:E,'قاعدة بيانات  '!K:L,2,0),"")</f>
        <v>احمد محمد حسنى</v>
      </c>
      <c r="E35" s="204">
        <v>612</v>
      </c>
      <c r="F35" s="204"/>
      <c r="G35" s="204" t="s">
        <v>112</v>
      </c>
      <c r="H35" s="204"/>
      <c r="I35" s="204"/>
      <c r="J35" s="204" t="s">
        <v>194</v>
      </c>
      <c r="K35" s="179">
        <f>1500-1083</f>
        <v>417</v>
      </c>
      <c r="L35" s="180"/>
      <c r="M35" s="285"/>
    </row>
    <row r="36" spans="1:13">
      <c r="A36" s="177">
        <v>45980</v>
      </c>
      <c r="B36" s="204" t="str">
        <f>TEXT(Table47[[#This Row],[التاريخ ]],"mmm")</f>
        <v>Nov</v>
      </c>
      <c r="C36" s="204" t="s">
        <v>1372</v>
      </c>
      <c r="D36" s="204" t="str">
        <f>IFERROR(VLOOKUP(E:E,'قاعدة بيانات  '!K:L,2,0),"")</f>
        <v>احمد عبدالعزيز إبراهيم عبدالعزيز</v>
      </c>
      <c r="E36" s="204">
        <v>655</v>
      </c>
      <c r="F36" s="204"/>
      <c r="G36" s="204" t="s">
        <v>112</v>
      </c>
      <c r="H36" s="204"/>
      <c r="I36" s="204"/>
      <c r="J36" s="204" t="s">
        <v>194</v>
      </c>
      <c r="K36" s="179">
        <v>200</v>
      </c>
      <c r="L36" s="180"/>
      <c r="M36" s="285"/>
    </row>
    <row r="37" spans="1:13">
      <c r="A37" s="177">
        <v>45981</v>
      </c>
      <c r="B37" s="204" t="str">
        <f>TEXT(Table47[[#This Row],[التاريخ ]],"mmm")</f>
        <v>Nov</v>
      </c>
      <c r="C37" s="204" t="s">
        <v>1562</v>
      </c>
      <c r="D37" s="204" t="str">
        <f>IFERROR(VLOOKUP(E:E,'قاعدة بيانات  '!K:L,2,0),"")</f>
        <v>كريم خالد محمد محمود</v>
      </c>
      <c r="E37" s="204">
        <v>675</v>
      </c>
      <c r="F37" s="204"/>
      <c r="G37" s="204" t="s">
        <v>112</v>
      </c>
      <c r="H37" s="204"/>
      <c r="I37" s="204"/>
      <c r="J37" s="204" t="s">
        <v>194</v>
      </c>
      <c r="K37" s="179">
        <v>2500</v>
      </c>
      <c r="L37" s="180"/>
      <c r="M37" s="285"/>
    </row>
    <row r="38" spans="1:13">
      <c r="A38" s="177">
        <v>45981</v>
      </c>
      <c r="B38" s="204" t="str">
        <f>TEXT(Table47[[#This Row],[التاريخ ]],"mmm")</f>
        <v>Nov</v>
      </c>
      <c r="C38" s="204" t="s">
        <v>1563</v>
      </c>
      <c r="D38" s="204" t="str">
        <f>IFERROR(VLOOKUP(E:E,'قاعدة بيانات  '!K:L,2,0),"")</f>
        <v>احمد منصور سليم منصور سليم</v>
      </c>
      <c r="E38" s="204">
        <v>544</v>
      </c>
      <c r="F38" s="204"/>
      <c r="G38" s="204" t="s">
        <v>112</v>
      </c>
      <c r="H38" s="204"/>
      <c r="I38" s="204"/>
      <c r="J38" s="204" t="s">
        <v>194</v>
      </c>
      <c r="K38" s="179">
        <v>500</v>
      </c>
      <c r="L38" s="180"/>
      <c r="M38" s="285"/>
    </row>
    <row r="39" spans="1:13">
      <c r="A39" s="177">
        <v>45981</v>
      </c>
      <c r="B39" s="204" t="str">
        <f>TEXT(Table47[[#This Row],[التاريخ ]],"mmm")</f>
        <v>Nov</v>
      </c>
      <c r="C39" s="204" t="s">
        <v>1440</v>
      </c>
      <c r="D39" s="204" t="str">
        <f>IFERROR(VLOOKUP(E:E,'قاعدة بيانات  '!K:L,2,0),"")</f>
        <v>اسامه محمد احمد عبد الحميد</v>
      </c>
      <c r="E39" s="204">
        <v>492</v>
      </c>
      <c r="F39" s="204"/>
      <c r="G39" s="204" t="s">
        <v>112</v>
      </c>
      <c r="H39" s="204"/>
      <c r="I39" s="204"/>
      <c r="J39" s="204" t="s">
        <v>194</v>
      </c>
      <c r="K39" s="179">
        <v>500</v>
      </c>
      <c r="L39" s="180"/>
      <c r="M39" s="285"/>
    </row>
    <row r="40" spans="1:13">
      <c r="A40" s="177">
        <v>45981</v>
      </c>
      <c r="B40" s="204" t="str">
        <f>TEXT(Table47[[#This Row],[التاريخ ]],"mmm")</f>
        <v>Nov</v>
      </c>
      <c r="C40" s="204"/>
      <c r="D40" s="204" t="str">
        <f>IFERROR(VLOOKUP(E:E,'قاعدة بيانات  '!K:L,2,0),"")</f>
        <v>احمد عبدالعزيز إبراهيم عبدالعزيز</v>
      </c>
      <c r="E40" s="204">
        <v>655</v>
      </c>
      <c r="F40" s="204"/>
      <c r="G40" s="204" t="s">
        <v>112</v>
      </c>
      <c r="H40" s="204"/>
      <c r="I40" s="204"/>
      <c r="J40" s="204" t="s">
        <v>194</v>
      </c>
      <c r="K40" s="179">
        <v>500</v>
      </c>
      <c r="L40" s="180"/>
      <c r="M40" s="285"/>
    </row>
    <row r="41" spans="1:13">
      <c r="A41" s="177">
        <v>45982</v>
      </c>
      <c r="B41" s="204" t="str">
        <f>TEXT(Table47[[#This Row],[التاريخ ]],"mmm")</f>
        <v>Nov</v>
      </c>
      <c r="C41" s="204" t="s">
        <v>1564</v>
      </c>
      <c r="D41" s="204" t="str">
        <f>IFERROR(VLOOKUP(E:E,'قاعدة بيانات  '!K:L,2,0),"")</f>
        <v>محمد عبدالمنعم عبدالحليم إبراهيم</v>
      </c>
      <c r="E41" s="204">
        <v>515</v>
      </c>
      <c r="F41" s="204"/>
      <c r="G41" s="204" t="s">
        <v>1598</v>
      </c>
      <c r="H41" s="204"/>
      <c r="I41" s="204"/>
      <c r="J41" s="204" t="s">
        <v>194</v>
      </c>
      <c r="K41" s="179">
        <v>300</v>
      </c>
      <c r="L41" s="180"/>
      <c r="M41" s="285"/>
    </row>
    <row r="42" spans="1:13">
      <c r="A42" s="177">
        <v>45982</v>
      </c>
      <c r="B42" s="204" t="str">
        <f>TEXT(Table47[[#This Row],[التاريخ ]],"mmm")</f>
        <v>Nov</v>
      </c>
      <c r="C42" s="204" t="s">
        <v>1553</v>
      </c>
      <c r="D42" s="204" t="str">
        <f>IFERROR(VLOOKUP(E:E,'قاعدة بيانات  '!K:L,2,0),"")</f>
        <v>محمد عبدالمنعم عبدالحليم إبراهيم</v>
      </c>
      <c r="E42" s="204">
        <v>515</v>
      </c>
      <c r="F42" s="204"/>
      <c r="G42" s="204" t="s">
        <v>1598</v>
      </c>
      <c r="H42" s="204"/>
      <c r="I42" s="204"/>
      <c r="J42" s="204" t="s">
        <v>194</v>
      </c>
      <c r="K42" s="179">
        <v>500</v>
      </c>
      <c r="L42" s="180"/>
      <c r="M42" s="285"/>
    </row>
    <row r="43" spans="1:13">
      <c r="A43" s="177">
        <v>45983</v>
      </c>
      <c r="B43" s="204" t="str">
        <f>TEXT(Table47[[#This Row],[التاريخ ]],"mmm")</f>
        <v>Nov</v>
      </c>
      <c r="C43" s="204" t="s">
        <v>1415</v>
      </c>
      <c r="D43" s="204" t="str">
        <f>IFERROR(VLOOKUP(E:E,'قاعدة بيانات  '!K:L,2,0),"")</f>
        <v xml:space="preserve">عبدالله هاني عبد المنعم عيد </v>
      </c>
      <c r="E43" s="204">
        <v>756</v>
      </c>
      <c r="F43" s="204"/>
      <c r="G43" s="204" t="s">
        <v>1113</v>
      </c>
      <c r="H43" s="204"/>
      <c r="I43" s="204"/>
      <c r="J43" s="204" t="s">
        <v>194</v>
      </c>
      <c r="K43" s="179">
        <v>150</v>
      </c>
      <c r="L43" s="180"/>
      <c r="M43" s="285"/>
    </row>
    <row r="44" spans="1:13">
      <c r="A44" s="177">
        <v>45983</v>
      </c>
      <c r="B44" s="204" t="str">
        <f>TEXT(Table47[[#This Row],[التاريخ ]],"mmm")</f>
        <v>Nov</v>
      </c>
      <c r="C44" s="310" t="s">
        <v>1660</v>
      </c>
      <c r="D44" s="204" t="str">
        <f>IFERROR(VLOOKUP(E:E,'قاعدة بيانات  '!K:L,2,0),"")</f>
        <v>محمد عبدالمنعم عبدالحليم إبراهيم</v>
      </c>
      <c r="E44" s="204">
        <v>515</v>
      </c>
      <c r="F44" s="204"/>
      <c r="G44" s="204" t="s">
        <v>1598</v>
      </c>
      <c r="H44" s="204"/>
      <c r="I44" s="204"/>
      <c r="J44" s="204" t="s">
        <v>194</v>
      </c>
      <c r="K44" s="179">
        <v>3400</v>
      </c>
      <c r="L44" s="180"/>
      <c r="M44" s="285"/>
    </row>
    <row r="45" spans="1:13">
      <c r="A45" s="353">
        <v>45984</v>
      </c>
      <c r="B45" s="354" t="str">
        <f>TEXT(Table47[[#This Row],[التاريخ ]],"mmm")</f>
        <v>Nov</v>
      </c>
      <c r="C45" s="354" t="s">
        <v>1565</v>
      </c>
      <c r="D45" s="354" t="str">
        <f>IFERROR(VLOOKUP(E:E,'قاعدة بيانات  '!K:L,2,0),"")</f>
        <v>اسامه محمد احمد عبد الحميد</v>
      </c>
      <c r="E45" s="354">
        <v>492</v>
      </c>
      <c r="F45" s="354"/>
      <c r="G45" s="354" t="s">
        <v>1598</v>
      </c>
      <c r="H45" s="354"/>
      <c r="I45" s="354"/>
      <c r="J45" s="354" t="s">
        <v>194</v>
      </c>
      <c r="K45" s="355">
        <v>12000</v>
      </c>
      <c r="L45" s="180"/>
      <c r="M45" s="285"/>
    </row>
    <row r="46" spans="1:13">
      <c r="A46" s="353">
        <v>45984</v>
      </c>
      <c r="B46" s="354" t="str">
        <f>TEXT(Table47[[#This Row],[التاريخ ]],"mmm")</f>
        <v>Nov</v>
      </c>
      <c r="C46" s="354" t="s">
        <v>1566</v>
      </c>
      <c r="D46" s="354" t="str">
        <f>IFERROR(VLOOKUP(E:E,'قاعدة بيانات  '!K:L,2,0),"")</f>
        <v>حسين احمد حسين محمود مرسى</v>
      </c>
      <c r="E46" s="354">
        <v>514</v>
      </c>
      <c r="F46" s="354"/>
      <c r="G46" s="354" t="s">
        <v>1114</v>
      </c>
      <c r="H46" s="354"/>
      <c r="I46" s="354"/>
      <c r="J46" s="354" t="s">
        <v>194</v>
      </c>
      <c r="K46" s="355">
        <v>100</v>
      </c>
      <c r="L46" s="180"/>
      <c r="M46" s="285"/>
    </row>
    <row r="47" spans="1:13" ht="28.5">
      <c r="A47" s="353">
        <v>45984</v>
      </c>
      <c r="B47" s="354" t="str">
        <f>TEXT(Table47[[#This Row],[التاريخ ]],"mmm")</f>
        <v>Nov</v>
      </c>
      <c r="C47" s="356" t="s">
        <v>1570</v>
      </c>
      <c r="D47" s="354" t="str">
        <f>IFERROR(VLOOKUP(E:E,'قاعدة بيانات  '!K:L,2,0),"")</f>
        <v>محمد عبدالمنعم عبدالحليم إبراهيم</v>
      </c>
      <c r="E47" s="354">
        <v>515</v>
      </c>
      <c r="F47" s="354"/>
      <c r="G47" s="354" t="s">
        <v>1598</v>
      </c>
      <c r="H47" s="354"/>
      <c r="I47" s="354"/>
      <c r="J47" s="354" t="s">
        <v>194</v>
      </c>
      <c r="K47" s="355">
        <v>2060</v>
      </c>
      <c r="L47" s="180"/>
      <c r="M47" s="285"/>
    </row>
    <row r="48" spans="1:13">
      <c r="A48" s="353">
        <v>45984</v>
      </c>
      <c r="B48" s="354" t="str">
        <f>TEXT(Table47[[#This Row],[التاريخ ]],"mmm")</f>
        <v>Nov</v>
      </c>
      <c r="C48" s="354" t="s">
        <v>1684</v>
      </c>
      <c r="D48" s="354" t="str">
        <f>IFERROR(VLOOKUP(E:E,'قاعدة بيانات  '!K:L,2,0),"")</f>
        <v>باسم صلاح عبد الله قوشتى</v>
      </c>
      <c r="E48" s="354">
        <v>5</v>
      </c>
      <c r="F48" s="354"/>
      <c r="G48" s="354" t="s">
        <v>1598</v>
      </c>
      <c r="H48" s="354"/>
      <c r="I48" s="354"/>
      <c r="J48" s="354" t="s">
        <v>194</v>
      </c>
      <c r="K48" s="355">
        <v>1200</v>
      </c>
      <c r="L48" s="180"/>
      <c r="M48" s="285"/>
    </row>
    <row r="49" spans="1:13">
      <c r="A49" s="177">
        <v>45985</v>
      </c>
      <c r="B49" s="204" t="str">
        <f>TEXT(Table47[[#This Row],[التاريخ ]],"mmm")</f>
        <v>Nov</v>
      </c>
      <c r="C49" s="204" t="s">
        <v>1571</v>
      </c>
      <c r="D49" s="204" t="str">
        <f>IFERROR(VLOOKUP(E:E,'قاعدة بيانات  '!K:L,2,0),"")</f>
        <v>احمد منصور سليم منصور سليم</v>
      </c>
      <c r="E49" s="204">
        <v>544</v>
      </c>
      <c r="F49" s="204"/>
      <c r="G49" s="204" t="s">
        <v>112</v>
      </c>
      <c r="H49" s="204"/>
      <c r="I49" s="204"/>
      <c r="J49" s="354" t="s">
        <v>194</v>
      </c>
      <c r="K49" s="179">
        <v>500</v>
      </c>
      <c r="L49" s="180"/>
      <c r="M49" s="285"/>
    </row>
    <row r="50" spans="1:13">
      <c r="A50" s="177">
        <v>45986</v>
      </c>
      <c r="B50" s="204" t="str">
        <f>TEXT(Table47[[#This Row],[التاريخ ]],"mmm")</f>
        <v>Nov</v>
      </c>
      <c r="C50" s="204" t="s">
        <v>1575</v>
      </c>
      <c r="D50" s="204" t="str">
        <f>IFERROR(VLOOKUP(E:E,'قاعدة بيانات  '!K:L,2,0),"")</f>
        <v>محمود مصطفى محمود</v>
      </c>
      <c r="E50" s="204">
        <v>705</v>
      </c>
      <c r="F50" s="204"/>
      <c r="G50" s="204" t="s">
        <v>1114</v>
      </c>
      <c r="H50" s="204"/>
      <c r="I50" s="204"/>
      <c r="J50" s="354" t="s">
        <v>194</v>
      </c>
      <c r="K50" s="179">
        <v>200</v>
      </c>
      <c r="L50" s="180"/>
      <c r="M50" s="285"/>
    </row>
    <row r="51" spans="1:13">
      <c r="A51" s="177">
        <v>45986</v>
      </c>
      <c r="B51" s="204" t="str">
        <f>TEXT(Table47[[#This Row],[التاريخ ]],"mmm")</f>
        <v>Nov</v>
      </c>
      <c r="C51" s="204" t="s">
        <v>1576</v>
      </c>
      <c r="D51" s="204" t="str">
        <f>IFERROR(VLOOKUP(E:E,'قاعدة بيانات  '!K:L,2,0),"")</f>
        <v>عزيزه عبدالكريم حسين غنيم</v>
      </c>
      <c r="E51" s="204">
        <v>577</v>
      </c>
      <c r="F51" s="204" t="s">
        <v>1620</v>
      </c>
      <c r="G51" s="204" t="s">
        <v>112</v>
      </c>
      <c r="H51" s="204"/>
      <c r="I51" s="204"/>
      <c r="J51" s="354" t="s">
        <v>194</v>
      </c>
      <c r="K51" s="179">
        <v>10000</v>
      </c>
      <c r="L51" s="180"/>
      <c r="M51" s="285"/>
    </row>
    <row r="52" spans="1:13">
      <c r="A52" s="177">
        <v>45986</v>
      </c>
      <c r="B52" s="204" t="str">
        <f>TEXT(Table47[[#This Row],[التاريخ ]],"mmm")</f>
        <v>Nov</v>
      </c>
      <c r="C52" s="204" t="s">
        <v>1576</v>
      </c>
      <c r="D52" s="204" t="str">
        <f>IFERROR(VLOOKUP(E:E,'قاعدة بيانات  '!K:L,2,0),"")</f>
        <v>عبد العزيز صلاح عبد العزيز على حسن</v>
      </c>
      <c r="E52" s="310">
        <v>20</v>
      </c>
      <c r="F52" s="310" t="s">
        <v>1620</v>
      </c>
      <c r="G52" s="204" t="s">
        <v>112</v>
      </c>
      <c r="H52" s="310"/>
      <c r="I52" s="310"/>
      <c r="J52" s="354" t="s">
        <v>194</v>
      </c>
      <c r="K52" s="313">
        <v>5000</v>
      </c>
      <c r="L52" s="311"/>
      <c r="M52" s="312"/>
    </row>
    <row r="53" spans="1:13">
      <c r="A53" s="177">
        <v>45986</v>
      </c>
      <c r="B53" s="204" t="str">
        <f>TEXT(Table47[[#This Row],[التاريخ ]],"mmm")</f>
        <v>Nov</v>
      </c>
      <c r="C53" s="204" t="s">
        <v>1577</v>
      </c>
      <c r="D53" s="204" t="str">
        <f>IFERROR(VLOOKUP(E:E,'قاعدة بيانات  '!K:L,2,0),"")</f>
        <v>عبد العزيز صلاح عبد العزيز على حسن</v>
      </c>
      <c r="E53" s="204">
        <v>20</v>
      </c>
      <c r="F53" s="204"/>
      <c r="G53" s="204" t="s">
        <v>112</v>
      </c>
      <c r="H53" s="204"/>
      <c r="I53" s="204"/>
      <c r="J53" s="354" t="s">
        <v>194</v>
      </c>
      <c r="K53" s="179">
        <f>3950-3403</f>
        <v>547</v>
      </c>
      <c r="L53" s="299"/>
      <c r="M53" s="285"/>
    </row>
    <row r="54" spans="1:13">
      <c r="A54" s="177">
        <v>45986</v>
      </c>
      <c r="B54" s="204" t="str">
        <f>TEXT(Table47[[#This Row],[التاريخ ]],"mmm")</f>
        <v>Nov</v>
      </c>
      <c r="C54" s="204" t="s">
        <v>1578</v>
      </c>
      <c r="D54" s="204" t="str">
        <f>IFERROR(VLOOKUP(E:E,'قاعدة بيانات  '!K:L,2,0),"")</f>
        <v>كريم يحي امين</v>
      </c>
      <c r="E54" s="204">
        <v>812</v>
      </c>
      <c r="F54" s="204"/>
      <c r="G54" s="204" t="s">
        <v>112</v>
      </c>
      <c r="H54" s="204"/>
      <c r="I54" s="204"/>
      <c r="J54" s="354" t="s">
        <v>194</v>
      </c>
      <c r="K54" s="179">
        <v>500</v>
      </c>
      <c r="L54" s="299"/>
      <c r="M54" s="285"/>
    </row>
    <row r="55" spans="1:13">
      <c r="A55" s="177">
        <v>45987</v>
      </c>
      <c r="B55" s="204" t="str">
        <f>TEXT(Table47[[#This Row],[التاريخ ]],"mmm")</f>
        <v>Nov</v>
      </c>
      <c r="C55" s="204" t="s">
        <v>1671</v>
      </c>
      <c r="D55" s="204" t="s">
        <v>1294</v>
      </c>
      <c r="E55" s="204"/>
      <c r="F55" s="204"/>
      <c r="G55" s="204" t="s">
        <v>301</v>
      </c>
      <c r="H55" s="204"/>
      <c r="I55" s="204"/>
      <c r="J55" s="354" t="s">
        <v>194</v>
      </c>
      <c r="K55" s="179">
        <v>500</v>
      </c>
      <c r="L55" s="180" t="s">
        <v>1619</v>
      </c>
      <c r="M55" s="285"/>
    </row>
    <row r="56" spans="1:13">
      <c r="A56" s="177">
        <v>45987</v>
      </c>
      <c r="B56" s="204" t="str">
        <f>TEXT(Table47[[#This Row],[التاريخ ]],"mmm")</f>
        <v>Nov</v>
      </c>
      <c r="C56" s="204" t="s">
        <v>194</v>
      </c>
      <c r="D56" s="204" t="str">
        <f>IFERROR(VLOOKUP(E:E,'قاعدة بيانات  '!K:L,2,0),"")</f>
        <v>احمد محمد حسنى</v>
      </c>
      <c r="E56" s="204">
        <v>612</v>
      </c>
      <c r="F56" s="204"/>
      <c r="G56" s="204" t="s">
        <v>112</v>
      </c>
      <c r="H56" s="204"/>
      <c r="I56" s="204"/>
      <c r="J56" s="354" t="s">
        <v>194</v>
      </c>
      <c r="K56" s="179">
        <v>300</v>
      </c>
      <c r="L56" s="180"/>
      <c r="M56" s="285"/>
    </row>
    <row r="57" spans="1:13">
      <c r="A57" s="177">
        <v>45987</v>
      </c>
      <c r="B57" s="204" t="str">
        <f>TEXT(Table47[[#This Row],[التاريخ ]],"mmm")</f>
        <v>Nov</v>
      </c>
      <c r="C57" s="204" t="s">
        <v>1582</v>
      </c>
      <c r="D57" s="204" t="str">
        <f>IFERROR(VLOOKUP(E:E,'قاعدة بيانات  '!K:L,2,0),"")</f>
        <v>عبد المنعم مجدى عبدربه محمد هلهل</v>
      </c>
      <c r="E57" s="204">
        <v>10</v>
      </c>
      <c r="F57" s="204"/>
      <c r="G57" s="204" t="s">
        <v>301</v>
      </c>
      <c r="H57" s="204"/>
      <c r="I57" s="204"/>
      <c r="J57" s="354" t="s">
        <v>194</v>
      </c>
      <c r="K57" s="179">
        <v>1283</v>
      </c>
      <c r="L57" s="180" t="s">
        <v>1600</v>
      </c>
      <c r="M57" s="285"/>
    </row>
    <row r="58" spans="1:13">
      <c r="A58" s="177">
        <v>45988</v>
      </c>
      <c r="B58" s="204" t="str">
        <f>TEXT(Table47[[#This Row],[التاريخ ]],"mmm")</f>
        <v>Nov</v>
      </c>
      <c r="C58" s="310" t="s">
        <v>1350</v>
      </c>
      <c r="D58" s="204" t="str">
        <f>IFERROR(VLOOKUP(E:E,'قاعدة بيانات  '!K:L,2,0),"")</f>
        <v>احمد محمد حسنى</v>
      </c>
      <c r="E58" s="204">
        <v>612</v>
      </c>
      <c r="F58" s="204"/>
      <c r="G58" s="204" t="s">
        <v>112</v>
      </c>
      <c r="H58" s="204"/>
      <c r="I58" s="204"/>
      <c r="J58" s="354" t="s">
        <v>194</v>
      </c>
      <c r="K58" s="179">
        <v>500</v>
      </c>
      <c r="L58" s="180"/>
      <c r="M58" s="285"/>
    </row>
    <row r="59" spans="1:13">
      <c r="A59" s="177">
        <v>45990</v>
      </c>
      <c r="B59" s="204" t="str">
        <f>TEXT(Table47[[#This Row],[التاريخ ]],"mmm")</f>
        <v>Nov</v>
      </c>
      <c r="C59" s="204" t="s">
        <v>1599</v>
      </c>
      <c r="D59" s="204" t="str">
        <f>IFERROR(VLOOKUP(E:E,'قاعدة بيانات  '!K:L,2,0),"")</f>
        <v>محمد عبدالمنعم عبدالحليم إبراهيم</v>
      </c>
      <c r="E59" s="204">
        <v>515</v>
      </c>
      <c r="F59" s="204"/>
      <c r="G59" s="204" t="s">
        <v>1598</v>
      </c>
      <c r="H59" s="204"/>
      <c r="I59" s="204"/>
      <c r="J59" s="354" t="s">
        <v>194</v>
      </c>
      <c r="K59" s="179">
        <v>4000</v>
      </c>
      <c r="L59" s="180"/>
      <c r="M59" s="285"/>
    </row>
    <row r="60" spans="1:13">
      <c r="A60" s="177">
        <v>45990</v>
      </c>
      <c r="B60" s="204" t="str">
        <f>TEXT(Table47[[#This Row],[التاريخ ]],"mmm")</f>
        <v>Nov</v>
      </c>
      <c r="C60" s="204" t="s">
        <v>1580</v>
      </c>
      <c r="D60" s="204" t="str">
        <f>IFERROR(VLOOKUP(E:E,'قاعدة بيانات  '!K:L,2,0),"")</f>
        <v>احمد منصور سليم منصور سليم</v>
      </c>
      <c r="E60" s="204">
        <v>544</v>
      </c>
      <c r="F60" s="204"/>
      <c r="G60" s="204" t="s">
        <v>112</v>
      </c>
      <c r="H60" s="204"/>
      <c r="I60" s="204"/>
      <c r="J60" s="354" t="s">
        <v>194</v>
      </c>
      <c r="K60" s="179">
        <v>200</v>
      </c>
      <c r="L60" s="180"/>
      <c r="M60" s="285"/>
    </row>
    <row r="61" spans="1:13">
      <c r="A61" s="177">
        <v>45990</v>
      </c>
      <c r="B61" s="204" t="str">
        <f>TEXT(Table47[[#This Row],[التاريخ ]],"mmm")</f>
        <v>Nov</v>
      </c>
      <c r="C61" s="204" t="s">
        <v>1601</v>
      </c>
      <c r="D61" s="204" t="str">
        <f>IFERROR(VLOOKUP(E:E,'قاعدة بيانات  '!K:L,2,0),"")</f>
        <v>اسامه محمد احمد عبد الحميد</v>
      </c>
      <c r="E61" s="204">
        <v>492</v>
      </c>
      <c r="F61" s="204"/>
      <c r="G61" s="204" t="s">
        <v>1598</v>
      </c>
      <c r="H61" s="204"/>
      <c r="I61" s="204"/>
      <c r="J61" s="354" t="s">
        <v>194</v>
      </c>
      <c r="K61" s="179">
        <v>10000</v>
      </c>
      <c r="L61" s="180"/>
      <c r="M61" s="285"/>
    </row>
    <row r="62" spans="1:13">
      <c r="A62" s="177">
        <v>45992</v>
      </c>
      <c r="B62" s="310" t="str">
        <f>TEXT(Table47[[#This Row],[التاريخ ]],"mmm")</f>
        <v>Dec</v>
      </c>
      <c r="C62" s="310" t="s">
        <v>1611</v>
      </c>
      <c r="D62" s="310" t="str">
        <f>IFERROR(VLOOKUP(E:E,'قاعدة بيانات  '!K:L,2,0),"")</f>
        <v>محمد عبدالمنعم عبدالحليم إبراهيم</v>
      </c>
      <c r="E62" s="310">
        <v>515</v>
      </c>
      <c r="F62" s="310"/>
      <c r="G62" s="204" t="s">
        <v>1598</v>
      </c>
      <c r="H62" s="310"/>
      <c r="I62" s="310"/>
      <c r="J62" s="354" t="s">
        <v>194</v>
      </c>
      <c r="K62" s="179">
        <v>1000</v>
      </c>
      <c r="L62" s="311"/>
      <c r="M62" s="312"/>
    </row>
    <row r="63" spans="1:13">
      <c r="A63" s="177">
        <v>45993</v>
      </c>
      <c r="B63" s="204" t="str">
        <f>TEXT(Table47[[#This Row],[التاريخ ]],"mmm")</f>
        <v>Dec</v>
      </c>
      <c r="C63" s="204" t="s">
        <v>1637</v>
      </c>
      <c r="D63" s="204" t="str">
        <f>IFERROR(VLOOKUP(E:E,'قاعدة بيانات  '!K:L,2,0),"")</f>
        <v>عبد المنعم مجدى عبدربه محمد هلهل</v>
      </c>
      <c r="E63" s="204">
        <v>10</v>
      </c>
      <c r="F63" s="204"/>
      <c r="G63" s="204" t="s">
        <v>1598</v>
      </c>
      <c r="H63" s="204"/>
      <c r="I63" s="204"/>
      <c r="J63" s="354" t="s">
        <v>194</v>
      </c>
      <c r="K63" s="179">
        <v>5000</v>
      </c>
      <c r="L63" s="180"/>
      <c r="M63" s="285"/>
    </row>
    <row r="64" spans="1:13">
      <c r="A64" s="177">
        <v>45993</v>
      </c>
      <c r="B64" s="204" t="str">
        <f>TEXT(Table47[[#This Row],[التاريخ ]],"mmm")</f>
        <v>Dec</v>
      </c>
      <c r="C64" s="204" t="s">
        <v>1350</v>
      </c>
      <c r="D64" s="204" t="str">
        <f>IFERROR(VLOOKUP(E:E,'قاعدة بيانات  '!K:L,2,0),"")</f>
        <v>كريم يحي امين</v>
      </c>
      <c r="E64" s="204">
        <v>812</v>
      </c>
      <c r="F64" s="204"/>
      <c r="G64" s="204" t="s">
        <v>112</v>
      </c>
      <c r="H64" s="204"/>
      <c r="I64" s="204"/>
      <c r="J64" s="354" t="s">
        <v>194</v>
      </c>
      <c r="K64" s="179">
        <v>300</v>
      </c>
      <c r="L64" s="180"/>
      <c r="M64" s="285"/>
    </row>
    <row r="65" spans="1:13">
      <c r="A65" s="177">
        <v>45993</v>
      </c>
      <c r="B65" s="204" t="str">
        <f>TEXT(Table47[[#This Row],[التاريخ ]],"mmm")</f>
        <v>Dec</v>
      </c>
      <c r="C65" s="204" t="s">
        <v>1440</v>
      </c>
      <c r="D65" s="204" t="str">
        <f>IFERROR(VLOOKUP(E:E,'قاعدة بيانات  '!K:L,2,0),"")</f>
        <v>احمد عبدالعزيز إبراهيم عبدالعزيز</v>
      </c>
      <c r="E65" s="204">
        <v>655</v>
      </c>
      <c r="F65" s="204"/>
      <c r="G65" s="204" t="s">
        <v>112</v>
      </c>
      <c r="H65" s="204"/>
      <c r="I65" s="204"/>
      <c r="J65" s="354" t="s">
        <v>194</v>
      </c>
      <c r="K65" s="179">
        <v>300</v>
      </c>
      <c r="L65" s="180"/>
      <c r="M65" s="285"/>
    </row>
    <row r="66" spans="1:13">
      <c r="A66" s="177">
        <v>45993</v>
      </c>
      <c r="B66" s="204" t="str">
        <f>TEXT(Table47[[#This Row],[التاريخ ]],"mmm")</f>
        <v>Dec</v>
      </c>
      <c r="C66" s="204" t="s">
        <v>1598</v>
      </c>
      <c r="D66" s="204" t="str">
        <f>IFERROR(VLOOKUP(E:E,'قاعدة بيانات  '!K:L,2,0),"")</f>
        <v>باسم صلاح عبد الله قوشتى</v>
      </c>
      <c r="E66" s="204">
        <v>5</v>
      </c>
      <c r="F66" s="204"/>
      <c r="G66" s="204" t="s">
        <v>1598</v>
      </c>
      <c r="H66" s="204"/>
      <c r="I66" s="204"/>
      <c r="J66" s="354" t="s">
        <v>194</v>
      </c>
      <c r="K66" s="179">
        <f>30000-17650</f>
        <v>12350</v>
      </c>
      <c r="L66" s="180" t="s">
        <v>1638</v>
      </c>
      <c r="M66" s="285"/>
    </row>
    <row r="67" spans="1:13">
      <c r="A67" s="177">
        <v>45994</v>
      </c>
      <c r="B67" s="204" t="str">
        <f>TEXT(Table47[[#This Row],[التاريخ ]],"mmm")</f>
        <v>Dec</v>
      </c>
      <c r="C67" s="204" t="s">
        <v>1613</v>
      </c>
      <c r="D67" s="204" t="str">
        <f>IFERROR(VLOOKUP(E:E,'قاعدة بيانات  '!K:L,2,0),"")</f>
        <v>احمد منصور سليم منصور سليم</v>
      </c>
      <c r="E67" s="204">
        <v>544</v>
      </c>
      <c r="F67" s="204"/>
      <c r="G67" s="204" t="s">
        <v>112</v>
      </c>
      <c r="H67" s="204"/>
      <c r="I67" s="204"/>
      <c r="J67" s="354" t="s">
        <v>194</v>
      </c>
      <c r="K67" s="179">
        <v>1000</v>
      </c>
      <c r="L67" s="180"/>
      <c r="M67" s="285"/>
    </row>
    <row r="68" spans="1:13">
      <c r="A68" s="177">
        <v>45994</v>
      </c>
      <c r="B68" s="204" t="str">
        <f>TEXT(Table47[[#This Row],[التاريخ ]],"mmm")</f>
        <v>Dec</v>
      </c>
      <c r="C68" s="204" t="s">
        <v>1614</v>
      </c>
      <c r="D68" s="204" t="str">
        <f>IFERROR(VLOOKUP(E:E,'قاعدة بيانات  '!K:L,2,0),"")</f>
        <v>محمد حسن تقى دشناوى</v>
      </c>
      <c r="E68" s="204">
        <v>738</v>
      </c>
      <c r="F68" s="204"/>
      <c r="G68" s="204" t="s">
        <v>112</v>
      </c>
      <c r="H68" s="204"/>
      <c r="I68" s="204"/>
      <c r="J68" s="354" t="s">
        <v>194</v>
      </c>
      <c r="K68" s="179">
        <f>1000-409</f>
        <v>591</v>
      </c>
      <c r="L68" s="180"/>
      <c r="M68" s="285"/>
    </row>
    <row r="69" spans="1:13">
      <c r="A69" s="177">
        <v>45994</v>
      </c>
      <c r="B69" s="204" t="str">
        <f>TEXT(Table47[[#This Row],[التاريخ ]],"mmm")</f>
        <v>Dec</v>
      </c>
      <c r="C69" s="204" t="s">
        <v>1614</v>
      </c>
      <c r="D69" s="204" t="str">
        <f>IFERROR(VLOOKUP(E:E,'قاعدة بيانات  '!K:L,2,0),"")</f>
        <v>احمد محمد حسنى</v>
      </c>
      <c r="E69" s="204">
        <v>612</v>
      </c>
      <c r="F69" s="204"/>
      <c r="G69" s="204" t="s">
        <v>112</v>
      </c>
      <c r="H69" s="204"/>
      <c r="I69" s="204"/>
      <c r="J69" s="354" t="s">
        <v>194</v>
      </c>
      <c r="K69" s="179">
        <v>500</v>
      </c>
      <c r="L69" s="180"/>
      <c r="M69" s="285"/>
    </row>
    <row r="70" spans="1:13">
      <c r="A70" s="177">
        <v>45994</v>
      </c>
      <c r="B70" s="204" t="str">
        <f>TEXT(Table47[[#This Row],[التاريخ ]],"mmm")</f>
        <v>Dec</v>
      </c>
      <c r="C70" s="204" t="s">
        <v>1671</v>
      </c>
      <c r="D70" s="204" t="s">
        <v>1294</v>
      </c>
      <c r="E70" s="204"/>
      <c r="F70" s="204"/>
      <c r="G70" s="204" t="s">
        <v>301</v>
      </c>
      <c r="H70" s="204"/>
      <c r="I70" s="204"/>
      <c r="J70" s="354" t="s">
        <v>194</v>
      </c>
      <c r="K70" s="179">
        <v>500</v>
      </c>
      <c r="L70" s="180" t="s">
        <v>1619</v>
      </c>
      <c r="M70" s="285"/>
    </row>
    <row r="71" spans="1:13">
      <c r="A71" s="177">
        <v>45995</v>
      </c>
      <c r="B71" s="204" t="str">
        <f>TEXT(Table47[[#This Row],[التاريخ ]],"mmm")</f>
        <v>Dec</v>
      </c>
      <c r="C71" s="204" t="s">
        <v>1662</v>
      </c>
      <c r="D71" s="204" t="str">
        <f>IFERROR(VLOOKUP(E:E,'قاعدة بيانات  '!K:L,2,0),"")</f>
        <v>اسامه محمد احمد عبد الحميد</v>
      </c>
      <c r="E71" s="204">
        <v>492</v>
      </c>
      <c r="F71" s="204"/>
      <c r="G71" s="204" t="s">
        <v>1598</v>
      </c>
      <c r="H71" s="204"/>
      <c r="I71" s="204"/>
      <c r="J71" s="354" t="s">
        <v>194</v>
      </c>
      <c r="K71" s="179">
        <v>17500</v>
      </c>
      <c r="L71" s="180"/>
      <c r="M71" s="285"/>
    </row>
    <row r="72" spans="1:13">
      <c r="A72" s="177">
        <v>45995</v>
      </c>
      <c r="B72" s="204" t="str">
        <f>TEXT(Table47[[#This Row],[التاريخ ]],"mmm")</f>
        <v>Dec</v>
      </c>
      <c r="C72" s="204" t="s">
        <v>1615</v>
      </c>
      <c r="D72" s="204" t="str">
        <f>IFERROR(VLOOKUP(E:E,'قاعدة بيانات  '!K:L,2,0),"")</f>
        <v>كريم يحي امين</v>
      </c>
      <c r="E72" s="204">
        <v>812</v>
      </c>
      <c r="F72" s="204"/>
      <c r="G72" s="204" t="s">
        <v>112</v>
      </c>
      <c r="H72" s="204"/>
      <c r="I72" s="204"/>
      <c r="J72" s="354" t="s">
        <v>194</v>
      </c>
      <c r="K72" s="179">
        <v>200</v>
      </c>
      <c r="L72" s="180"/>
      <c r="M72" s="285"/>
    </row>
    <row r="73" spans="1:13">
      <c r="A73" s="177">
        <v>45995</v>
      </c>
      <c r="B73" s="204" t="str">
        <f>TEXT(Table47[[#This Row],[التاريخ ]],"mmm")</f>
        <v>Dec</v>
      </c>
      <c r="C73" s="204" t="s">
        <v>1616</v>
      </c>
      <c r="D73" s="204" t="str">
        <f>IFERROR(VLOOKUP(E:E,'قاعدة بيانات  '!K:L,2,0),"")</f>
        <v>احمد عبدالعزيز إبراهيم عبدالعزيز</v>
      </c>
      <c r="E73" s="204">
        <v>655</v>
      </c>
      <c r="F73" s="204"/>
      <c r="G73" s="204" t="s">
        <v>112</v>
      </c>
      <c r="H73" s="204"/>
      <c r="I73" s="204"/>
      <c r="J73" s="354" t="s">
        <v>194</v>
      </c>
      <c r="K73" s="179">
        <v>200</v>
      </c>
      <c r="L73" s="180"/>
      <c r="M73" s="285"/>
    </row>
    <row r="74" spans="1:13">
      <c r="A74" s="177">
        <v>45995</v>
      </c>
      <c r="B74" s="204" t="str">
        <f>TEXT(Table47[[#This Row],[التاريخ ]],"mmm")</f>
        <v>Dec</v>
      </c>
      <c r="C74" s="204" t="s">
        <v>1617</v>
      </c>
      <c r="D74" s="204" t="str">
        <f>IFERROR(VLOOKUP(E:E,'قاعدة بيانات  '!K:L,2,0),"")</f>
        <v>كريم خالد محمد محمود</v>
      </c>
      <c r="E74" s="204">
        <v>675</v>
      </c>
      <c r="F74" s="204"/>
      <c r="G74" s="204" t="s">
        <v>112</v>
      </c>
      <c r="H74" s="204"/>
      <c r="I74" s="204"/>
      <c r="J74" s="354" t="s">
        <v>194</v>
      </c>
      <c r="K74" s="179">
        <v>2300</v>
      </c>
      <c r="L74" s="180"/>
      <c r="M74" s="285"/>
    </row>
    <row r="75" spans="1:13">
      <c r="A75" s="177">
        <v>45995</v>
      </c>
      <c r="B75" s="204" t="str">
        <f>TEXT(Table47[[#This Row],[التاريخ ]],"mmm")</f>
        <v>Dec</v>
      </c>
      <c r="C75" s="204" t="s">
        <v>1671</v>
      </c>
      <c r="D75" s="204" t="s">
        <v>1294</v>
      </c>
      <c r="E75" s="204"/>
      <c r="F75" s="204"/>
      <c r="G75" s="204" t="s">
        <v>301</v>
      </c>
      <c r="H75" s="204"/>
      <c r="I75" s="204"/>
      <c r="J75" s="204" t="s">
        <v>194</v>
      </c>
      <c r="K75" s="179">
        <v>500</v>
      </c>
      <c r="L75" s="180" t="s">
        <v>1619</v>
      </c>
      <c r="M75" s="285"/>
    </row>
    <row r="76" spans="1:13">
      <c r="A76" s="177">
        <v>45995</v>
      </c>
      <c r="B76" s="204" t="str">
        <f>TEXT(Table47[[#This Row],[التاريخ ]],"mmm")</f>
        <v>Dec</v>
      </c>
      <c r="C76" s="204" t="s">
        <v>1618</v>
      </c>
      <c r="D76" s="204" t="str">
        <f>IFERROR(VLOOKUP(E:E,'قاعدة بيانات  '!K:L,2,0),"")</f>
        <v>باسم صلاح عبد الله قوشتى</v>
      </c>
      <c r="E76" s="204">
        <v>5</v>
      </c>
      <c r="F76" s="204"/>
      <c r="G76" s="204" t="s">
        <v>1598</v>
      </c>
      <c r="H76" s="204"/>
      <c r="I76" s="204"/>
      <c r="J76" s="204" t="s">
        <v>194</v>
      </c>
      <c r="K76" s="179">
        <v>500</v>
      </c>
      <c r="L76" s="180"/>
      <c r="M76" s="285"/>
    </row>
    <row r="77" spans="1:13">
      <c r="A77" s="177">
        <v>45995</v>
      </c>
      <c r="B77" s="204" t="str">
        <f>TEXT(Table47[[#This Row],[التاريخ ]],"mmm")</f>
        <v>Dec</v>
      </c>
      <c r="C77" s="204" t="s">
        <v>1626</v>
      </c>
      <c r="D77" s="204" t="str">
        <f>IFERROR(VLOOKUP(E:E,'قاعدة بيانات  '!K:L,2,0),"")</f>
        <v>باسم صلاح عبد الله قوشتى</v>
      </c>
      <c r="E77" s="204">
        <v>5</v>
      </c>
      <c r="F77" s="204"/>
      <c r="G77" s="204" t="s">
        <v>1598</v>
      </c>
      <c r="H77" s="204"/>
      <c r="I77" s="204"/>
      <c r="J77" s="204" t="s">
        <v>194</v>
      </c>
      <c r="K77" s="179">
        <v>50000</v>
      </c>
      <c r="L77" s="180"/>
      <c r="M77" s="285"/>
    </row>
    <row r="78" spans="1:13">
      <c r="A78" s="177">
        <v>45995</v>
      </c>
      <c r="B78" s="204" t="str">
        <f>TEXT(Table47[[#This Row],[التاريخ ]],"mmm")</f>
        <v>Dec</v>
      </c>
      <c r="C78" s="204" t="s">
        <v>1636</v>
      </c>
      <c r="D78" s="204" t="str">
        <f>IFERROR(VLOOKUP(E:E,'قاعدة بيانات  '!K:L,2,0),"")</f>
        <v>عبد المنعم مجدى عبدربه محمد هلهل</v>
      </c>
      <c r="E78" s="204">
        <v>10</v>
      </c>
      <c r="F78" s="204"/>
      <c r="G78" s="204" t="s">
        <v>1598</v>
      </c>
      <c r="H78" s="204"/>
      <c r="I78" s="204"/>
      <c r="J78" s="204" t="s">
        <v>194</v>
      </c>
      <c r="K78" s="179">
        <v>20000</v>
      </c>
      <c r="L78" s="180"/>
      <c r="M78" s="285"/>
    </row>
    <row r="79" spans="1:13">
      <c r="A79" s="177">
        <v>45997</v>
      </c>
      <c r="B79" s="204" t="str">
        <f>TEXT(Table47[[#This Row],[التاريخ ]],"mmm")</f>
        <v>Dec</v>
      </c>
      <c r="C79" s="204" t="s">
        <v>1512</v>
      </c>
      <c r="D79" s="204" t="str">
        <f>IFERROR(VLOOKUP(E:E,'قاعدة بيانات  '!K:L,2,0),"")</f>
        <v>عبد العزيز صلاح عبد العزيز على حسن</v>
      </c>
      <c r="E79" s="204">
        <v>20</v>
      </c>
      <c r="F79" s="204" t="s">
        <v>1620</v>
      </c>
      <c r="G79" s="204" t="s">
        <v>112</v>
      </c>
      <c r="H79" s="204"/>
      <c r="I79" s="204"/>
      <c r="J79" s="204" t="s">
        <v>194</v>
      </c>
      <c r="K79" s="179">
        <v>5000</v>
      </c>
      <c r="L79" s="180"/>
      <c r="M79" s="285"/>
    </row>
    <row r="80" spans="1:13">
      <c r="A80" s="177">
        <v>45997</v>
      </c>
      <c r="B80" s="204" t="str">
        <f>TEXT(Table47[[#This Row],[التاريخ ]],"mmm")</f>
        <v>Dec</v>
      </c>
      <c r="C80" s="204" t="s">
        <v>1512</v>
      </c>
      <c r="D80" s="204" t="str">
        <f>IFERROR(VLOOKUP(E:E,'قاعدة بيانات  '!K:L,2,0),"")</f>
        <v>الهام حسن عبدالمولي</v>
      </c>
      <c r="E80" s="204">
        <v>744</v>
      </c>
      <c r="F80" s="204" t="s">
        <v>1620</v>
      </c>
      <c r="G80" s="204" t="s">
        <v>112</v>
      </c>
      <c r="H80" s="204"/>
      <c r="I80" s="204"/>
      <c r="J80" s="204" t="s">
        <v>194</v>
      </c>
      <c r="K80" s="179">
        <v>10000</v>
      </c>
      <c r="L80" s="180"/>
      <c r="M80" s="285"/>
    </row>
    <row r="81" spans="1:13">
      <c r="A81" s="177">
        <v>45997</v>
      </c>
      <c r="B81" s="204" t="str">
        <f>TEXT(Table47[[#This Row],[التاريخ ]],"mmm")</f>
        <v>Dec</v>
      </c>
      <c r="C81" s="204" t="s">
        <v>1631</v>
      </c>
      <c r="D81" s="204" t="str">
        <f>IFERROR(VLOOKUP(E:E,'قاعدة بيانات  '!K:L,2,0),"")</f>
        <v>عبد المنعم مجدى عبدربه محمد هلهل</v>
      </c>
      <c r="E81" s="204">
        <v>10</v>
      </c>
      <c r="F81" s="204"/>
      <c r="G81" s="204" t="s">
        <v>1598</v>
      </c>
      <c r="H81" s="204"/>
      <c r="I81" s="204"/>
      <c r="J81" s="204" t="s">
        <v>194</v>
      </c>
      <c r="K81" s="179">
        <v>70000</v>
      </c>
      <c r="L81" s="180"/>
      <c r="M81" s="285"/>
    </row>
    <row r="82" spans="1:13">
      <c r="A82" s="177">
        <v>45997</v>
      </c>
      <c r="B82" s="204" t="str">
        <f>TEXT(Table47[[#This Row],[التاريخ ]],"mmm")</f>
        <v>Dec</v>
      </c>
      <c r="C82" s="310" t="s">
        <v>1611</v>
      </c>
      <c r="D82" s="204" t="str">
        <f>IFERROR(VLOOKUP(E:E,'قاعدة بيانات  '!K:L,2,0),"")</f>
        <v>محمد عبدالمنعم عبدالحليم إبراهيم</v>
      </c>
      <c r="E82" s="204">
        <v>515</v>
      </c>
      <c r="F82" s="204"/>
      <c r="G82" s="204" t="s">
        <v>1598</v>
      </c>
      <c r="H82" s="204"/>
      <c r="I82" s="204"/>
      <c r="J82" s="204" t="s">
        <v>194</v>
      </c>
      <c r="K82" s="179">
        <v>1000</v>
      </c>
      <c r="L82" s="180"/>
      <c r="M82" s="285"/>
    </row>
    <row r="83" spans="1:13">
      <c r="A83" s="177">
        <v>45997</v>
      </c>
      <c r="B83" s="204" t="str">
        <f>TEXT(Table47[[#This Row],[التاريخ ]],"mmm")</f>
        <v>Dec</v>
      </c>
      <c r="C83" s="204" t="s">
        <v>1634</v>
      </c>
      <c r="D83" s="204" t="str">
        <f>IFERROR(VLOOKUP(E:E,'قاعدة بيانات  '!K:L,2,0),"")</f>
        <v>احمد محمد حسنى</v>
      </c>
      <c r="E83" s="204">
        <v>612</v>
      </c>
      <c r="F83" s="204"/>
      <c r="G83" s="204" t="s">
        <v>112</v>
      </c>
      <c r="H83" s="204"/>
      <c r="I83" s="204"/>
      <c r="J83" s="204" t="s">
        <v>194</v>
      </c>
      <c r="K83" s="179">
        <v>300</v>
      </c>
      <c r="L83" s="180"/>
      <c r="M83" s="285"/>
    </row>
    <row r="84" spans="1:13">
      <c r="A84" s="177">
        <v>45998</v>
      </c>
      <c r="B84" s="204" t="str">
        <f>TEXT(Table47[[#This Row],[التاريخ ]],"mmm")</f>
        <v>Dec</v>
      </c>
      <c r="C84" s="204" t="s">
        <v>1640</v>
      </c>
      <c r="D84" s="204" t="str">
        <f>IFERROR(VLOOKUP(E:E,'قاعدة بيانات  '!K:L,2,0),"")</f>
        <v>كريم خالد محمد محمود</v>
      </c>
      <c r="E84" s="204">
        <v>675</v>
      </c>
      <c r="F84" s="204"/>
      <c r="G84" s="204" t="s">
        <v>112</v>
      </c>
      <c r="H84" s="204"/>
      <c r="I84" s="204"/>
      <c r="J84" s="204" t="s">
        <v>194</v>
      </c>
      <c r="K84" s="179">
        <v>1300</v>
      </c>
      <c r="L84" s="180"/>
      <c r="M84" s="285"/>
    </row>
    <row r="85" spans="1:13">
      <c r="A85" s="177">
        <v>45999</v>
      </c>
      <c r="B85" s="204" t="str">
        <f>TEXT(Table47[[#This Row],[التاريخ ]],"mmm")</f>
        <v>Dec</v>
      </c>
      <c r="C85" s="204" t="s">
        <v>1642</v>
      </c>
      <c r="D85" s="204" t="str">
        <f>IFERROR(VLOOKUP(E:E,'قاعدة بيانات  '!K:L,2,0),"")</f>
        <v>باسم صلاح عبد الله قوشتى</v>
      </c>
      <c r="E85" s="204">
        <v>5</v>
      </c>
      <c r="F85" s="204"/>
      <c r="G85" s="204" t="s">
        <v>1598</v>
      </c>
      <c r="H85" s="204"/>
      <c r="I85" s="204"/>
      <c r="J85" s="204" t="s">
        <v>194</v>
      </c>
      <c r="K85" s="179">
        <v>15000</v>
      </c>
      <c r="L85" s="180"/>
      <c r="M85" s="285"/>
    </row>
    <row r="86" spans="1:13">
      <c r="A86" s="177">
        <v>45999</v>
      </c>
      <c r="B86" s="204" t="str">
        <f>TEXT(Table47[[#This Row],[التاريخ ]],"mmm")</f>
        <v>Dec</v>
      </c>
      <c r="C86" s="204" t="s">
        <v>1643</v>
      </c>
      <c r="D86" s="204" t="str">
        <f>IFERROR(VLOOKUP(E:E,'قاعدة بيانات  '!K:L,2,0),"")</f>
        <v>باسم صلاح عبد الله قوشتى</v>
      </c>
      <c r="E86" s="204">
        <v>5</v>
      </c>
      <c r="F86" s="204"/>
      <c r="G86" s="204" t="s">
        <v>1598</v>
      </c>
      <c r="H86" s="204"/>
      <c r="I86" s="204"/>
      <c r="J86" s="204" t="s">
        <v>194</v>
      </c>
      <c r="K86" s="179">
        <v>7400</v>
      </c>
      <c r="L86" s="180"/>
      <c r="M86" s="285"/>
    </row>
    <row r="87" spans="1:13">
      <c r="A87" s="177">
        <v>45999</v>
      </c>
      <c r="B87" s="204" t="str">
        <f>TEXT(Table47[[#This Row],[التاريخ ]],"mmm")</f>
        <v>Dec</v>
      </c>
      <c r="C87" s="204" t="s">
        <v>1644</v>
      </c>
      <c r="D87" s="204" t="str">
        <f>IFERROR(VLOOKUP(E:E,'قاعدة بيانات  '!K:L,2,0),"")</f>
        <v>عبد العزيز صلاح عبد العزيز على حسن</v>
      </c>
      <c r="E87" s="204">
        <v>20</v>
      </c>
      <c r="F87" s="204"/>
      <c r="G87" s="204" t="s">
        <v>112</v>
      </c>
      <c r="H87" s="204"/>
      <c r="I87" s="204"/>
      <c r="J87" s="204" t="s">
        <v>194</v>
      </c>
      <c r="K87" s="179">
        <v>1000</v>
      </c>
      <c r="L87" s="180"/>
      <c r="M87" s="285"/>
    </row>
    <row r="88" spans="1:13">
      <c r="A88" s="177">
        <v>45999</v>
      </c>
      <c r="B88" s="204" t="str">
        <f>TEXT(Table47[[#This Row],[التاريخ ]],"mmm")</f>
        <v>Dec</v>
      </c>
      <c r="C88" s="204" t="s">
        <v>1645</v>
      </c>
      <c r="D88" s="204" t="str">
        <f>IFERROR(VLOOKUP(E:E,'قاعدة بيانات  '!K:L,2,0),"")</f>
        <v>كريم خالد محمد محمود</v>
      </c>
      <c r="E88" s="204">
        <v>675</v>
      </c>
      <c r="F88" s="204"/>
      <c r="G88" s="204" t="s">
        <v>112</v>
      </c>
      <c r="H88" s="204"/>
      <c r="I88" s="204"/>
      <c r="J88" s="204" t="s">
        <v>194</v>
      </c>
      <c r="K88" s="179">
        <v>300</v>
      </c>
      <c r="L88" s="180"/>
      <c r="M88" s="285"/>
    </row>
    <row r="89" spans="1:13">
      <c r="A89" s="177">
        <v>45999</v>
      </c>
      <c r="B89" s="204" t="str">
        <f>TEXT(Table47[[#This Row],[التاريخ ]],"mmm")</f>
        <v>Dec</v>
      </c>
      <c r="C89" s="204" t="s">
        <v>1646</v>
      </c>
      <c r="D89" s="204" t="str">
        <f>IFERROR(VLOOKUP(E:E,'قاعدة بيانات  '!K:L,2,0),"")</f>
        <v>احمد عبدالعزيز إبراهيم عبدالعزيز</v>
      </c>
      <c r="E89" s="204">
        <v>655</v>
      </c>
      <c r="F89" s="204"/>
      <c r="G89" s="204" t="s">
        <v>112</v>
      </c>
      <c r="H89" s="204"/>
      <c r="I89" s="204"/>
      <c r="J89" s="204" t="s">
        <v>194</v>
      </c>
      <c r="K89" s="179">
        <v>300</v>
      </c>
      <c r="L89" s="180"/>
      <c r="M89" s="285"/>
    </row>
    <row r="90" spans="1:13">
      <c r="A90" s="177">
        <v>45999</v>
      </c>
      <c r="B90" s="204" t="str">
        <f>TEXT(Table47[[#This Row],[التاريخ ]],"mmm")</f>
        <v>Dec</v>
      </c>
      <c r="C90" s="204" t="s">
        <v>1647</v>
      </c>
      <c r="D90" s="204" t="str">
        <f>IFERROR(VLOOKUP(E:E,'قاعدة بيانات  '!K:L,2,0),"")</f>
        <v>كريم يحي امين</v>
      </c>
      <c r="E90" s="204">
        <v>812</v>
      </c>
      <c r="F90" s="204"/>
      <c r="G90" s="204" t="s">
        <v>112</v>
      </c>
      <c r="H90" s="204"/>
      <c r="I90" s="204"/>
      <c r="J90" s="204" t="s">
        <v>194</v>
      </c>
      <c r="K90" s="179">
        <v>4200</v>
      </c>
      <c r="L90" s="180"/>
      <c r="M90" s="285"/>
    </row>
    <row r="91" spans="1:13">
      <c r="A91" s="177">
        <v>45999</v>
      </c>
      <c r="B91" s="204" t="str">
        <f>TEXT(Table47[[#This Row],[التاريخ ]],"mmm")</f>
        <v>Dec</v>
      </c>
      <c r="C91" s="204" t="s">
        <v>1679</v>
      </c>
      <c r="D91" s="204" t="str">
        <f>IFERROR(VLOOKUP(E:E,'قاعدة بيانات  '!K:L,2,0),"")</f>
        <v>كريم خالد محمد محمود</v>
      </c>
      <c r="E91" s="204">
        <v>675</v>
      </c>
      <c r="F91" s="204" t="s">
        <v>1620</v>
      </c>
      <c r="G91" s="204" t="s">
        <v>112</v>
      </c>
      <c r="H91" s="204"/>
      <c r="I91" s="204"/>
      <c r="J91" s="204" t="s">
        <v>194</v>
      </c>
      <c r="K91" s="179">
        <v>7500</v>
      </c>
      <c r="L91" s="180"/>
      <c r="M91" s="285"/>
    </row>
    <row r="92" spans="1:13">
      <c r="A92" s="177">
        <v>45999</v>
      </c>
      <c r="B92" s="204" t="str">
        <f>TEXT(Table47[[#This Row],[التاريخ ]],"mmm")</f>
        <v>Dec</v>
      </c>
      <c r="C92" s="204" t="s">
        <v>1679</v>
      </c>
      <c r="D92" s="204" t="str">
        <f>IFERROR(VLOOKUP(E:E,'قاعدة بيانات  '!K:L,2,0),"")</f>
        <v>كريم يحي امين</v>
      </c>
      <c r="E92" s="204">
        <v>812</v>
      </c>
      <c r="F92" s="204" t="s">
        <v>1620</v>
      </c>
      <c r="G92" s="204" t="s">
        <v>112</v>
      </c>
      <c r="H92" s="204"/>
      <c r="I92" s="204"/>
      <c r="J92" s="204" t="s">
        <v>194</v>
      </c>
      <c r="K92" s="179">
        <v>7500</v>
      </c>
      <c r="L92" s="180"/>
      <c r="M92" s="285"/>
    </row>
    <row r="93" spans="1:13">
      <c r="A93" s="177">
        <v>45999</v>
      </c>
      <c r="B93" s="204" t="str">
        <f>TEXT(Table47[[#This Row],[التاريخ ]],"mmm")</f>
        <v>Dec</v>
      </c>
      <c r="C93" s="204" t="s">
        <v>1679</v>
      </c>
      <c r="D93" s="204" t="str">
        <f>IFERROR(VLOOKUP(E:E,'قاعدة بيانات  '!K:L,2,0),"")</f>
        <v>الهام حسن عبدالمولي</v>
      </c>
      <c r="E93" s="204">
        <v>744</v>
      </c>
      <c r="F93" s="204" t="s">
        <v>1620</v>
      </c>
      <c r="G93" s="204" t="s">
        <v>112</v>
      </c>
      <c r="H93" s="204"/>
      <c r="I93" s="204"/>
      <c r="J93" s="204" t="s">
        <v>194</v>
      </c>
      <c r="K93" s="179">
        <v>7500</v>
      </c>
      <c r="L93" s="180"/>
      <c r="M93" s="285"/>
    </row>
    <row r="94" spans="1:13">
      <c r="A94" s="177">
        <v>45999</v>
      </c>
      <c r="B94" s="204" t="str">
        <f>TEXT(Table47[[#This Row],[التاريخ ]],"mmm")</f>
        <v>Dec</v>
      </c>
      <c r="C94" s="204" t="s">
        <v>1679</v>
      </c>
      <c r="D94" s="204" t="str">
        <f>IFERROR(VLOOKUP(E:E,'قاعدة بيانات  '!K:L,2,0),"")</f>
        <v>محمد مجدى السيد عبد الدايم</v>
      </c>
      <c r="E94" s="204">
        <v>62</v>
      </c>
      <c r="F94" s="204" t="s">
        <v>1620</v>
      </c>
      <c r="G94" s="204" t="s">
        <v>112</v>
      </c>
      <c r="H94" s="204"/>
      <c r="I94" s="204"/>
      <c r="J94" s="204" t="s">
        <v>194</v>
      </c>
      <c r="K94" s="179">
        <v>15000</v>
      </c>
      <c r="L94" s="180"/>
      <c r="M94" s="285"/>
    </row>
    <row r="95" spans="1:13">
      <c r="A95" s="177">
        <v>45999</v>
      </c>
      <c r="B95" s="204" t="str">
        <f>TEXT(Table47[[#This Row],[التاريخ ]],"mmm")</f>
        <v>Dec</v>
      </c>
      <c r="C95" s="204" t="s">
        <v>1659</v>
      </c>
      <c r="D95" s="204" t="str">
        <f>IFERROR(VLOOKUP(E:E,'قاعدة بيانات  '!K:L,2,0),"")</f>
        <v>باسم ناجى سعد ابرهيم خلف</v>
      </c>
      <c r="E95" s="204">
        <v>294</v>
      </c>
      <c r="F95" s="204"/>
      <c r="G95" s="204" t="s">
        <v>111</v>
      </c>
      <c r="H95" s="204"/>
      <c r="I95" s="204"/>
      <c r="J95" s="204" t="s">
        <v>194</v>
      </c>
      <c r="K95" s="179">
        <v>30000</v>
      </c>
      <c r="L95" s="180"/>
      <c r="M95" s="285"/>
    </row>
    <row r="96" spans="1:13">
      <c r="A96" s="177">
        <v>46000</v>
      </c>
      <c r="B96" s="204" t="str">
        <f>TEXT(Table47[[#This Row],[التاريخ ]],"mmm")</f>
        <v>Dec</v>
      </c>
      <c r="C96" s="204" t="s">
        <v>1661</v>
      </c>
      <c r="D96" s="204" t="str">
        <f>IFERROR(VLOOKUP(E:E,'قاعدة بيانات  '!K:L,2,0),"")</f>
        <v>باسم صلاح عبد الله قوشتى</v>
      </c>
      <c r="E96" s="204">
        <v>5</v>
      </c>
      <c r="F96" s="204"/>
      <c r="G96" s="204" t="s">
        <v>1598</v>
      </c>
      <c r="H96" s="204"/>
      <c r="I96" s="204"/>
      <c r="J96" s="204" t="s">
        <v>194</v>
      </c>
      <c r="K96" s="179">
        <v>7500</v>
      </c>
      <c r="L96" s="180"/>
      <c r="M96" s="285"/>
    </row>
    <row r="97" spans="1:13">
      <c r="A97" s="177">
        <v>46000</v>
      </c>
      <c r="B97" s="204" t="str">
        <f>TEXT(Table47[[#This Row],[التاريخ ]],"mmm")</f>
        <v>Dec</v>
      </c>
      <c r="C97" s="204" t="s">
        <v>1663</v>
      </c>
      <c r="D97" s="204" t="str">
        <f>IFERROR(VLOOKUP(E:E,'قاعدة بيانات  '!K:L,2,0),"")</f>
        <v>محمد عبدالمنعم عبدالحليم إبراهيم</v>
      </c>
      <c r="E97" s="204">
        <v>515</v>
      </c>
      <c r="F97" s="204"/>
      <c r="G97" s="204" t="s">
        <v>1598</v>
      </c>
      <c r="H97" s="204"/>
      <c r="I97" s="204"/>
      <c r="J97" s="204" t="s">
        <v>194</v>
      </c>
      <c r="K97" s="179">
        <v>1120</v>
      </c>
      <c r="L97" s="180" t="s">
        <v>1666</v>
      </c>
      <c r="M97" s="285"/>
    </row>
    <row r="98" spans="1:13">
      <c r="A98" s="177">
        <v>46000</v>
      </c>
      <c r="B98" s="204" t="str">
        <f>TEXT(Table47[[#This Row],[التاريخ ]],"mmm")</f>
        <v>Dec</v>
      </c>
      <c r="C98" s="204" t="s">
        <v>1350</v>
      </c>
      <c r="D98" s="204" t="str">
        <f>IFERROR(VLOOKUP(E:E,'قاعدة بيانات  '!K:L,2,0),"")</f>
        <v>احمد محمد حسنى</v>
      </c>
      <c r="E98" s="204">
        <v>612</v>
      </c>
      <c r="F98" s="204"/>
      <c r="G98" s="204" t="s">
        <v>112</v>
      </c>
      <c r="H98" s="204"/>
      <c r="I98" s="204"/>
      <c r="J98" s="204" t="s">
        <v>194</v>
      </c>
      <c r="K98" s="179">
        <v>500</v>
      </c>
      <c r="L98" s="180"/>
      <c r="M98" s="285"/>
    </row>
    <row r="99" spans="1:13">
      <c r="A99" s="177">
        <v>46001</v>
      </c>
      <c r="B99" s="204" t="str">
        <f>TEXT(Table47[[#This Row],[التاريخ ]],"mmm")</f>
        <v>Dec</v>
      </c>
      <c r="C99" s="204" t="s">
        <v>1672</v>
      </c>
      <c r="D99" s="204" t="str">
        <f>IFERROR(VLOOKUP(E:E,'قاعدة بيانات  '!K:L,2,0),"")</f>
        <v>كريم يحي امين</v>
      </c>
      <c r="E99" s="204">
        <v>812</v>
      </c>
      <c r="F99" s="204"/>
      <c r="G99" s="204" t="s">
        <v>112</v>
      </c>
      <c r="H99" s="204"/>
      <c r="I99" s="204"/>
      <c r="J99" s="204" t="s">
        <v>194</v>
      </c>
      <c r="K99" s="179">
        <v>300</v>
      </c>
      <c r="L99" s="180"/>
      <c r="M99" s="285"/>
    </row>
    <row r="100" spans="1:13">
      <c r="A100" s="177">
        <v>46001</v>
      </c>
      <c r="B100" s="204" t="str">
        <f>TEXT(Table47[[#This Row],[التاريخ ]],"mmm")</f>
        <v>Dec</v>
      </c>
      <c r="C100" s="204" t="s">
        <v>1673</v>
      </c>
      <c r="D100" s="204" t="str">
        <f>IFERROR(VLOOKUP(E:E,'قاعدة بيانات  '!K:L,2,0),"")</f>
        <v>احمد عبدالعزيز إبراهيم عبدالعزيز</v>
      </c>
      <c r="E100" s="204">
        <v>655</v>
      </c>
      <c r="F100" s="204"/>
      <c r="G100" s="204" t="s">
        <v>112</v>
      </c>
      <c r="H100" s="204"/>
      <c r="I100" s="204"/>
      <c r="J100" s="204" t="s">
        <v>194</v>
      </c>
      <c r="K100" s="179">
        <v>400</v>
      </c>
      <c r="L100" s="180"/>
      <c r="M100" s="285"/>
    </row>
    <row r="101" spans="1:13">
      <c r="A101" s="177">
        <v>46001</v>
      </c>
      <c r="B101" s="204" t="str">
        <f>TEXT(Table47[[#This Row],[التاريخ ]],"mmm")</f>
        <v>Dec</v>
      </c>
      <c r="C101" s="204" t="s">
        <v>1674</v>
      </c>
      <c r="D101" s="204" t="s">
        <v>1675</v>
      </c>
      <c r="E101" s="204"/>
      <c r="F101" s="204"/>
      <c r="G101" s="204" t="s">
        <v>1114</v>
      </c>
      <c r="H101" s="204"/>
      <c r="I101" s="204"/>
      <c r="J101" s="204" t="s">
        <v>194</v>
      </c>
      <c r="K101" s="179">
        <v>200</v>
      </c>
      <c r="L101" s="180"/>
      <c r="M101" s="285"/>
    </row>
    <row r="102" spans="1:13">
      <c r="A102" s="177">
        <v>46001</v>
      </c>
      <c r="B102" s="204" t="str">
        <f>TEXT(Table47[[#This Row],[التاريخ ]],"mmm")</f>
        <v>Dec</v>
      </c>
      <c r="C102" s="204" t="s">
        <v>1676</v>
      </c>
      <c r="D102" s="204" t="str">
        <f>IFERROR(VLOOKUP(E:E,'قاعدة بيانات  '!K:L,2,0),"")</f>
        <v>اسامه محمد احمد عبد الحميد</v>
      </c>
      <c r="E102" s="204">
        <v>492</v>
      </c>
      <c r="F102" s="204"/>
      <c r="G102" s="204" t="s">
        <v>1598</v>
      </c>
      <c r="H102" s="204"/>
      <c r="I102" s="204"/>
      <c r="J102" s="204" t="s">
        <v>194</v>
      </c>
      <c r="K102" s="179">
        <v>21000</v>
      </c>
      <c r="L102" s="180"/>
      <c r="M102" s="285"/>
    </row>
    <row r="103" spans="1:13">
      <c r="A103" s="177">
        <v>46002</v>
      </c>
      <c r="B103" s="204" t="str">
        <f>TEXT(Table47[[#This Row],[التاريخ ]],"mmm")</f>
        <v>Dec</v>
      </c>
      <c r="C103" s="204" t="s">
        <v>1678</v>
      </c>
      <c r="D103" s="204" t="str">
        <f>IFERROR(VLOOKUP(E:E,'قاعدة بيانات  '!K:L,2,0),"")</f>
        <v>محمد عبدالمنعم عبدالحليم إبراهيم</v>
      </c>
      <c r="E103" s="204">
        <v>515</v>
      </c>
      <c r="F103" s="204"/>
      <c r="G103" s="204" t="s">
        <v>1598</v>
      </c>
      <c r="H103" s="204"/>
      <c r="I103" s="204"/>
      <c r="J103" s="204" t="s">
        <v>194</v>
      </c>
      <c r="K103" s="179">
        <v>3700</v>
      </c>
      <c r="L103" s="180"/>
      <c r="M103" s="285"/>
    </row>
    <row r="104" spans="1:13">
      <c r="A104" s="177">
        <v>46002</v>
      </c>
      <c r="B104" s="204" t="str">
        <f>TEXT(Table47[[#This Row],[التاريخ ]],"mmm")</f>
        <v>Dec</v>
      </c>
      <c r="C104" s="204" t="s">
        <v>1641</v>
      </c>
      <c r="D104" s="204" t="str">
        <f>IFERROR(VLOOKUP(E:E,'قاعدة بيانات  '!K:L,2,0),"")</f>
        <v xml:space="preserve">عبدالله هاني عبد المنعم عيد </v>
      </c>
      <c r="E104" s="204">
        <v>756</v>
      </c>
      <c r="F104" s="204"/>
      <c r="G104" s="204" t="s">
        <v>1113</v>
      </c>
      <c r="H104" s="204"/>
      <c r="I104" s="204"/>
      <c r="J104" s="204" t="s">
        <v>194</v>
      </c>
      <c r="K104" s="179">
        <f>500-255+20</f>
        <v>265</v>
      </c>
      <c r="L104" s="180" t="s">
        <v>1681</v>
      </c>
      <c r="M104" s="285"/>
    </row>
    <row r="105" spans="1:13">
      <c r="A105" s="177">
        <v>46002</v>
      </c>
      <c r="B105" s="204" t="str">
        <f>TEXT(Table47[[#This Row],[التاريخ ]],"mmm")</f>
        <v>Dec</v>
      </c>
      <c r="C105" s="204" t="s">
        <v>1682</v>
      </c>
      <c r="D105" s="204" t="str">
        <f>IFERROR(VLOOKUP(E:E,'قاعدة بيانات  '!K:L,2,0),"")</f>
        <v>محمد حسن تقى دشناوى</v>
      </c>
      <c r="E105" s="204">
        <v>738</v>
      </c>
      <c r="F105" s="204"/>
      <c r="G105" s="204" t="s">
        <v>112</v>
      </c>
      <c r="H105" s="204"/>
      <c r="I105" s="204"/>
      <c r="J105" s="204" t="s">
        <v>194</v>
      </c>
      <c r="K105" s="179">
        <v>500</v>
      </c>
      <c r="L105" s="180"/>
      <c r="M105" s="285"/>
    </row>
    <row r="106" spans="1:13">
      <c r="A106" s="177">
        <v>46002</v>
      </c>
      <c r="B106" s="204" t="str">
        <f>TEXT(Table47[[#This Row],[التاريخ ]],"mmm")</f>
        <v>Dec</v>
      </c>
      <c r="C106" s="204" t="s">
        <v>1683</v>
      </c>
      <c r="D106" s="204" t="str">
        <f>IFERROR(VLOOKUP(E:E,'قاعدة بيانات  '!K:L,2,0),"")</f>
        <v>محمود النادى أبو الحسن احمد</v>
      </c>
      <c r="E106" s="204">
        <v>31</v>
      </c>
      <c r="F106" s="204"/>
      <c r="G106" s="204" t="s">
        <v>1113</v>
      </c>
      <c r="H106" s="204"/>
      <c r="I106" s="204"/>
      <c r="J106" s="204" t="s">
        <v>194</v>
      </c>
      <c r="K106" s="179">
        <v>200</v>
      </c>
      <c r="L106" s="180"/>
      <c r="M106" s="285"/>
    </row>
    <row r="107" spans="1:13">
      <c r="D107" s="296" t="s">
        <v>5</v>
      </c>
      <c r="E107" s="338" t="s">
        <v>1503</v>
      </c>
      <c r="J107">
        <f>5168+682+530+68336+575+35000+36+52</f>
        <v>110379</v>
      </c>
      <c r="K107" s="1">
        <f>305+70+180+143+308+18+33+120+237+1903+62+200+43+40+1610+508+38+1262+28+495+48</f>
        <v>7651</v>
      </c>
      <c r="L107" s="357"/>
    </row>
    <row r="109" spans="1:13">
      <c r="D109" s="296" t="s">
        <v>7</v>
      </c>
      <c r="E109" s="296" t="s">
        <v>3</v>
      </c>
      <c r="F109" t="s">
        <v>1333</v>
      </c>
      <c r="L109" s="357"/>
    </row>
    <row r="110" spans="1:13">
      <c r="D110" t="s">
        <v>1114</v>
      </c>
      <c r="E110" t="s">
        <v>455</v>
      </c>
      <c r="F110">
        <v>100</v>
      </c>
      <c r="I110" t="s">
        <v>1667</v>
      </c>
      <c r="J110" t="s">
        <v>1668</v>
      </c>
      <c r="K110" s="1" t="s">
        <v>1669</v>
      </c>
      <c r="L110" t="s">
        <v>1670</v>
      </c>
    </row>
    <row r="111" spans="1:13">
      <c r="E111" t="s">
        <v>1173</v>
      </c>
      <c r="F111">
        <v>200</v>
      </c>
      <c r="I111" s="358">
        <v>9029</v>
      </c>
      <c r="J111">
        <v>5800</v>
      </c>
      <c r="K111" s="1">
        <f>K112-6477.5</f>
        <v>-1054.5</v>
      </c>
      <c r="L111">
        <v>3345</v>
      </c>
      <c r="M111">
        <f>L111-1315</f>
        <v>2030</v>
      </c>
    </row>
    <row r="112" spans="1:13">
      <c r="E112" t="s">
        <v>1675</v>
      </c>
      <c r="F112">
        <v>200</v>
      </c>
      <c r="I112" s="358">
        <f>I111-7482</f>
        <v>1547</v>
      </c>
      <c r="J112">
        <f>J111-[13]Total!$E$32</f>
        <v>5800</v>
      </c>
      <c r="K112" s="1">
        <v>5423</v>
      </c>
      <c r="L112" s="358">
        <v>6815</v>
      </c>
    </row>
    <row r="113" spans="4:12">
      <c r="D113" t="s">
        <v>1369</v>
      </c>
      <c r="F113">
        <v>500</v>
      </c>
      <c r="L113">
        <f>L112-L111</f>
        <v>3470</v>
      </c>
    </row>
    <row r="114" spans="4:12">
      <c r="D114" t="s">
        <v>1113</v>
      </c>
      <c r="E114" t="s">
        <v>1414</v>
      </c>
      <c r="F114">
        <v>200</v>
      </c>
    </row>
    <row r="115" spans="4:12">
      <c r="E115" t="s">
        <v>1247</v>
      </c>
      <c r="F115">
        <v>200</v>
      </c>
    </row>
    <row r="116" spans="4:12">
      <c r="E116" t="s">
        <v>1401</v>
      </c>
      <c r="F116">
        <v>1350</v>
      </c>
    </row>
    <row r="117" spans="4:12">
      <c r="D117" t="s">
        <v>1439</v>
      </c>
      <c r="F117">
        <v>1750</v>
      </c>
      <c r="I117" s="358"/>
    </row>
    <row r="118" spans="4:12">
      <c r="D118" t="s">
        <v>768</v>
      </c>
      <c r="E118" t="s">
        <v>1157</v>
      </c>
      <c r="F118">
        <v>2000</v>
      </c>
    </row>
    <row r="119" spans="4:12">
      <c r="D119" t="s">
        <v>1368</v>
      </c>
      <c r="F119">
        <v>2000</v>
      </c>
    </row>
    <row r="120" spans="4:12">
      <c r="D120" t="s">
        <v>112</v>
      </c>
      <c r="E120" t="s">
        <v>1107</v>
      </c>
      <c r="F120">
        <v>7586</v>
      </c>
      <c r="H120">
        <f>8008-GETPIVOTDATA("العهدة ",$D$109,"المنصرف اليه ","احمد عبدالعزيز إبراهيم عبدالعزيز","التصنيف ","القانونيه ")</f>
        <v>422</v>
      </c>
    </row>
    <row r="121" spans="4:12">
      <c r="E121" t="s">
        <v>1026</v>
      </c>
      <c r="F121">
        <v>2517</v>
      </c>
    </row>
    <row r="122" spans="4:12">
      <c r="E122" t="s">
        <v>772</v>
      </c>
      <c r="F122">
        <v>2200</v>
      </c>
    </row>
    <row r="123" spans="4:12">
      <c r="E123" t="s">
        <v>417</v>
      </c>
      <c r="F123">
        <v>3100</v>
      </c>
    </row>
    <row r="124" spans="4:12">
      <c r="E124" t="s">
        <v>1303</v>
      </c>
      <c r="F124">
        <v>8470</v>
      </c>
      <c r="H124">
        <f>11815-8470</f>
        <v>3345</v>
      </c>
      <c r="I124">
        <f>3415-3345</f>
        <v>70</v>
      </c>
    </row>
    <row r="125" spans="4:12">
      <c r="E125" t="s">
        <v>1289</v>
      </c>
      <c r="F125">
        <v>873.5</v>
      </c>
    </row>
    <row r="126" spans="4:12">
      <c r="E126" t="s">
        <v>217</v>
      </c>
      <c r="F126">
        <v>16547</v>
      </c>
      <c r="H126">
        <f>24029-16547</f>
        <v>7482</v>
      </c>
    </row>
    <row r="127" spans="4:12">
      <c r="E127" t="s">
        <v>988</v>
      </c>
      <c r="F127">
        <v>24942</v>
      </c>
      <c r="H127">
        <f>30365-24942</f>
        <v>5423</v>
      </c>
      <c r="I127" s="358">
        <v>6477.5</v>
      </c>
      <c r="J127" s="358">
        <f>+I127-H127</f>
        <v>1054.5</v>
      </c>
    </row>
    <row r="128" spans="4:12">
      <c r="E128" t="s">
        <v>1132</v>
      </c>
      <c r="F128">
        <v>6888.5</v>
      </c>
      <c r="H128">
        <f>10292-6888.5</f>
        <v>3403.5</v>
      </c>
    </row>
    <row r="129" spans="4:9">
      <c r="E129" t="s">
        <v>1266</v>
      </c>
      <c r="F129">
        <v>591</v>
      </c>
      <c r="H129">
        <f>2200-591</f>
        <v>1609</v>
      </c>
    </row>
    <row r="130" spans="4:9">
      <c r="E130" t="s">
        <v>229</v>
      </c>
      <c r="F130">
        <v>37500</v>
      </c>
      <c r="H130">
        <f>39000-37500</f>
        <v>1500</v>
      </c>
      <c r="I130">
        <v>740</v>
      </c>
    </row>
    <row r="131" spans="4:9">
      <c r="E131" t="s">
        <v>1579</v>
      </c>
      <c r="F131">
        <v>5500</v>
      </c>
    </row>
    <row r="132" spans="4:9">
      <c r="D132" t="s">
        <v>1677</v>
      </c>
      <c r="F132">
        <v>116715</v>
      </c>
    </row>
    <row r="133" spans="4:9">
      <c r="D133" t="s">
        <v>111</v>
      </c>
      <c r="E133" t="s">
        <v>400</v>
      </c>
      <c r="F133">
        <v>81088.06492341109</v>
      </c>
    </row>
    <row r="134" spans="4:9">
      <c r="E134" t="s">
        <v>253</v>
      </c>
      <c r="F134">
        <v>1000</v>
      </c>
    </row>
    <row r="135" spans="4:9">
      <c r="D135" t="s">
        <v>1366</v>
      </c>
      <c r="F135">
        <v>82088.06492341109</v>
      </c>
    </row>
    <row r="136" spans="4:9">
      <c r="D136" t="s">
        <v>301</v>
      </c>
      <c r="E136" t="s">
        <v>1347</v>
      </c>
      <c r="F136">
        <v>52888.985000000001</v>
      </c>
    </row>
    <row r="137" spans="4:9">
      <c r="E137" t="s">
        <v>400</v>
      </c>
      <c r="F137">
        <v>20000</v>
      </c>
    </row>
    <row r="138" spans="4:9">
      <c r="E138" t="s">
        <v>495</v>
      </c>
      <c r="F138">
        <v>33783</v>
      </c>
    </row>
    <row r="139" spans="4:9">
      <c r="E139" t="s">
        <v>1294</v>
      </c>
      <c r="F139">
        <v>16500</v>
      </c>
    </row>
    <row r="140" spans="4:9">
      <c r="E140" t="s">
        <v>206</v>
      </c>
      <c r="F140">
        <v>2566</v>
      </c>
    </row>
    <row r="141" spans="4:9">
      <c r="D141" t="s">
        <v>1367</v>
      </c>
      <c r="F141">
        <v>125737.985</v>
      </c>
    </row>
    <row r="142" spans="4:9">
      <c r="D142" t="s">
        <v>415</v>
      </c>
    </row>
    <row r="143" spans="4:9">
      <c r="D143" t="s">
        <v>1334</v>
      </c>
    </row>
    <row r="144" spans="4:9">
      <c r="D144" t="s">
        <v>1598</v>
      </c>
      <c r="E144" t="s">
        <v>417</v>
      </c>
      <c r="F144">
        <v>60500</v>
      </c>
    </row>
    <row r="145" spans="4:6">
      <c r="E145" t="s">
        <v>209</v>
      </c>
      <c r="F145">
        <v>93950</v>
      </c>
    </row>
    <row r="146" spans="4:6">
      <c r="E146" t="s">
        <v>495</v>
      </c>
      <c r="F146">
        <v>95000</v>
      </c>
    </row>
    <row r="147" spans="4:6">
      <c r="E147" t="s">
        <v>229</v>
      </c>
      <c r="F147">
        <v>0</v>
      </c>
    </row>
    <row r="148" spans="4:6">
      <c r="E148" t="s">
        <v>456</v>
      </c>
      <c r="F148">
        <v>17080</v>
      </c>
    </row>
    <row r="149" spans="4:6">
      <c r="D149" t="s">
        <v>1612</v>
      </c>
      <c r="F149">
        <v>266530</v>
      </c>
    </row>
    <row r="150" spans="4:6">
      <c r="D150" t="s">
        <v>39</v>
      </c>
      <c r="F150">
        <v>595321.0499234111</v>
      </c>
    </row>
  </sheetData>
  <phoneticPr fontId="14" type="noConversion"/>
  <pageMargins left="0.25" right="0.25" top="0.75" bottom="0.75" header="0.3" footer="0.3"/>
  <pageSetup paperSize="9" scale="31" orientation="landscape" r:id="rId2"/>
  <drawing r:id="rId3"/>
  <tableParts count="1">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19E10DD4-747A-4133-8F0B-35358EE83835}">
          <x14:formula1>
            <xm:f>'قاعدة بيانات  '!$I$3:$I$1048576</xm:f>
          </x14:formula1>
          <xm:sqref>H3:H106</xm:sqref>
        </x14:dataValidation>
        <x14:dataValidation type="list" allowBlank="1" showInputMessage="1" showErrorMessage="1" xr:uid="{803C104B-D21D-48C5-B74B-116EBC8CB4E4}">
          <x14:formula1>
            <xm:f>'قاعدة بيانات  '!$G$3:$G$1048576</xm:f>
          </x14:formula1>
          <xm:sqref>G3:G106</xm:sqref>
        </x14:dataValidation>
        <x14:dataValidation type="list" allowBlank="1" showInputMessage="1" showErrorMessage="1" xr:uid="{EC4702F8-A27A-4412-821B-D0297FAEB022}">
          <x14:formula1>
            <xm:f>'قاعدة بيانات  '!$F$3:$F$1048576</xm:f>
          </x14:formula1>
          <xm:sqref>F3:F106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9DE62-1E0D-4DC5-9416-A3023403F349}">
  <sheetPr codeName="Sheet6"/>
  <dimension ref="A1:L856"/>
  <sheetViews>
    <sheetView workbookViewId="0"/>
  </sheetViews>
  <sheetFormatPr defaultRowHeight="22.5"/>
  <cols>
    <col min="1" max="1" width="25.140625" style="3" bestFit="1" customWidth="1"/>
    <col min="2" max="2" width="22" style="3" bestFit="1" customWidth="1"/>
    <col min="3" max="3" width="24" style="3" bestFit="1" customWidth="1"/>
    <col min="4" max="4" width="17.140625" style="4" bestFit="1" customWidth="1"/>
    <col min="5" max="5" width="24.5703125" style="4" bestFit="1" customWidth="1"/>
    <col min="6" max="6" width="23" style="4" bestFit="1" customWidth="1"/>
    <col min="7" max="7" width="163" style="5" customWidth="1"/>
    <col min="8" max="8" width="20.5703125" style="5" customWidth="1"/>
    <col min="9" max="9" width="39.85546875" style="4" bestFit="1" customWidth="1"/>
    <col min="10" max="10" width="16.42578125" style="4" bestFit="1" customWidth="1"/>
    <col min="11" max="11" width="9.140625" style="4"/>
    <col min="12" max="12" width="27" style="4" bestFit="1" customWidth="1"/>
    <col min="13" max="16384" width="9.140625" style="4"/>
  </cols>
  <sheetData>
    <row r="1" spans="1:12" ht="97.5" customHeight="1">
      <c r="A1" s="2">
        <f>A854</f>
        <v>384822.18840526306</v>
      </c>
    </row>
    <row r="2" spans="1:12" ht="38.25" customHeight="1">
      <c r="A2" s="6" t="s">
        <v>15</v>
      </c>
      <c r="B2" s="6" t="s">
        <v>16</v>
      </c>
      <c r="C2" s="6" t="s">
        <v>17</v>
      </c>
      <c r="D2" s="7" t="s">
        <v>18</v>
      </c>
      <c r="E2" s="7" t="s">
        <v>19</v>
      </c>
      <c r="F2" s="7" t="s">
        <v>20</v>
      </c>
      <c r="G2" s="7" t="s">
        <v>21</v>
      </c>
      <c r="H2" s="7"/>
      <c r="I2" s="7"/>
      <c r="J2" s="8"/>
    </row>
    <row r="3" spans="1:12" ht="38.25" customHeight="1">
      <c r="A3" s="6" t="s">
        <v>22</v>
      </c>
      <c r="B3" s="6" t="s">
        <v>23</v>
      </c>
      <c r="C3" s="6" t="s">
        <v>24</v>
      </c>
      <c r="D3" s="7" t="s">
        <v>25</v>
      </c>
      <c r="E3" s="7" t="s">
        <v>26</v>
      </c>
      <c r="F3" s="7" t="s">
        <v>27</v>
      </c>
      <c r="G3" s="7" t="s">
        <v>28</v>
      </c>
      <c r="H3" s="7" t="s">
        <v>1</v>
      </c>
      <c r="I3" s="7" t="s">
        <v>29</v>
      </c>
      <c r="J3" s="7" t="s">
        <v>30</v>
      </c>
      <c r="K3" s="9" t="s">
        <v>31</v>
      </c>
      <c r="L3" s="295" t="s">
        <v>1317</v>
      </c>
    </row>
    <row r="4" spans="1:12">
      <c r="A4" s="3">
        <f>B4</f>
        <v>144422.51999999999</v>
      </c>
      <c r="B4" s="3">
        <v>144422.51999999999</v>
      </c>
      <c r="F4" s="158">
        <v>45292</v>
      </c>
      <c r="G4" s="5" t="s">
        <v>303</v>
      </c>
      <c r="H4" s="5" t="str">
        <f>TEXT(Table34[[#This Row],[Value Date]],"mmmm")</f>
        <v>January</v>
      </c>
    </row>
    <row r="5" spans="1:12">
      <c r="A5" s="3">
        <f>A4+B5-C5</f>
        <v>144122.51999999999</v>
      </c>
      <c r="C5" s="3">
        <v>300</v>
      </c>
      <c r="D5" s="158"/>
      <c r="E5" s="158"/>
      <c r="F5" s="158">
        <v>45685</v>
      </c>
      <c r="G5" s="5" t="s">
        <v>1318</v>
      </c>
      <c r="H5" s="5" t="str">
        <f>TEXT(Table34[[#This Row],[Value Date]],"mmmm")</f>
        <v>January</v>
      </c>
    </row>
    <row r="6" spans="1:12">
      <c r="A6" s="3">
        <f t="shared" ref="A6:A69" si="0">A5+B6-C6</f>
        <v>144062.51999999999</v>
      </c>
      <c r="C6" s="3">
        <v>60</v>
      </c>
      <c r="D6" s="158"/>
      <c r="E6" s="158"/>
      <c r="F6" s="158">
        <v>45685</v>
      </c>
      <c r="G6" s="5" t="s">
        <v>1319</v>
      </c>
      <c r="H6" s="5" t="str">
        <f>TEXT(Table34[[#This Row],[Value Date]],"mmmm")</f>
        <v>January</v>
      </c>
    </row>
    <row r="7" spans="1:12">
      <c r="A7" s="3">
        <f t="shared" si="0"/>
        <v>143987.51999999999</v>
      </c>
      <c r="C7" s="3">
        <v>75</v>
      </c>
      <c r="D7" s="158"/>
      <c r="E7" s="158"/>
      <c r="F7" s="158">
        <v>45689</v>
      </c>
      <c r="G7" s="5" t="s">
        <v>1320</v>
      </c>
      <c r="H7" s="5" t="str">
        <f>TEXT(Table34[[#This Row],[Value Date]],"mmmm")</f>
        <v>February</v>
      </c>
    </row>
    <row r="8" spans="1:12">
      <c r="A8" s="3">
        <f t="shared" si="0"/>
        <v>484019.55999999994</v>
      </c>
      <c r="B8" s="3">
        <v>340032.04</v>
      </c>
      <c r="F8" s="158">
        <v>45698</v>
      </c>
      <c r="G8" s="5" t="s">
        <v>1321</v>
      </c>
      <c r="H8" s="5" t="str">
        <f>TEXT(Table34[[#This Row],[Value Date]],"mmmm")</f>
        <v>February</v>
      </c>
    </row>
    <row r="9" spans="1:12">
      <c r="A9" s="3">
        <f t="shared" si="0"/>
        <v>480019.55999999994</v>
      </c>
      <c r="C9" s="3">
        <v>4000</v>
      </c>
      <c r="F9" s="158">
        <v>45699</v>
      </c>
      <c r="G9" s="5" t="s">
        <v>1322</v>
      </c>
      <c r="H9" s="5" t="str">
        <f>TEXT(Table34[[#This Row],[Value Date]],"mmmm")</f>
        <v>February</v>
      </c>
    </row>
    <row r="10" spans="1:12">
      <c r="A10" s="3">
        <f t="shared" si="0"/>
        <v>480014.55999999994</v>
      </c>
      <c r="C10" s="3">
        <v>5</v>
      </c>
      <c r="F10" s="158">
        <v>45699</v>
      </c>
      <c r="G10" s="5" t="s">
        <v>1323</v>
      </c>
      <c r="H10" s="5" t="str">
        <f>TEXT(Table34[[#This Row],[Value Date]],"mmmm")</f>
        <v>February</v>
      </c>
    </row>
    <row r="11" spans="1:12">
      <c r="A11" s="3">
        <f t="shared" si="0"/>
        <v>478014.55999999994</v>
      </c>
      <c r="C11" s="3">
        <v>2000</v>
      </c>
      <c r="F11" s="158">
        <v>45699</v>
      </c>
      <c r="G11" s="5" t="s">
        <v>1322</v>
      </c>
      <c r="H11" s="5" t="str">
        <f>TEXT(Table34[[#This Row],[Value Date]],"mmmm")</f>
        <v>February</v>
      </c>
    </row>
    <row r="12" spans="1:12">
      <c r="A12" s="3">
        <f t="shared" si="0"/>
        <v>478009.55999999994</v>
      </c>
      <c r="C12" s="3">
        <v>5</v>
      </c>
      <c r="F12" s="158">
        <v>45699</v>
      </c>
      <c r="G12" s="5" t="s">
        <v>1323</v>
      </c>
      <c r="H12" s="5" t="str">
        <f>TEXT(Table34[[#This Row],[Value Date]],"mmmm")</f>
        <v>February</v>
      </c>
    </row>
    <row r="13" spans="1:12">
      <c r="A13" s="3">
        <f t="shared" si="0"/>
        <v>474109.55999999994</v>
      </c>
      <c r="C13" s="3">
        <v>3900</v>
      </c>
      <c r="F13" s="158">
        <v>45699</v>
      </c>
      <c r="G13" s="5" t="s">
        <v>1322</v>
      </c>
      <c r="H13" s="5" t="str">
        <f>TEXT(Table34[[#This Row],[Value Date]],"mmmm")</f>
        <v>February</v>
      </c>
    </row>
    <row r="14" spans="1:12">
      <c r="A14" s="3">
        <f t="shared" si="0"/>
        <v>474104.55999999994</v>
      </c>
      <c r="C14" s="3">
        <v>5</v>
      </c>
      <c r="F14" s="158">
        <v>45699</v>
      </c>
      <c r="G14" s="5" t="s">
        <v>1323</v>
      </c>
      <c r="H14" s="5" t="str">
        <f>TEXT(Table34[[#This Row],[Value Date]],"mmmm")</f>
        <v>February</v>
      </c>
    </row>
    <row r="15" spans="1:12">
      <c r="A15" s="3">
        <f t="shared" si="0"/>
        <v>470104.55999999994</v>
      </c>
      <c r="C15" s="3">
        <v>4000</v>
      </c>
      <c r="F15" s="158">
        <v>45699</v>
      </c>
      <c r="G15" s="5" t="s">
        <v>1322</v>
      </c>
      <c r="H15" s="5" t="str">
        <f>TEXT(Table34[[#This Row],[Value Date]],"mmmm")</f>
        <v>February</v>
      </c>
    </row>
    <row r="16" spans="1:12">
      <c r="A16" s="3">
        <f t="shared" si="0"/>
        <v>470099.55999999994</v>
      </c>
      <c r="C16" s="3">
        <v>5</v>
      </c>
      <c r="F16" s="158">
        <v>45699</v>
      </c>
      <c r="G16" s="5" t="s">
        <v>1323</v>
      </c>
      <c r="H16" s="5" t="str">
        <f>TEXT(Table34[[#This Row],[Value Date]],"mmmm")</f>
        <v>February</v>
      </c>
    </row>
    <row r="17" spans="1:8">
      <c r="A17" s="3">
        <f t="shared" si="0"/>
        <v>466099.55999999994</v>
      </c>
      <c r="C17" s="3">
        <v>4000</v>
      </c>
      <c r="F17" s="158">
        <v>45699</v>
      </c>
      <c r="G17" s="5" t="s">
        <v>1322</v>
      </c>
      <c r="H17" s="5" t="str">
        <f>TEXT(Table34[[#This Row],[Value Date]],"mmmm")</f>
        <v>February</v>
      </c>
    </row>
    <row r="18" spans="1:8">
      <c r="A18" s="3">
        <f t="shared" si="0"/>
        <v>466094.55999999994</v>
      </c>
      <c r="C18" s="3">
        <v>5</v>
      </c>
      <c r="F18" s="158">
        <v>45699</v>
      </c>
      <c r="G18" s="5" t="s">
        <v>1323</v>
      </c>
      <c r="H18" s="5" t="str">
        <f>TEXT(Table34[[#This Row],[Value Date]],"mmmm")</f>
        <v>February</v>
      </c>
    </row>
    <row r="19" spans="1:8">
      <c r="A19" s="3">
        <f t="shared" si="0"/>
        <v>462094.55999999994</v>
      </c>
      <c r="C19" s="3">
        <v>4000</v>
      </c>
      <c r="F19" s="158">
        <v>45699</v>
      </c>
      <c r="G19" s="5" t="s">
        <v>1322</v>
      </c>
      <c r="H19" s="5" t="str">
        <f>TEXT(Table34[[#This Row],[Value Date]],"mmmm")</f>
        <v>February</v>
      </c>
    </row>
    <row r="20" spans="1:8">
      <c r="A20" s="3">
        <f t="shared" si="0"/>
        <v>462089.55999999994</v>
      </c>
      <c r="C20" s="3">
        <v>5</v>
      </c>
      <c r="F20" s="158">
        <v>45699</v>
      </c>
      <c r="G20" s="5" t="s">
        <v>1323</v>
      </c>
      <c r="H20" s="5" t="str">
        <f>TEXT(Table34[[#This Row],[Value Date]],"mmmm")</f>
        <v>February</v>
      </c>
    </row>
    <row r="21" spans="1:8">
      <c r="A21" s="3">
        <f t="shared" si="0"/>
        <v>458089.55999999994</v>
      </c>
      <c r="C21" s="3">
        <v>4000</v>
      </c>
      <c r="F21" s="158">
        <v>45699</v>
      </c>
      <c r="G21" s="5" t="s">
        <v>1322</v>
      </c>
      <c r="H21" s="5" t="str">
        <f>TEXT(Table34[[#This Row],[Value Date]],"mmmm")</f>
        <v>February</v>
      </c>
    </row>
    <row r="22" spans="1:8">
      <c r="A22" s="3">
        <f t="shared" si="0"/>
        <v>458084.55999999994</v>
      </c>
      <c r="C22" s="3">
        <v>5</v>
      </c>
      <c r="F22" s="158">
        <v>45699</v>
      </c>
      <c r="G22" s="5" t="s">
        <v>1323</v>
      </c>
      <c r="H22" s="5" t="str">
        <f>TEXT(Table34[[#This Row],[Value Date]],"mmmm")</f>
        <v>February</v>
      </c>
    </row>
    <row r="23" spans="1:8">
      <c r="A23" s="3">
        <f t="shared" si="0"/>
        <v>454084.55999999994</v>
      </c>
      <c r="C23" s="3">
        <v>4000</v>
      </c>
      <c r="F23" s="158">
        <v>45699</v>
      </c>
      <c r="G23" s="5" t="s">
        <v>1322</v>
      </c>
      <c r="H23" s="5" t="str">
        <f>TEXT(Table34[[#This Row],[Value Date]],"mmmm")</f>
        <v>February</v>
      </c>
    </row>
    <row r="24" spans="1:8">
      <c r="A24" s="3">
        <f t="shared" si="0"/>
        <v>454079.55999999994</v>
      </c>
      <c r="C24" s="3">
        <v>5</v>
      </c>
      <c r="F24" s="158">
        <v>45699</v>
      </c>
      <c r="G24" s="5" t="s">
        <v>1323</v>
      </c>
      <c r="H24" s="5" t="str">
        <f>TEXT(Table34[[#This Row],[Value Date]],"mmmm")</f>
        <v>February</v>
      </c>
    </row>
    <row r="25" spans="1:8">
      <c r="A25" s="3">
        <f t="shared" si="0"/>
        <v>588388.57999999996</v>
      </c>
      <c r="B25" s="3">
        <v>134309.01999999999</v>
      </c>
      <c r="F25" s="158">
        <v>45712</v>
      </c>
      <c r="G25" s="5" t="s">
        <v>1321</v>
      </c>
      <c r="H25" s="5" t="str">
        <f>TEXT(Table34[[#This Row],[Value Date]],"mmmm")</f>
        <v>February</v>
      </c>
    </row>
    <row r="26" spans="1:8">
      <c r="A26" s="3">
        <f t="shared" si="0"/>
        <v>338388.57999999996</v>
      </c>
      <c r="C26" s="3">
        <v>250000</v>
      </c>
      <c r="F26" s="158">
        <v>45714</v>
      </c>
      <c r="G26" s="5" t="s">
        <v>1322</v>
      </c>
      <c r="H26" s="5" t="str">
        <f>TEXT(Table34[[#This Row],[Value Date]],"mmmm")</f>
        <v>February</v>
      </c>
    </row>
    <row r="27" spans="1:8">
      <c r="A27" s="3">
        <f t="shared" si="0"/>
        <v>338313.57999999996</v>
      </c>
      <c r="C27" s="3">
        <v>75</v>
      </c>
      <c r="F27" s="158">
        <v>45717</v>
      </c>
      <c r="G27" s="5" t="s">
        <v>1320</v>
      </c>
      <c r="H27" s="5" t="str">
        <f>TEXT(Table34[[#This Row],[Value Date]],"mmmm")</f>
        <v>March</v>
      </c>
    </row>
    <row r="28" spans="1:8">
      <c r="A28" s="3">
        <f t="shared" si="0"/>
        <v>88313.579999999958</v>
      </c>
      <c r="C28" s="3">
        <v>250000</v>
      </c>
      <c r="F28" s="158">
        <v>45740</v>
      </c>
      <c r="G28" s="5" t="s">
        <v>1322</v>
      </c>
      <c r="H28" s="5" t="str">
        <f>TEXT(Table34[[#This Row],[Value Date]],"mmmm")</f>
        <v>March</v>
      </c>
    </row>
    <row r="29" spans="1:8">
      <c r="A29" s="3">
        <f t="shared" si="0"/>
        <v>268155.18999999994</v>
      </c>
      <c r="B29" s="3">
        <v>179841.61</v>
      </c>
      <c r="F29" s="158">
        <v>45740</v>
      </c>
      <c r="G29" s="5" t="s">
        <v>1321</v>
      </c>
      <c r="H29" s="5" t="str">
        <f>TEXT(Table34[[#This Row],[Value Date]],"mmmm")</f>
        <v>March</v>
      </c>
    </row>
    <row r="30" spans="1:8">
      <c r="A30" s="3">
        <f t="shared" si="0"/>
        <v>208155.18999999994</v>
      </c>
      <c r="C30" s="3">
        <v>60000</v>
      </c>
      <c r="F30" s="158">
        <v>45743</v>
      </c>
      <c r="G30" s="5" t="s">
        <v>1322</v>
      </c>
      <c r="H30" s="5" t="str">
        <f>TEXT(Table34[[#This Row],[Value Date]],"mmmm")</f>
        <v>March</v>
      </c>
    </row>
    <row r="31" spans="1:8">
      <c r="A31" s="3">
        <f t="shared" si="0"/>
        <v>208005.18999999994</v>
      </c>
      <c r="C31" s="3">
        <v>150</v>
      </c>
      <c r="F31" s="158">
        <v>45748</v>
      </c>
      <c r="G31" s="5" t="s">
        <v>1324</v>
      </c>
      <c r="H31" s="5" t="str">
        <f>TEXT(Table34[[#This Row],[Value Date]],"mmmm")</f>
        <v>April</v>
      </c>
    </row>
    <row r="32" spans="1:8">
      <c r="A32" s="3">
        <f t="shared" si="0"/>
        <v>207930.18999999994</v>
      </c>
      <c r="C32" s="3">
        <v>75</v>
      </c>
      <c r="F32" s="158">
        <v>45748</v>
      </c>
      <c r="G32" s="5" t="s">
        <v>1320</v>
      </c>
      <c r="H32" s="5" t="str">
        <f>TEXT(Table34[[#This Row],[Value Date]],"mmmm")</f>
        <v>April</v>
      </c>
    </row>
    <row r="33" spans="1:8">
      <c r="A33" s="3">
        <f t="shared" si="0"/>
        <v>375784.87999999995</v>
      </c>
      <c r="B33" s="3">
        <v>167854.69</v>
      </c>
      <c r="F33" s="158">
        <v>45770</v>
      </c>
      <c r="G33" s="5" t="s">
        <v>1321</v>
      </c>
      <c r="H33" s="5" t="str">
        <f>TEXT(Table34[[#This Row],[Value Date]],"mmmm")</f>
        <v>April</v>
      </c>
    </row>
    <row r="34" spans="1:8">
      <c r="A34" s="3">
        <f t="shared" si="0"/>
        <v>125784.87999999995</v>
      </c>
      <c r="C34" s="3">
        <v>250000</v>
      </c>
      <c r="F34" s="158">
        <v>45776</v>
      </c>
      <c r="G34" s="5" t="s">
        <v>1322</v>
      </c>
      <c r="H34" s="5" t="str">
        <f>TEXT(Table34[[#This Row],[Value Date]],"mmmm")</f>
        <v>April</v>
      </c>
    </row>
    <row r="35" spans="1:8">
      <c r="A35" s="3">
        <f t="shared" si="0"/>
        <v>125709.87999999995</v>
      </c>
      <c r="C35" s="3">
        <v>75</v>
      </c>
      <c r="F35" s="158">
        <v>45778</v>
      </c>
      <c r="G35" s="5" t="s">
        <v>1320</v>
      </c>
      <c r="H35" s="5" t="str">
        <f>TEXT(Table34[[#This Row],[Value Date]],"mmmm")</f>
        <v>May</v>
      </c>
    </row>
    <row r="36" spans="1:8">
      <c r="A36" s="3">
        <f t="shared" si="0"/>
        <v>125649.87999999995</v>
      </c>
      <c r="C36" s="3">
        <v>60</v>
      </c>
      <c r="F36" s="158">
        <v>45791</v>
      </c>
      <c r="G36" s="5" t="s">
        <v>1319</v>
      </c>
      <c r="H36" s="5" t="str">
        <f>TEXT(Table34[[#This Row],[Value Date]],"mmmm")</f>
        <v>May</v>
      </c>
    </row>
    <row r="37" spans="1:8">
      <c r="A37" s="3">
        <f t="shared" si="0"/>
        <v>364630.40999999992</v>
      </c>
      <c r="B37" s="3">
        <v>238980.53</v>
      </c>
      <c r="F37" s="158">
        <v>45802</v>
      </c>
      <c r="G37" s="5" t="s">
        <v>1321</v>
      </c>
      <c r="H37" s="5" t="str">
        <f>TEXT(Table34[[#This Row],[Value Date]],"mmmm")</f>
        <v>May</v>
      </c>
    </row>
    <row r="38" spans="1:8">
      <c r="A38" s="3">
        <f t="shared" si="0"/>
        <v>364570.40999999992</v>
      </c>
      <c r="C38" s="3">
        <v>60</v>
      </c>
      <c r="F38" s="158">
        <v>45806</v>
      </c>
      <c r="G38" s="5" t="s">
        <v>1319</v>
      </c>
      <c r="H38" s="5" t="str">
        <f>TEXT(Table34[[#This Row],[Value Date]],"mmmm")</f>
        <v>May</v>
      </c>
    </row>
    <row r="39" spans="1:8">
      <c r="A39" s="3">
        <f t="shared" si="0"/>
        <v>357570.40999999992</v>
      </c>
      <c r="C39" s="3">
        <v>7000</v>
      </c>
      <c r="F39" s="158">
        <v>45806</v>
      </c>
      <c r="G39" s="5" t="s">
        <v>1322</v>
      </c>
      <c r="H39" s="5" t="str">
        <f>TEXT(Table34[[#This Row],[Value Date]],"mmmm")</f>
        <v>May</v>
      </c>
    </row>
    <row r="40" spans="1:8">
      <c r="A40" s="3">
        <f t="shared" si="0"/>
        <v>350570.40999999992</v>
      </c>
      <c r="C40" s="3">
        <v>7000</v>
      </c>
      <c r="F40" s="158">
        <v>45806</v>
      </c>
      <c r="G40" s="5" t="s">
        <v>1322</v>
      </c>
      <c r="H40" s="5" t="str">
        <f>TEXT(Table34[[#This Row],[Value Date]],"mmmm")</f>
        <v>May</v>
      </c>
    </row>
    <row r="41" spans="1:8">
      <c r="A41" s="3">
        <f t="shared" si="0"/>
        <v>343570.40999999992</v>
      </c>
      <c r="C41" s="3">
        <v>7000</v>
      </c>
      <c r="F41" s="158">
        <v>45806</v>
      </c>
      <c r="G41" s="5" t="s">
        <v>1322</v>
      </c>
      <c r="H41" s="5" t="str">
        <f>TEXT(Table34[[#This Row],[Value Date]],"mmmm")</f>
        <v>May</v>
      </c>
    </row>
    <row r="42" spans="1:8">
      <c r="A42" s="3">
        <f t="shared" si="0"/>
        <v>336570.40999999992</v>
      </c>
      <c r="C42" s="3">
        <v>7000</v>
      </c>
      <c r="F42" s="158">
        <v>45806</v>
      </c>
      <c r="G42" s="5" t="s">
        <v>1322</v>
      </c>
      <c r="H42" s="5" t="str">
        <f>TEXT(Table34[[#This Row],[Value Date]],"mmmm")</f>
        <v>May</v>
      </c>
    </row>
    <row r="43" spans="1:8">
      <c r="A43" s="3">
        <f t="shared" si="0"/>
        <v>334570.40999999992</v>
      </c>
      <c r="C43" s="3">
        <v>2000</v>
      </c>
      <c r="F43" s="158">
        <v>45806</v>
      </c>
      <c r="G43" s="5" t="s">
        <v>1322</v>
      </c>
      <c r="H43" s="5" t="str">
        <f>TEXT(Table34[[#This Row],[Value Date]],"mmmm")</f>
        <v>May</v>
      </c>
    </row>
    <row r="44" spans="1:8">
      <c r="A44" s="3">
        <f t="shared" si="0"/>
        <v>334495.40999999992</v>
      </c>
      <c r="C44" s="3">
        <v>75</v>
      </c>
      <c r="F44" s="158">
        <v>45809</v>
      </c>
      <c r="G44" s="5" t="s">
        <v>1320</v>
      </c>
      <c r="H44" s="5" t="str">
        <f>TEXT(Table34[[#This Row],[Value Date]],"mmmm")</f>
        <v>June</v>
      </c>
    </row>
    <row r="45" spans="1:8">
      <c r="A45" s="3">
        <f t="shared" si="0"/>
        <v>235495.40999999992</v>
      </c>
      <c r="C45" s="3">
        <v>99000</v>
      </c>
      <c r="F45" s="158">
        <v>45806</v>
      </c>
      <c r="H45" s="5" t="str">
        <f>TEXT(Table34[[#This Row],[Value Date]],"mmmm")</f>
        <v>May</v>
      </c>
    </row>
    <row r="46" spans="1:8">
      <c r="A46" s="3">
        <f t="shared" si="0"/>
        <v>235435.40999999992</v>
      </c>
      <c r="C46" s="3">
        <v>60</v>
      </c>
      <c r="F46" s="158">
        <v>45826</v>
      </c>
      <c r="G46" s="5" t="s">
        <v>1319</v>
      </c>
      <c r="H46" s="5" t="str">
        <f>TEXT(Table34[[#This Row],[Value Date]],"mmmm")</f>
        <v>June</v>
      </c>
    </row>
    <row r="47" spans="1:8">
      <c r="A47" s="3">
        <f t="shared" si="0"/>
        <v>480994.68999999994</v>
      </c>
      <c r="B47" s="3">
        <v>245559.28</v>
      </c>
      <c r="F47" s="158">
        <v>45830</v>
      </c>
      <c r="G47" s="5" t="s">
        <v>1321</v>
      </c>
      <c r="H47" s="5" t="str">
        <f>TEXT(Table34[[#This Row],[Value Date]],"mmmm")</f>
        <v>June</v>
      </c>
    </row>
    <row r="48" spans="1:8">
      <c r="A48" s="3">
        <f t="shared" si="0"/>
        <v>230994.68999999994</v>
      </c>
      <c r="C48" s="3">
        <v>250000</v>
      </c>
      <c r="F48" s="158">
        <v>45833</v>
      </c>
      <c r="G48" s="5" t="s">
        <v>1322</v>
      </c>
      <c r="H48" s="5" t="str">
        <f>TEXT(Table34[[#This Row],[Value Date]],"mmmm")</f>
        <v>June</v>
      </c>
    </row>
    <row r="49" spans="1:12">
      <c r="A49" s="3">
        <f t="shared" si="0"/>
        <v>238209.68999999994</v>
      </c>
      <c r="B49" s="3">
        <v>7215</v>
      </c>
      <c r="F49" s="158">
        <v>45833</v>
      </c>
      <c r="G49" s="5" t="s">
        <v>1321</v>
      </c>
      <c r="H49" s="5" t="str">
        <f>TEXT(Table34[[#This Row],[Value Date]],"mmmm")</f>
        <v>June</v>
      </c>
    </row>
    <row r="50" spans="1:12">
      <c r="A50" s="3">
        <f t="shared" si="0"/>
        <v>238059.68999999994</v>
      </c>
      <c r="C50" s="3">
        <v>150</v>
      </c>
      <c r="F50" s="158">
        <v>45839</v>
      </c>
      <c r="G50" s="5" t="s">
        <v>1324</v>
      </c>
      <c r="H50" s="5" t="str">
        <f>TEXT(Table34[[#This Row],[Value Date]],"mmmm")</f>
        <v>July</v>
      </c>
    </row>
    <row r="51" spans="1:12">
      <c r="A51" s="3">
        <f t="shared" si="0"/>
        <v>237984.68999999994</v>
      </c>
      <c r="C51" s="3">
        <v>75</v>
      </c>
      <c r="F51" s="158">
        <v>45839</v>
      </c>
      <c r="G51" s="5" t="s">
        <v>1320</v>
      </c>
      <c r="H51" s="5" t="str">
        <f>TEXT(Table34[[#This Row],[Value Date]],"mmmm")</f>
        <v>July</v>
      </c>
    </row>
    <row r="52" spans="1:12">
      <c r="A52" s="3">
        <f t="shared" si="0"/>
        <v>430374.72</v>
      </c>
      <c r="B52" s="3">
        <v>192390.03</v>
      </c>
      <c r="F52" s="158">
        <v>45866</v>
      </c>
      <c r="G52" s="5" t="s">
        <v>1321</v>
      </c>
      <c r="H52" s="5" t="str">
        <f>TEXT(Table34[[#This Row],[Value Date]],"mmmm")</f>
        <v>July</v>
      </c>
    </row>
    <row r="53" spans="1:12">
      <c r="A53" s="3">
        <f t="shared" si="0"/>
        <v>430299.72</v>
      </c>
      <c r="C53" s="3">
        <v>75</v>
      </c>
      <c r="F53" s="158">
        <v>45870</v>
      </c>
      <c r="G53" s="5" t="s">
        <v>1320</v>
      </c>
      <c r="H53" s="5" t="str">
        <f>TEXT(Table34[[#This Row],[Value Date]],"mmmm")</f>
        <v>August</v>
      </c>
    </row>
    <row r="54" spans="1:12">
      <c r="A54" s="3">
        <f t="shared" si="0"/>
        <v>433312.25999999995</v>
      </c>
      <c r="B54" s="3">
        <v>3012.54</v>
      </c>
      <c r="F54" s="158">
        <v>45880</v>
      </c>
      <c r="G54" s="5" t="s">
        <v>1321</v>
      </c>
      <c r="H54" s="5" t="str">
        <f>TEXT(Table34[[#This Row],[Value Date]],"mmmm")</f>
        <v>August</v>
      </c>
    </row>
    <row r="55" spans="1:12">
      <c r="A55" s="3">
        <f t="shared" si="0"/>
        <v>647564.91999999993</v>
      </c>
      <c r="B55" s="3">
        <v>214252.66</v>
      </c>
      <c r="F55" s="158">
        <v>45889</v>
      </c>
      <c r="H55" s="5" t="str">
        <f>TEXT(Table34[[#This Row],[Value Date]],"mmmm")</f>
        <v>August</v>
      </c>
    </row>
    <row r="56" spans="1:12">
      <c r="A56" s="3">
        <f t="shared" si="0"/>
        <v>647534.91999999993</v>
      </c>
      <c r="C56" s="3">
        <v>30</v>
      </c>
      <c r="F56" s="158">
        <v>45890</v>
      </c>
      <c r="G56" s="5" t="s">
        <v>1319</v>
      </c>
      <c r="H56" s="5" t="str">
        <f>TEXT(Table34[[#This Row],[Value Date]],"mmmm")</f>
        <v>August</v>
      </c>
    </row>
    <row r="57" spans="1:12">
      <c r="A57" s="3">
        <f t="shared" si="0"/>
        <v>647524.91999999993</v>
      </c>
      <c r="C57" s="3">
        <v>10</v>
      </c>
      <c r="F57" s="158">
        <v>45896</v>
      </c>
      <c r="G57" s="5" t="s">
        <v>1325</v>
      </c>
      <c r="H57" s="5" t="str">
        <f>TEXT(Table34[[#This Row],[Value Date]],"mmmm")</f>
        <v>August</v>
      </c>
    </row>
    <row r="58" spans="1:12">
      <c r="A58" s="3">
        <f t="shared" si="0"/>
        <v>647404.91999999993</v>
      </c>
      <c r="C58" s="3">
        <v>120</v>
      </c>
      <c r="F58" s="158">
        <v>45897</v>
      </c>
      <c r="G58" s="5" t="s">
        <v>1319</v>
      </c>
      <c r="H58" s="5" t="str">
        <f>TEXT(Table34[[#This Row],[Value Date]],"mmmm")</f>
        <v>August</v>
      </c>
    </row>
    <row r="59" spans="1:12" s="224" customFormat="1">
      <c r="A59" s="3">
        <f t="shared" si="0"/>
        <v>647329.91999999993</v>
      </c>
      <c r="B59" s="3"/>
      <c r="C59" s="3">
        <v>75</v>
      </c>
      <c r="D59" s="4"/>
      <c r="E59" s="4"/>
      <c r="F59" s="158">
        <v>45901</v>
      </c>
      <c r="G59" s="5" t="s">
        <v>1320</v>
      </c>
      <c r="H59" s="5" t="str">
        <f>TEXT(Table34[[#This Row],[Value Date]],"mmmm")</f>
        <v>September</v>
      </c>
      <c r="I59" s="4"/>
      <c r="J59" s="4"/>
      <c r="K59" s="4"/>
      <c r="L59" s="4"/>
    </row>
    <row r="60" spans="1:12">
      <c r="A60" s="3">
        <f t="shared" si="0"/>
        <v>397329.91999999993</v>
      </c>
      <c r="C60" s="3">
        <v>250000</v>
      </c>
      <c r="F60" s="158"/>
      <c r="H60" s="5" t="str">
        <f>TEXT(Table34[[#This Row],[Value Date]],"mmmm")</f>
        <v>January</v>
      </c>
    </row>
    <row r="61" spans="1:12">
      <c r="A61" s="3">
        <f t="shared" si="0"/>
        <v>390329.91999999993</v>
      </c>
      <c r="C61" s="3">
        <v>7000</v>
      </c>
      <c r="F61" s="158"/>
      <c r="H61" s="5" t="str">
        <f>TEXT(Table34[[#This Row],[Value Date]],"mmmm")</f>
        <v>January</v>
      </c>
    </row>
    <row r="62" spans="1:12">
      <c r="A62" s="3">
        <f t="shared" si="0"/>
        <v>383329.91999999993</v>
      </c>
      <c r="C62" s="3">
        <v>7000</v>
      </c>
      <c r="F62" s="158"/>
      <c r="H62" s="5" t="str">
        <f>TEXT(Table34[[#This Row],[Value Date]],"mmmm")</f>
        <v>January</v>
      </c>
    </row>
    <row r="63" spans="1:12">
      <c r="A63" s="3">
        <f t="shared" si="0"/>
        <v>376329.91999999993</v>
      </c>
      <c r="C63" s="3">
        <v>7000</v>
      </c>
      <c r="F63" s="158"/>
      <c r="H63" s="5" t="str">
        <f>TEXT(Table34[[#This Row],[Value Date]],"mmmm")</f>
        <v>January</v>
      </c>
    </row>
    <row r="64" spans="1:12">
      <c r="A64" s="3">
        <f t="shared" si="0"/>
        <v>369329.91999999993</v>
      </c>
      <c r="C64" s="3">
        <v>7000</v>
      </c>
      <c r="F64" s="158"/>
      <c r="H64" s="5" t="str">
        <f>TEXT(Table34[[#This Row],[Value Date]],"mmmm")</f>
        <v>January</v>
      </c>
    </row>
    <row r="65" spans="1:8">
      <c r="A65" s="3">
        <f t="shared" si="0"/>
        <v>367329.91999999993</v>
      </c>
      <c r="C65" s="3">
        <v>2000</v>
      </c>
      <c r="F65" s="158"/>
      <c r="H65" s="5" t="str">
        <f>TEXT(Table34[[#This Row],[Value Date]],"mmmm")</f>
        <v>January</v>
      </c>
    </row>
    <row r="66" spans="1:8">
      <c r="A66" s="3">
        <f t="shared" si="0"/>
        <v>727855.67129999993</v>
      </c>
      <c r="B66" s="3">
        <v>360525.7513</v>
      </c>
      <c r="F66" s="158"/>
      <c r="H66" s="5" t="str">
        <f>TEXT(Table34[[#This Row],[Value Date]],"mmmm")</f>
        <v>January</v>
      </c>
    </row>
    <row r="67" spans="1:8">
      <c r="A67" s="3">
        <f t="shared" si="0"/>
        <v>697855.67129999993</v>
      </c>
      <c r="C67" s="3">
        <v>30000</v>
      </c>
      <c r="F67" s="158"/>
      <c r="H67" s="5" t="str">
        <f>TEXT(Table34[[#This Row],[Value Date]],"mmmm")</f>
        <v>January</v>
      </c>
    </row>
    <row r="68" spans="1:8">
      <c r="A68" s="3">
        <f t="shared" si="0"/>
        <v>697319.06129999994</v>
      </c>
      <c r="C68" s="3">
        <v>536.61</v>
      </c>
      <c r="F68" s="158"/>
      <c r="H68" s="5" t="str">
        <f>TEXT(Table34[[#This Row],[Value Date]],"mmmm")</f>
        <v>January</v>
      </c>
    </row>
    <row r="69" spans="1:8">
      <c r="A69" s="3">
        <f t="shared" si="0"/>
        <v>667319.06129999994</v>
      </c>
      <c r="C69" s="3">
        <v>30000</v>
      </c>
      <c r="F69" s="158"/>
      <c r="H69" s="5" t="str">
        <f>TEXT(Table34[[#This Row],[Value Date]],"mmmm")</f>
        <v>January</v>
      </c>
    </row>
    <row r="70" spans="1:8">
      <c r="A70" s="3">
        <f t="shared" ref="A70:A133" si="1">A69+B70-C70</f>
        <v>417319.06129999994</v>
      </c>
      <c r="C70" s="3">
        <v>250000</v>
      </c>
      <c r="F70" s="158"/>
      <c r="H70" s="5" t="str">
        <f>TEXT(Table34[[#This Row],[Value Date]],"mmmm")</f>
        <v>January</v>
      </c>
    </row>
    <row r="71" spans="1:8">
      <c r="A71" s="3">
        <f t="shared" si="1"/>
        <v>568224.40840526309</v>
      </c>
      <c r="B71" s="3">
        <v>150905.34710526315</v>
      </c>
      <c r="F71" s="158"/>
      <c r="H71" s="5" t="str">
        <f>TEXT(Table34[[#This Row],[Value Date]],"mmmm")</f>
        <v>January</v>
      </c>
    </row>
    <row r="72" spans="1:8">
      <c r="A72" s="3">
        <f t="shared" si="1"/>
        <v>565504.99840526306</v>
      </c>
      <c r="C72" s="3">
        <v>2719.41</v>
      </c>
      <c r="F72" s="158"/>
      <c r="H72" s="5" t="str">
        <f>TEXT(Table34[[#This Row],[Value Date]],"mmmm")</f>
        <v>January</v>
      </c>
    </row>
    <row r="73" spans="1:8">
      <c r="A73" s="3">
        <f t="shared" si="1"/>
        <v>315504.99840526306</v>
      </c>
      <c r="C73" s="3">
        <v>250000</v>
      </c>
      <c r="F73" s="158"/>
      <c r="H73" s="5" t="str">
        <f>TEXT(Table34[[#This Row],[Value Date]],"mmmm")</f>
        <v>January</v>
      </c>
    </row>
    <row r="74" spans="1:8">
      <c r="A74" s="3">
        <f t="shared" si="1"/>
        <v>311504.99840526306</v>
      </c>
      <c r="C74" s="3">
        <v>4000</v>
      </c>
      <c r="F74" s="158"/>
      <c r="H74" s="5" t="str">
        <f>TEXT(Table34[[#This Row],[Value Date]],"mmmm")</f>
        <v>January</v>
      </c>
    </row>
    <row r="75" spans="1:8">
      <c r="A75" s="3">
        <f t="shared" si="1"/>
        <v>307504.99840526306</v>
      </c>
      <c r="C75" s="3">
        <v>4000</v>
      </c>
      <c r="F75" s="158"/>
      <c r="H75" s="5" t="str">
        <f>TEXT(Table34[[#This Row],[Value Date]],"mmmm")</f>
        <v>January</v>
      </c>
    </row>
    <row r="76" spans="1:8">
      <c r="A76" s="3">
        <f t="shared" si="1"/>
        <v>303504.99840526306</v>
      </c>
      <c r="C76" s="3">
        <v>4000</v>
      </c>
      <c r="F76" s="158"/>
      <c r="H76" s="5" t="str">
        <f>TEXT(Table34[[#This Row],[Value Date]],"mmmm")</f>
        <v>January</v>
      </c>
    </row>
    <row r="77" spans="1:8">
      <c r="A77" s="3">
        <f t="shared" si="1"/>
        <v>299504.99840526306</v>
      </c>
      <c r="C77" s="3">
        <v>4000</v>
      </c>
      <c r="F77" s="158"/>
      <c r="H77" s="5" t="str">
        <f>TEXT(Table34[[#This Row],[Value Date]],"mmmm")</f>
        <v>January</v>
      </c>
    </row>
    <row r="78" spans="1:8">
      <c r="A78" s="3">
        <f t="shared" si="1"/>
        <v>295504.99840526306</v>
      </c>
      <c r="C78" s="3">
        <v>4000</v>
      </c>
      <c r="F78" s="158"/>
      <c r="H78" s="5" t="str">
        <f>TEXT(Table34[[#This Row],[Value Date]],"mmmm")</f>
        <v>January</v>
      </c>
    </row>
    <row r="79" spans="1:8">
      <c r="A79" s="3">
        <f t="shared" si="1"/>
        <v>291504.99840526306</v>
      </c>
      <c r="C79" s="3">
        <v>4000</v>
      </c>
      <c r="F79" s="158"/>
      <c r="H79" s="5" t="str">
        <f>TEXT(Table34[[#This Row],[Value Date]],"mmmm")</f>
        <v>January</v>
      </c>
    </row>
    <row r="80" spans="1:8">
      <c r="A80" s="3">
        <f t="shared" si="1"/>
        <v>287504.99840526306</v>
      </c>
      <c r="C80" s="3">
        <v>4000</v>
      </c>
      <c r="F80" s="158"/>
      <c r="H80" s="5" t="str">
        <f>TEXT(Table34[[#This Row],[Value Date]],"mmmm")</f>
        <v>January</v>
      </c>
    </row>
    <row r="81" spans="1:8">
      <c r="A81" s="3">
        <f t="shared" si="1"/>
        <v>285504.99840526306</v>
      </c>
      <c r="C81" s="3">
        <v>2000</v>
      </c>
      <c r="F81" s="158"/>
      <c r="H81" s="5" t="str">
        <f>TEXT(Table34[[#This Row],[Value Date]],"mmmm")</f>
        <v>January</v>
      </c>
    </row>
    <row r="82" spans="1:8">
      <c r="A82" s="3">
        <f t="shared" si="1"/>
        <v>35504.998405263061</v>
      </c>
      <c r="C82" s="3">
        <v>250000</v>
      </c>
      <c r="F82" s="158"/>
      <c r="H82" s="5" t="str">
        <f>TEXT(Table34[[#This Row],[Value Date]],"mmmm")</f>
        <v>January</v>
      </c>
    </row>
    <row r="83" spans="1:8">
      <c r="A83" s="3">
        <f t="shared" si="1"/>
        <v>504.9984052630607</v>
      </c>
      <c r="C83" s="3">
        <v>35000</v>
      </c>
      <c r="F83" s="158"/>
      <c r="H83" s="5" t="str">
        <f>TEXT(Table34[[#This Row],[Value Date]],"mmmm")</f>
        <v>January</v>
      </c>
    </row>
    <row r="84" spans="1:8">
      <c r="A84" s="3">
        <f t="shared" si="1"/>
        <v>189.9984052630607</v>
      </c>
      <c r="C84" s="3">
        <v>315</v>
      </c>
      <c r="F84" s="158"/>
      <c r="H84" s="5" t="str">
        <f>TEXT(Table34[[#This Row],[Value Date]],"mmmm")</f>
        <v>January</v>
      </c>
    </row>
    <row r="85" spans="1:8">
      <c r="A85" s="3">
        <f t="shared" si="1"/>
        <v>464822.18840526306</v>
      </c>
      <c r="B85" s="3">
        <v>464632.19</v>
      </c>
      <c r="F85" s="158"/>
      <c r="H85" s="5" t="str">
        <f>TEXT(Table34[[#This Row],[Value Date]],"mmmm")</f>
        <v>January</v>
      </c>
    </row>
    <row r="86" spans="1:8">
      <c r="A86" s="3">
        <f t="shared" si="1"/>
        <v>460822.18840526306</v>
      </c>
      <c r="C86" s="3">
        <v>4000</v>
      </c>
      <c r="F86" s="158"/>
      <c r="H86" s="5" t="str">
        <f>TEXT(Table34[[#This Row],[Value Date]],"mmmm")</f>
        <v>January</v>
      </c>
    </row>
    <row r="87" spans="1:8">
      <c r="A87" s="3">
        <f t="shared" si="1"/>
        <v>456822.18840526306</v>
      </c>
      <c r="C87" s="3">
        <v>4000</v>
      </c>
      <c r="F87" s="158"/>
      <c r="H87" s="5" t="str">
        <f>TEXT(Table34[[#This Row],[Value Date]],"mmmm")</f>
        <v>January</v>
      </c>
    </row>
    <row r="88" spans="1:8">
      <c r="A88" s="3">
        <f t="shared" si="1"/>
        <v>452822.18840526306</v>
      </c>
      <c r="C88" s="3">
        <v>4000</v>
      </c>
      <c r="F88" s="158"/>
      <c r="H88" s="5" t="str">
        <f>TEXT(Table34[[#This Row],[Value Date]],"mmmm")</f>
        <v>January</v>
      </c>
    </row>
    <row r="89" spans="1:8">
      <c r="A89" s="3">
        <f t="shared" si="1"/>
        <v>448822.18840526306</v>
      </c>
      <c r="C89" s="3">
        <v>4000</v>
      </c>
      <c r="F89" s="158"/>
      <c r="H89" s="5" t="str">
        <f>TEXT(Table34[[#This Row],[Value Date]],"mmmm")</f>
        <v>January</v>
      </c>
    </row>
    <row r="90" spans="1:8">
      <c r="A90" s="3">
        <f t="shared" si="1"/>
        <v>444822.18840526306</v>
      </c>
      <c r="C90" s="3">
        <v>4000</v>
      </c>
      <c r="F90" s="158"/>
      <c r="H90" s="5" t="str">
        <f>TEXT(Table34[[#This Row],[Value Date]],"mmmm")</f>
        <v>January</v>
      </c>
    </row>
    <row r="91" spans="1:8">
      <c r="A91" s="3">
        <f t="shared" si="1"/>
        <v>440822.18840526306</v>
      </c>
      <c r="C91" s="3">
        <v>4000</v>
      </c>
      <c r="F91" s="158"/>
      <c r="H91" s="5" t="str">
        <f>TEXT(Table34[[#This Row],[Value Date]],"mmmm")</f>
        <v>January</v>
      </c>
    </row>
    <row r="92" spans="1:8">
      <c r="A92" s="3">
        <f t="shared" si="1"/>
        <v>436822.18840526306</v>
      </c>
      <c r="C92" s="3">
        <v>4000</v>
      </c>
      <c r="F92" s="158"/>
      <c r="H92" s="5" t="str">
        <f>TEXT(Table34[[#This Row],[Value Date]],"mmmm")</f>
        <v>January</v>
      </c>
    </row>
    <row r="93" spans="1:8">
      <c r="A93" s="3">
        <f t="shared" si="1"/>
        <v>434822.18840526306</v>
      </c>
      <c r="C93" s="3">
        <v>2000</v>
      </c>
      <c r="F93" s="158"/>
      <c r="H93" s="5" t="str">
        <f>TEXT(Table34[[#This Row],[Value Date]],"mmmm")</f>
        <v>January</v>
      </c>
    </row>
    <row r="94" spans="1:8">
      <c r="A94" s="3">
        <f t="shared" si="1"/>
        <v>384822.18840526306</v>
      </c>
      <c r="C94" s="3">
        <v>50000</v>
      </c>
      <c r="F94" s="158"/>
      <c r="H94" s="5" t="str">
        <f>TEXT(Table34[[#This Row],[Value Date]],"mmmm")</f>
        <v>January</v>
      </c>
    </row>
    <row r="95" spans="1:8">
      <c r="A95" s="3">
        <f t="shared" si="1"/>
        <v>384822.18840526306</v>
      </c>
      <c r="F95" s="158"/>
      <c r="H95" s="5" t="str">
        <f>TEXT(Table34[[#This Row],[Value Date]],"mmmm")</f>
        <v>January</v>
      </c>
    </row>
    <row r="96" spans="1:8">
      <c r="A96" s="3">
        <f t="shared" si="1"/>
        <v>384822.18840526306</v>
      </c>
      <c r="F96" s="158"/>
      <c r="H96" s="5" t="str">
        <f>TEXT(Table34[[#This Row],[Value Date]],"mmmm")</f>
        <v>January</v>
      </c>
    </row>
    <row r="97" spans="1:12">
      <c r="A97" s="3">
        <f t="shared" si="1"/>
        <v>384822.18840526306</v>
      </c>
      <c r="F97" s="158"/>
      <c r="H97" s="5" t="str">
        <f>TEXT(Table34[[#This Row],[Value Date]],"mmmm")</f>
        <v>January</v>
      </c>
    </row>
    <row r="98" spans="1:12">
      <c r="A98" s="3">
        <f t="shared" si="1"/>
        <v>384822.18840526306</v>
      </c>
      <c r="F98" s="158"/>
      <c r="H98" s="5" t="str">
        <f>TEXT(Table34[[#This Row],[Value Date]],"mmmm")</f>
        <v>January</v>
      </c>
    </row>
    <row r="99" spans="1:12" s="224" customFormat="1">
      <c r="A99" s="3">
        <f t="shared" si="1"/>
        <v>384822.18840526306</v>
      </c>
      <c r="B99" s="3"/>
      <c r="C99" s="3"/>
      <c r="D99" s="4"/>
      <c r="E99" s="4"/>
      <c r="F99" s="158"/>
      <c r="G99" s="5"/>
      <c r="H99" s="5" t="str">
        <f>TEXT(Table34[[#This Row],[Value Date]],"mmmm")</f>
        <v>January</v>
      </c>
      <c r="I99" s="4"/>
      <c r="J99" s="4"/>
      <c r="K99" s="4"/>
      <c r="L99" s="4"/>
    </row>
    <row r="100" spans="1:12">
      <c r="A100" s="3">
        <f t="shared" si="1"/>
        <v>384822.18840526306</v>
      </c>
      <c r="F100" s="158"/>
      <c r="H100" s="5" t="str">
        <f>TEXT(Table34[[#This Row],[Value Date]],"mmmm")</f>
        <v>January</v>
      </c>
    </row>
    <row r="101" spans="1:12">
      <c r="A101" s="3">
        <f t="shared" si="1"/>
        <v>384822.18840526306</v>
      </c>
      <c r="H101" s="5" t="str">
        <f>TEXT(Table34[[#This Row],[Value Date]],"mmmm")</f>
        <v>January</v>
      </c>
    </row>
    <row r="102" spans="1:12">
      <c r="A102" s="3">
        <f t="shared" si="1"/>
        <v>384822.18840526306</v>
      </c>
      <c r="H102" s="5" t="str">
        <f>TEXT(Table34[[#This Row],[Value Date]],"mmmm")</f>
        <v>January</v>
      </c>
    </row>
    <row r="103" spans="1:12">
      <c r="A103" s="3">
        <f t="shared" si="1"/>
        <v>384822.18840526306</v>
      </c>
      <c r="H103" s="5" t="str">
        <f>TEXT(Table34[[#This Row],[Value Date]],"mmmm")</f>
        <v>January</v>
      </c>
    </row>
    <row r="104" spans="1:12">
      <c r="A104" s="3">
        <f t="shared" si="1"/>
        <v>384822.18840526306</v>
      </c>
      <c r="H104" s="5" t="str">
        <f>TEXT(Table34[[#This Row],[Value Date]],"mmmm")</f>
        <v>January</v>
      </c>
    </row>
    <row r="105" spans="1:12">
      <c r="A105" s="3">
        <f t="shared" si="1"/>
        <v>384822.18840526306</v>
      </c>
      <c r="H105" s="5" t="str">
        <f>TEXT(Table34[[#This Row],[Value Date]],"mmmm")</f>
        <v>January</v>
      </c>
    </row>
    <row r="106" spans="1:12">
      <c r="A106" s="3">
        <f t="shared" si="1"/>
        <v>384822.18840526306</v>
      </c>
      <c r="H106" s="5" t="str">
        <f>TEXT(Table34[[#This Row],[Value Date]],"mmmm")</f>
        <v>January</v>
      </c>
    </row>
    <row r="107" spans="1:12">
      <c r="A107" s="3">
        <f t="shared" si="1"/>
        <v>384822.18840526306</v>
      </c>
      <c r="H107" s="5" t="str">
        <f>TEXT(Table34[[#This Row],[Value Date]],"mmmm")</f>
        <v>January</v>
      </c>
    </row>
    <row r="108" spans="1:12">
      <c r="A108" s="3">
        <f t="shared" si="1"/>
        <v>384822.18840526306</v>
      </c>
      <c r="H108" s="5" t="str">
        <f>TEXT(Table34[[#This Row],[Value Date]],"mmmm")</f>
        <v>January</v>
      </c>
    </row>
    <row r="109" spans="1:12">
      <c r="A109" s="3">
        <f t="shared" si="1"/>
        <v>384822.18840526306</v>
      </c>
      <c r="H109" s="5" t="str">
        <f>TEXT(Table34[[#This Row],[Value Date]],"mmmm")</f>
        <v>January</v>
      </c>
    </row>
    <row r="110" spans="1:12">
      <c r="A110" s="3">
        <f t="shared" si="1"/>
        <v>384822.18840526306</v>
      </c>
      <c r="H110" s="5" t="str">
        <f>TEXT(Table34[[#This Row],[Value Date]],"mmmm")</f>
        <v>January</v>
      </c>
    </row>
    <row r="111" spans="1:12">
      <c r="A111" s="3">
        <f t="shared" si="1"/>
        <v>384822.18840526306</v>
      </c>
      <c r="H111" s="5" t="str">
        <f>TEXT(Table34[[#This Row],[Value Date]],"mmmm")</f>
        <v>January</v>
      </c>
    </row>
    <row r="112" spans="1:12">
      <c r="A112" s="3">
        <f t="shared" si="1"/>
        <v>384822.18840526306</v>
      </c>
      <c r="H112" s="5" t="str">
        <f>TEXT(Table34[[#This Row],[Value Date]],"mmmm")</f>
        <v>January</v>
      </c>
    </row>
    <row r="113" spans="1:8">
      <c r="A113" s="3">
        <f t="shared" si="1"/>
        <v>384822.18840526306</v>
      </c>
      <c r="H113" s="5" t="str">
        <f>TEXT(Table34[[#This Row],[Value Date]],"mmmm")</f>
        <v>January</v>
      </c>
    </row>
    <row r="114" spans="1:8">
      <c r="A114" s="3">
        <f t="shared" si="1"/>
        <v>384822.18840526306</v>
      </c>
      <c r="H114" s="5" t="str">
        <f>TEXT(Table34[[#This Row],[Value Date]],"mmmm")</f>
        <v>January</v>
      </c>
    </row>
    <row r="115" spans="1:8">
      <c r="A115" s="3">
        <f t="shared" si="1"/>
        <v>384822.18840526306</v>
      </c>
      <c r="H115" s="5" t="str">
        <f>TEXT(Table34[[#This Row],[Value Date]],"mmmm")</f>
        <v>January</v>
      </c>
    </row>
    <row r="116" spans="1:8">
      <c r="A116" s="3">
        <f t="shared" si="1"/>
        <v>384822.18840526306</v>
      </c>
      <c r="H116" s="5" t="str">
        <f>TEXT(Table34[[#This Row],[Value Date]],"mmmm")</f>
        <v>January</v>
      </c>
    </row>
    <row r="117" spans="1:8">
      <c r="A117" s="3">
        <f t="shared" si="1"/>
        <v>384822.18840526306</v>
      </c>
      <c r="H117" s="5" t="str">
        <f>TEXT(Table34[[#This Row],[Value Date]],"mmmm")</f>
        <v>January</v>
      </c>
    </row>
    <row r="118" spans="1:8">
      <c r="A118" s="3">
        <f t="shared" si="1"/>
        <v>384822.18840526306</v>
      </c>
      <c r="H118" s="5" t="str">
        <f>TEXT(Table34[[#This Row],[Value Date]],"mmmm")</f>
        <v>January</v>
      </c>
    </row>
    <row r="119" spans="1:8">
      <c r="A119" s="3">
        <f t="shared" si="1"/>
        <v>384822.18840526306</v>
      </c>
      <c r="H119" s="5" t="str">
        <f>TEXT(Table34[[#This Row],[Value Date]],"mmmm")</f>
        <v>January</v>
      </c>
    </row>
    <row r="120" spans="1:8">
      <c r="A120" s="3">
        <f t="shared" si="1"/>
        <v>384822.18840526306</v>
      </c>
      <c r="H120" s="5" t="str">
        <f>TEXT(Table34[[#This Row],[Value Date]],"mmmm")</f>
        <v>January</v>
      </c>
    </row>
    <row r="121" spans="1:8">
      <c r="A121" s="3">
        <f t="shared" si="1"/>
        <v>384822.18840526306</v>
      </c>
      <c r="H121" s="5" t="str">
        <f>TEXT(Table34[[#This Row],[Value Date]],"mmmm")</f>
        <v>January</v>
      </c>
    </row>
    <row r="122" spans="1:8">
      <c r="A122" s="3">
        <f t="shared" si="1"/>
        <v>384822.18840526306</v>
      </c>
      <c r="H122" s="5" t="str">
        <f>TEXT(Table34[[#This Row],[Value Date]],"mmmm")</f>
        <v>January</v>
      </c>
    </row>
    <row r="123" spans="1:8">
      <c r="A123" s="3">
        <f t="shared" si="1"/>
        <v>384822.18840526306</v>
      </c>
      <c r="H123" s="5" t="str">
        <f>TEXT(Table34[[#This Row],[Value Date]],"mmmm")</f>
        <v>January</v>
      </c>
    </row>
    <row r="124" spans="1:8">
      <c r="A124" s="3">
        <f t="shared" si="1"/>
        <v>384822.18840526306</v>
      </c>
      <c r="H124" s="5" t="str">
        <f>TEXT(Table34[[#This Row],[Value Date]],"mmmm")</f>
        <v>January</v>
      </c>
    </row>
    <row r="125" spans="1:8">
      <c r="A125" s="3">
        <f t="shared" si="1"/>
        <v>384822.18840526306</v>
      </c>
      <c r="H125" s="5" t="str">
        <f>TEXT(Table34[[#This Row],[Value Date]],"mmmm")</f>
        <v>January</v>
      </c>
    </row>
    <row r="126" spans="1:8">
      <c r="A126" s="3">
        <f t="shared" si="1"/>
        <v>384822.18840526306</v>
      </c>
      <c r="H126" s="5" t="str">
        <f>TEXT(Table34[[#This Row],[Value Date]],"mmmm")</f>
        <v>January</v>
      </c>
    </row>
    <row r="127" spans="1:8">
      <c r="A127" s="3">
        <f t="shared" si="1"/>
        <v>384822.18840526306</v>
      </c>
      <c r="H127" s="5" t="str">
        <f>TEXT(Table34[[#This Row],[Value Date]],"mmmm")</f>
        <v>January</v>
      </c>
    </row>
    <row r="128" spans="1:8">
      <c r="A128" s="3">
        <f t="shared" si="1"/>
        <v>384822.18840526306</v>
      </c>
      <c r="H128" s="5" t="str">
        <f>TEXT(Table34[[#This Row],[Value Date]],"mmmm")</f>
        <v>January</v>
      </c>
    </row>
    <row r="129" spans="1:8">
      <c r="A129" s="3">
        <f t="shared" si="1"/>
        <v>384822.18840526306</v>
      </c>
      <c r="H129" s="5" t="str">
        <f>TEXT(Table34[[#This Row],[Value Date]],"mmmm")</f>
        <v>January</v>
      </c>
    </row>
    <row r="130" spans="1:8">
      <c r="A130" s="3">
        <f t="shared" si="1"/>
        <v>384822.18840526306</v>
      </c>
      <c r="H130" s="5" t="str">
        <f>TEXT(Table34[[#This Row],[Value Date]],"mmmm")</f>
        <v>January</v>
      </c>
    </row>
    <row r="131" spans="1:8">
      <c r="A131" s="3">
        <f t="shared" si="1"/>
        <v>384822.18840526306</v>
      </c>
      <c r="H131" s="5" t="str">
        <f>TEXT(Table34[[#This Row],[Value Date]],"mmmm")</f>
        <v>January</v>
      </c>
    </row>
    <row r="132" spans="1:8">
      <c r="A132" s="3">
        <f t="shared" si="1"/>
        <v>384822.18840526306</v>
      </c>
      <c r="H132" s="5" t="str">
        <f>TEXT(Table34[[#This Row],[Value Date]],"mmmm")</f>
        <v>January</v>
      </c>
    </row>
    <row r="133" spans="1:8">
      <c r="A133" s="3">
        <f t="shared" si="1"/>
        <v>384822.18840526306</v>
      </c>
      <c r="H133" s="5" t="str">
        <f>TEXT(Table34[[#This Row],[Value Date]],"mmmm")</f>
        <v>January</v>
      </c>
    </row>
    <row r="134" spans="1:8">
      <c r="A134" s="3">
        <f t="shared" ref="A134:A197" si="2">A133+B134-C134</f>
        <v>384822.18840526306</v>
      </c>
      <c r="H134" s="5" t="str">
        <f>TEXT(Table34[[#This Row],[Value Date]],"mmmm")</f>
        <v>January</v>
      </c>
    </row>
    <row r="135" spans="1:8">
      <c r="A135" s="3">
        <f t="shared" si="2"/>
        <v>384822.18840526306</v>
      </c>
      <c r="H135" s="5" t="str">
        <f>TEXT(Table34[[#This Row],[Value Date]],"mmmm")</f>
        <v>January</v>
      </c>
    </row>
    <row r="136" spans="1:8">
      <c r="A136" s="3">
        <f t="shared" si="2"/>
        <v>384822.18840526306</v>
      </c>
      <c r="H136" s="5" t="str">
        <f>TEXT(Table34[[#This Row],[Value Date]],"mmmm")</f>
        <v>January</v>
      </c>
    </row>
    <row r="137" spans="1:8">
      <c r="A137" s="3">
        <f t="shared" si="2"/>
        <v>384822.18840526306</v>
      </c>
      <c r="H137" s="5" t="str">
        <f>TEXT(Table34[[#This Row],[Value Date]],"mmmm")</f>
        <v>January</v>
      </c>
    </row>
    <row r="138" spans="1:8">
      <c r="A138" s="3">
        <f t="shared" si="2"/>
        <v>384822.18840526306</v>
      </c>
      <c r="H138" s="5" t="str">
        <f>TEXT(Table34[[#This Row],[Value Date]],"mmmm")</f>
        <v>January</v>
      </c>
    </row>
    <row r="139" spans="1:8">
      <c r="A139" s="3">
        <f t="shared" si="2"/>
        <v>384822.18840526306</v>
      </c>
      <c r="H139" s="5" t="str">
        <f>TEXT(Table34[[#This Row],[Value Date]],"mmmm")</f>
        <v>January</v>
      </c>
    </row>
    <row r="140" spans="1:8">
      <c r="A140" s="3">
        <f t="shared" si="2"/>
        <v>384822.18840526306</v>
      </c>
      <c r="H140" s="5" t="str">
        <f>TEXT(Table34[[#This Row],[Value Date]],"mmmm")</f>
        <v>January</v>
      </c>
    </row>
    <row r="141" spans="1:8">
      <c r="A141" s="3">
        <f t="shared" si="2"/>
        <v>384822.18840526306</v>
      </c>
      <c r="H141" s="5" t="str">
        <f>TEXT(Table34[[#This Row],[Value Date]],"mmmm")</f>
        <v>January</v>
      </c>
    </row>
    <row r="142" spans="1:8">
      <c r="A142" s="3">
        <f t="shared" si="2"/>
        <v>384822.18840526306</v>
      </c>
      <c r="H142" s="5" t="str">
        <f>TEXT(Table34[[#This Row],[Value Date]],"mmmm")</f>
        <v>January</v>
      </c>
    </row>
    <row r="143" spans="1:8">
      <c r="A143" s="3">
        <f t="shared" si="2"/>
        <v>384822.18840526306</v>
      </c>
      <c r="H143" s="5" t="str">
        <f>TEXT(Table34[[#This Row],[Value Date]],"mmmm")</f>
        <v>January</v>
      </c>
    </row>
    <row r="144" spans="1:8">
      <c r="A144" s="3">
        <f t="shared" si="2"/>
        <v>384822.18840526306</v>
      </c>
      <c r="H144" s="5" t="str">
        <f>TEXT(Table34[[#This Row],[Value Date]],"mmmm")</f>
        <v>January</v>
      </c>
    </row>
    <row r="145" spans="1:8">
      <c r="A145" s="3">
        <f t="shared" si="2"/>
        <v>384822.18840526306</v>
      </c>
      <c r="H145" s="5" t="str">
        <f>TEXT(Table34[[#This Row],[Value Date]],"mmmm")</f>
        <v>January</v>
      </c>
    </row>
    <row r="146" spans="1:8">
      <c r="A146" s="3">
        <f t="shared" si="2"/>
        <v>384822.18840526306</v>
      </c>
      <c r="H146" s="5" t="str">
        <f>TEXT(Table34[[#This Row],[Value Date]],"mmmm")</f>
        <v>January</v>
      </c>
    </row>
    <row r="147" spans="1:8">
      <c r="A147" s="3">
        <f t="shared" si="2"/>
        <v>384822.18840526306</v>
      </c>
      <c r="H147" s="5" t="str">
        <f>TEXT(Table34[[#This Row],[Value Date]],"mmmm")</f>
        <v>January</v>
      </c>
    </row>
    <row r="148" spans="1:8">
      <c r="A148" s="3">
        <f t="shared" si="2"/>
        <v>384822.18840526306</v>
      </c>
      <c r="H148" s="5" t="str">
        <f>TEXT(Table34[[#This Row],[Value Date]],"mmmm")</f>
        <v>January</v>
      </c>
    </row>
    <row r="149" spans="1:8">
      <c r="A149" s="3">
        <f t="shared" si="2"/>
        <v>384822.18840526306</v>
      </c>
      <c r="H149" s="5" t="str">
        <f>TEXT(Table34[[#This Row],[Value Date]],"mmmm")</f>
        <v>January</v>
      </c>
    </row>
    <row r="150" spans="1:8">
      <c r="A150" s="3">
        <f t="shared" si="2"/>
        <v>384822.18840526306</v>
      </c>
      <c r="H150" s="5" t="str">
        <f>TEXT(Table34[[#This Row],[Value Date]],"mmmm")</f>
        <v>January</v>
      </c>
    </row>
    <row r="151" spans="1:8">
      <c r="A151" s="3">
        <f t="shared" si="2"/>
        <v>384822.18840526306</v>
      </c>
      <c r="H151" s="5" t="str">
        <f>TEXT(Table34[[#This Row],[Value Date]],"mmmm")</f>
        <v>January</v>
      </c>
    </row>
    <row r="152" spans="1:8">
      <c r="A152" s="3">
        <f t="shared" si="2"/>
        <v>384822.18840526306</v>
      </c>
      <c r="H152" s="5" t="str">
        <f>TEXT(Table34[[#This Row],[Value Date]],"mmmm")</f>
        <v>January</v>
      </c>
    </row>
    <row r="153" spans="1:8">
      <c r="A153" s="3">
        <f t="shared" si="2"/>
        <v>384822.18840526306</v>
      </c>
      <c r="H153" s="5" t="str">
        <f>TEXT(Table34[[#This Row],[Value Date]],"mmmm")</f>
        <v>January</v>
      </c>
    </row>
    <row r="154" spans="1:8">
      <c r="A154" s="3">
        <f t="shared" si="2"/>
        <v>384822.18840526306</v>
      </c>
      <c r="H154" s="5" t="str">
        <f>TEXT(Table34[[#This Row],[Value Date]],"mmmm")</f>
        <v>January</v>
      </c>
    </row>
    <row r="155" spans="1:8">
      <c r="A155" s="3">
        <f t="shared" si="2"/>
        <v>384822.18840526306</v>
      </c>
      <c r="H155" s="5" t="str">
        <f>TEXT(Table34[[#This Row],[Value Date]],"mmmm")</f>
        <v>January</v>
      </c>
    </row>
    <row r="156" spans="1:8">
      <c r="A156" s="3">
        <f t="shared" si="2"/>
        <v>384822.18840526306</v>
      </c>
      <c r="H156" s="5" t="str">
        <f>TEXT(Table34[[#This Row],[Value Date]],"mmmm")</f>
        <v>January</v>
      </c>
    </row>
    <row r="157" spans="1:8">
      <c r="A157" s="3">
        <f t="shared" si="2"/>
        <v>384822.18840526306</v>
      </c>
      <c r="H157" s="5" t="str">
        <f>TEXT(Table34[[#This Row],[Value Date]],"mmmm")</f>
        <v>January</v>
      </c>
    </row>
    <row r="158" spans="1:8">
      <c r="A158" s="3">
        <f t="shared" si="2"/>
        <v>384822.18840526306</v>
      </c>
      <c r="H158" s="5" t="str">
        <f>TEXT(Table34[[#This Row],[Value Date]],"mmmm")</f>
        <v>January</v>
      </c>
    </row>
    <row r="159" spans="1:8">
      <c r="A159" s="3">
        <f t="shared" si="2"/>
        <v>384822.18840526306</v>
      </c>
      <c r="H159" s="5" t="str">
        <f>TEXT(Table34[[#This Row],[Value Date]],"mmmm")</f>
        <v>January</v>
      </c>
    </row>
    <row r="160" spans="1:8">
      <c r="A160" s="3">
        <f t="shared" si="2"/>
        <v>384822.18840526306</v>
      </c>
      <c r="H160" s="5" t="str">
        <f>TEXT(Table34[[#This Row],[Value Date]],"mmmm")</f>
        <v>January</v>
      </c>
    </row>
    <row r="161" spans="1:8">
      <c r="A161" s="3">
        <f t="shared" si="2"/>
        <v>384822.18840526306</v>
      </c>
      <c r="H161" s="5" t="str">
        <f>TEXT(Table34[[#This Row],[Value Date]],"mmmm")</f>
        <v>January</v>
      </c>
    </row>
    <row r="162" spans="1:8">
      <c r="A162" s="3">
        <f t="shared" si="2"/>
        <v>384822.18840526306</v>
      </c>
      <c r="H162" s="5" t="str">
        <f>TEXT(Table34[[#This Row],[Value Date]],"mmmm")</f>
        <v>January</v>
      </c>
    </row>
    <row r="163" spans="1:8">
      <c r="A163" s="3">
        <f t="shared" si="2"/>
        <v>384822.18840526306</v>
      </c>
      <c r="H163" s="5" t="str">
        <f>TEXT(Table34[[#This Row],[Value Date]],"mmmm")</f>
        <v>January</v>
      </c>
    </row>
    <row r="164" spans="1:8">
      <c r="A164" s="3">
        <f t="shared" si="2"/>
        <v>384822.18840526306</v>
      </c>
      <c r="H164" s="5" t="str">
        <f>TEXT(Table34[[#This Row],[Value Date]],"mmmm")</f>
        <v>January</v>
      </c>
    </row>
    <row r="165" spans="1:8">
      <c r="A165" s="3">
        <f t="shared" si="2"/>
        <v>384822.18840526306</v>
      </c>
      <c r="H165" s="5" t="str">
        <f>TEXT(Table34[[#This Row],[Value Date]],"mmmm")</f>
        <v>January</v>
      </c>
    </row>
    <row r="166" spans="1:8">
      <c r="A166" s="3">
        <f t="shared" si="2"/>
        <v>384822.18840526306</v>
      </c>
      <c r="H166" s="5" t="str">
        <f>TEXT(Table34[[#This Row],[Value Date]],"mmmm")</f>
        <v>January</v>
      </c>
    </row>
    <row r="167" spans="1:8">
      <c r="A167" s="3">
        <f t="shared" si="2"/>
        <v>384822.18840526306</v>
      </c>
      <c r="H167" s="5" t="str">
        <f>TEXT(Table34[[#This Row],[Value Date]],"mmmm")</f>
        <v>January</v>
      </c>
    </row>
    <row r="168" spans="1:8">
      <c r="A168" s="3">
        <f t="shared" si="2"/>
        <v>384822.18840526306</v>
      </c>
      <c r="H168" s="5" t="str">
        <f>TEXT(Table34[[#This Row],[Value Date]],"mmmm")</f>
        <v>January</v>
      </c>
    </row>
    <row r="169" spans="1:8">
      <c r="A169" s="3">
        <f t="shared" si="2"/>
        <v>384822.18840526306</v>
      </c>
      <c r="H169" s="5" t="str">
        <f>TEXT(Table34[[#This Row],[Value Date]],"mmmm")</f>
        <v>January</v>
      </c>
    </row>
    <row r="170" spans="1:8">
      <c r="A170" s="3">
        <f t="shared" si="2"/>
        <v>384822.18840526306</v>
      </c>
      <c r="H170" s="5" t="str">
        <f>TEXT(Table34[[#This Row],[Value Date]],"mmmm")</f>
        <v>January</v>
      </c>
    </row>
    <row r="171" spans="1:8">
      <c r="A171" s="3">
        <f t="shared" si="2"/>
        <v>384822.18840526306</v>
      </c>
      <c r="H171" s="5" t="str">
        <f>TEXT(Table34[[#This Row],[Value Date]],"mmmm")</f>
        <v>January</v>
      </c>
    </row>
    <row r="172" spans="1:8">
      <c r="A172" s="3">
        <f t="shared" si="2"/>
        <v>384822.18840526306</v>
      </c>
      <c r="H172" s="5" t="str">
        <f>TEXT(Table34[[#This Row],[Value Date]],"mmmm")</f>
        <v>January</v>
      </c>
    </row>
    <row r="173" spans="1:8">
      <c r="A173" s="3">
        <f t="shared" si="2"/>
        <v>384822.18840526306</v>
      </c>
      <c r="H173" s="5" t="str">
        <f>TEXT(Table34[[#This Row],[Value Date]],"mmmm")</f>
        <v>January</v>
      </c>
    </row>
    <row r="174" spans="1:8">
      <c r="A174" s="3">
        <f t="shared" si="2"/>
        <v>384822.18840526306</v>
      </c>
      <c r="H174" s="5" t="str">
        <f>TEXT(Table34[[#This Row],[Value Date]],"mmmm")</f>
        <v>January</v>
      </c>
    </row>
    <row r="175" spans="1:8">
      <c r="A175" s="3">
        <f t="shared" si="2"/>
        <v>384822.18840526306</v>
      </c>
      <c r="H175" s="5" t="str">
        <f>TEXT(Table34[[#This Row],[Value Date]],"mmmm")</f>
        <v>January</v>
      </c>
    </row>
    <row r="176" spans="1:8">
      <c r="A176" s="3">
        <f t="shared" si="2"/>
        <v>384822.18840526306</v>
      </c>
      <c r="H176" s="5" t="str">
        <f>TEXT(Table34[[#This Row],[Value Date]],"mmmm")</f>
        <v>January</v>
      </c>
    </row>
    <row r="177" spans="1:8">
      <c r="A177" s="3">
        <f t="shared" si="2"/>
        <v>384822.18840526306</v>
      </c>
      <c r="H177" s="5" t="str">
        <f>TEXT(Table34[[#This Row],[Value Date]],"mmmm")</f>
        <v>January</v>
      </c>
    </row>
    <row r="178" spans="1:8">
      <c r="A178" s="3">
        <f t="shared" si="2"/>
        <v>384822.18840526306</v>
      </c>
      <c r="H178" s="5" t="str">
        <f>TEXT(Table34[[#This Row],[Value Date]],"mmmm")</f>
        <v>January</v>
      </c>
    </row>
    <row r="179" spans="1:8">
      <c r="A179" s="3">
        <f t="shared" si="2"/>
        <v>384822.18840526306</v>
      </c>
      <c r="H179" s="5" t="str">
        <f>TEXT(Table34[[#This Row],[Value Date]],"mmmm")</f>
        <v>January</v>
      </c>
    </row>
    <row r="180" spans="1:8">
      <c r="A180" s="3">
        <f t="shared" si="2"/>
        <v>384822.18840526306</v>
      </c>
      <c r="H180" s="5" t="str">
        <f>TEXT(Table34[[#This Row],[Value Date]],"mmmm")</f>
        <v>January</v>
      </c>
    </row>
    <row r="181" spans="1:8">
      <c r="A181" s="3">
        <f t="shared" si="2"/>
        <v>384822.18840526306</v>
      </c>
      <c r="H181" s="5" t="str">
        <f>TEXT(Table34[[#This Row],[Value Date]],"mmmm")</f>
        <v>January</v>
      </c>
    </row>
    <row r="182" spans="1:8">
      <c r="A182" s="3">
        <f t="shared" si="2"/>
        <v>384822.18840526306</v>
      </c>
      <c r="H182" s="5" t="str">
        <f>TEXT(Table34[[#This Row],[Value Date]],"mmmm")</f>
        <v>January</v>
      </c>
    </row>
    <row r="183" spans="1:8">
      <c r="A183" s="3">
        <f t="shared" si="2"/>
        <v>384822.18840526306</v>
      </c>
      <c r="H183" s="5" t="str">
        <f>TEXT(Table34[[#This Row],[Value Date]],"mmmm")</f>
        <v>January</v>
      </c>
    </row>
    <row r="184" spans="1:8">
      <c r="A184" s="3">
        <f t="shared" si="2"/>
        <v>384822.18840526306</v>
      </c>
      <c r="H184" s="5" t="str">
        <f>TEXT(Table34[[#This Row],[Value Date]],"mmmm")</f>
        <v>January</v>
      </c>
    </row>
    <row r="185" spans="1:8">
      <c r="A185" s="3">
        <f t="shared" si="2"/>
        <v>384822.18840526306</v>
      </c>
      <c r="H185" s="5" t="str">
        <f>TEXT(Table34[[#This Row],[Value Date]],"mmmm")</f>
        <v>January</v>
      </c>
    </row>
    <row r="186" spans="1:8">
      <c r="A186" s="3">
        <f t="shared" si="2"/>
        <v>384822.18840526306</v>
      </c>
      <c r="H186" s="5" t="str">
        <f>TEXT(Table34[[#This Row],[Value Date]],"mmmm")</f>
        <v>January</v>
      </c>
    </row>
    <row r="187" spans="1:8">
      <c r="A187" s="3">
        <f t="shared" si="2"/>
        <v>384822.18840526306</v>
      </c>
      <c r="H187" s="5" t="str">
        <f>TEXT(Table34[[#This Row],[Value Date]],"mmmm")</f>
        <v>January</v>
      </c>
    </row>
    <row r="188" spans="1:8">
      <c r="A188" s="3">
        <f t="shared" si="2"/>
        <v>384822.18840526306</v>
      </c>
      <c r="H188" s="5" t="str">
        <f>TEXT(Table34[[#This Row],[Value Date]],"mmmm")</f>
        <v>January</v>
      </c>
    </row>
    <row r="189" spans="1:8">
      <c r="A189" s="3">
        <f t="shared" si="2"/>
        <v>384822.18840526306</v>
      </c>
      <c r="H189" s="5" t="str">
        <f>TEXT(Table34[[#This Row],[Value Date]],"mmmm")</f>
        <v>January</v>
      </c>
    </row>
    <row r="190" spans="1:8">
      <c r="A190" s="3">
        <f t="shared" si="2"/>
        <v>384822.18840526306</v>
      </c>
      <c r="H190" s="5" t="str">
        <f>TEXT(Table34[[#This Row],[Value Date]],"mmmm")</f>
        <v>January</v>
      </c>
    </row>
    <row r="191" spans="1:8">
      <c r="A191" s="3">
        <f t="shared" si="2"/>
        <v>384822.18840526306</v>
      </c>
      <c r="H191" s="5" t="str">
        <f>TEXT(Table34[[#This Row],[Value Date]],"mmmm")</f>
        <v>January</v>
      </c>
    </row>
    <row r="192" spans="1:8">
      <c r="A192" s="3">
        <f t="shared" si="2"/>
        <v>384822.18840526306</v>
      </c>
      <c r="H192" s="5" t="str">
        <f>TEXT(Table34[[#This Row],[Value Date]],"mmmm")</f>
        <v>January</v>
      </c>
    </row>
    <row r="193" spans="1:8">
      <c r="A193" s="3">
        <f t="shared" si="2"/>
        <v>384822.18840526306</v>
      </c>
      <c r="H193" s="5" t="str">
        <f>TEXT(Table34[[#This Row],[Value Date]],"mmmm")</f>
        <v>January</v>
      </c>
    </row>
    <row r="194" spans="1:8">
      <c r="A194" s="3">
        <f t="shared" si="2"/>
        <v>384822.18840526306</v>
      </c>
      <c r="H194" s="5" t="str">
        <f>TEXT(Table34[[#This Row],[Value Date]],"mmmm")</f>
        <v>January</v>
      </c>
    </row>
    <row r="195" spans="1:8">
      <c r="A195" s="3">
        <f t="shared" si="2"/>
        <v>384822.18840526306</v>
      </c>
      <c r="H195" s="5" t="str">
        <f>TEXT(Table34[[#This Row],[Value Date]],"mmmm")</f>
        <v>January</v>
      </c>
    </row>
    <row r="196" spans="1:8">
      <c r="A196" s="3">
        <f t="shared" si="2"/>
        <v>384822.18840526306</v>
      </c>
      <c r="H196" s="5" t="str">
        <f>TEXT(Table34[[#This Row],[Value Date]],"mmmm")</f>
        <v>January</v>
      </c>
    </row>
    <row r="197" spans="1:8">
      <c r="A197" s="3">
        <f t="shared" si="2"/>
        <v>384822.18840526306</v>
      </c>
      <c r="H197" s="5" t="str">
        <f>TEXT(Table34[[#This Row],[Value Date]],"mmmm")</f>
        <v>January</v>
      </c>
    </row>
    <row r="198" spans="1:8">
      <c r="A198" s="3">
        <f t="shared" ref="A198:A261" si="3">A197+B198-C198</f>
        <v>384822.18840526306</v>
      </c>
      <c r="H198" s="5" t="str">
        <f>TEXT(Table34[[#This Row],[Value Date]],"mmmm")</f>
        <v>January</v>
      </c>
    </row>
    <row r="199" spans="1:8">
      <c r="A199" s="3">
        <f t="shared" si="3"/>
        <v>384822.18840526306</v>
      </c>
      <c r="H199" s="5" t="str">
        <f>TEXT(Table34[[#This Row],[Value Date]],"mmmm")</f>
        <v>January</v>
      </c>
    </row>
    <row r="200" spans="1:8">
      <c r="A200" s="3">
        <f t="shared" si="3"/>
        <v>384822.18840526306</v>
      </c>
      <c r="H200" s="5" t="str">
        <f>TEXT(Table34[[#This Row],[Value Date]],"mmmm")</f>
        <v>January</v>
      </c>
    </row>
    <row r="201" spans="1:8">
      <c r="A201" s="3">
        <f t="shared" si="3"/>
        <v>384822.18840526306</v>
      </c>
      <c r="H201" s="5" t="str">
        <f>TEXT(Table34[[#This Row],[Value Date]],"mmmm")</f>
        <v>January</v>
      </c>
    </row>
    <row r="202" spans="1:8">
      <c r="A202" s="3">
        <f t="shared" si="3"/>
        <v>384822.18840526306</v>
      </c>
      <c r="H202" s="5" t="str">
        <f>TEXT(Table34[[#This Row],[Value Date]],"mmmm")</f>
        <v>January</v>
      </c>
    </row>
    <row r="203" spans="1:8">
      <c r="A203" s="3">
        <f t="shared" si="3"/>
        <v>384822.18840526306</v>
      </c>
      <c r="H203" s="5" t="str">
        <f>TEXT(Table34[[#This Row],[Value Date]],"mmmm")</f>
        <v>January</v>
      </c>
    </row>
    <row r="204" spans="1:8">
      <c r="A204" s="3">
        <f t="shared" si="3"/>
        <v>384822.18840526306</v>
      </c>
      <c r="H204" s="5" t="str">
        <f>TEXT(Table34[[#This Row],[Value Date]],"mmmm")</f>
        <v>January</v>
      </c>
    </row>
    <row r="205" spans="1:8">
      <c r="A205" s="3">
        <f t="shared" si="3"/>
        <v>384822.18840526306</v>
      </c>
      <c r="H205" s="5" t="str">
        <f>TEXT(Table34[[#This Row],[Value Date]],"mmmm")</f>
        <v>January</v>
      </c>
    </row>
    <row r="206" spans="1:8">
      <c r="A206" s="3">
        <f t="shared" si="3"/>
        <v>384822.18840526306</v>
      </c>
      <c r="H206" s="5" t="str">
        <f>TEXT(Table34[[#This Row],[Value Date]],"mmmm")</f>
        <v>January</v>
      </c>
    </row>
    <row r="207" spans="1:8">
      <c r="A207" s="3">
        <f t="shared" si="3"/>
        <v>384822.18840526306</v>
      </c>
      <c r="H207" s="5" t="str">
        <f>TEXT(Table34[[#This Row],[Value Date]],"mmmm")</f>
        <v>January</v>
      </c>
    </row>
    <row r="208" spans="1:8">
      <c r="A208" s="3">
        <f t="shared" si="3"/>
        <v>384822.18840526306</v>
      </c>
      <c r="H208" s="5" t="str">
        <f>TEXT(Table34[[#This Row],[Value Date]],"mmmm")</f>
        <v>January</v>
      </c>
    </row>
    <row r="209" spans="1:8">
      <c r="A209" s="3">
        <f t="shared" si="3"/>
        <v>384822.18840526306</v>
      </c>
      <c r="H209" s="5" t="str">
        <f>TEXT(Table34[[#This Row],[Value Date]],"mmmm")</f>
        <v>January</v>
      </c>
    </row>
    <row r="210" spans="1:8">
      <c r="A210" s="3">
        <f t="shared" si="3"/>
        <v>384822.18840526306</v>
      </c>
      <c r="H210" s="5" t="str">
        <f>TEXT(Table34[[#This Row],[Value Date]],"mmmm")</f>
        <v>January</v>
      </c>
    </row>
    <row r="211" spans="1:8">
      <c r="A211" s="3">
        <f t="shared" si="3"/>
        <v>384822.18840526306</v>
      </c>
      <c r="H211" s="5" t="str">
        <f>TEXT(Table34[[#This Row],[Value Date]],"mmmm")</f>
        <v>January</v>
      </c>
    </row>
    <row r="212" spans="1:8">
      <c r="A212" s="3">
        <f t="shared" si="3"/>
        <v>384822.18840526306</v>
      </c>
      <c r="H212" s="5" t="str">
        <f>TEXT(Table34[[#This Row],[Value Date]],"mmmm")</f>
        <v>January</v>
      </c>
    </row>
    <row r="213" spans="1:8">
      <c r="A213" s="3">
        <f t="shared" si="3"/>
        <v>384822.18840526306</v>
      </c>
      <c r="H213" s="5" t="str">
        <f>TEXT(Table34[[#This Row],[Value Date]],"mmmm")</f>
        <v>January</v>
      </c>
    </row>
    <row r="214" spans="1:8">
      <c r="A214" s="3">
        <f t="shared" si="3"/>
        <v>384822.18840526306</v>
      </c>
      <c r="H214" s="5" t="str">
        <f>TEXT(Table34[[#This Row],[Value Date]],"mmmm")</f>
        <v>January</v>
      </c>
    </row>
    <row r="215" spans="1:8">
      <c r="A215" s="3">
        <f t="shared" si="3"/>
        <v>384822.18840526306</v>
      </c>
      <c r="H215" s="5" t="str">
        <f>TEXT(Table34[[#This Row],[Value Date]],"mmmm")</f>
        <v>January</v>
      </c>
    </row>
    <row r="216" spans="1:8">
      <c r="A216" s="3">
        <f t="shared" si="3"/>
        <v>384822.18840526306</v>
      </c>
      <c r="H216" s="5" t="str">
        <f>TEXT(Table34[[#This Row],[Value Date]],"mmmm")</f>
        <v>January</v>
      </c>
    </row>
    <row r="217" spans="1:8">
      <c r="A217" s="3">
        <f t="shared" si="3"/>
        <v>384822.18840526306</v>
      </c>
      <c r="H217" s="5" t="str">
        <f>TEXT(Table34[[#This Row],[Value Date]],"mmmm")</f>
        <v>January</v>
      </c>
    </row>
    <row r="218" spans="1:8">
      <c r="A218" s="3">
        <f t="shared" si="3"/>
        <v>384822.18840526306</v>
      </c>
      <c r="H218" s="5" t="str">
        <f>TEXT(Table34[[#This Row],[Value Date]],"mmmm")</f>
        <v>January</v>
      </c>
    </row>
    <row r="219" spans="1:8">
      <c r="A219" s="3">
        <f t="shared" si="3"/>
        <v>384822.18840526306</v>
      </c>
      <c r="H219" s="5" t="str">
        <f>TEXT(Table34[[#This Row],[Value Date]],"mmmm")</f>
        <v>January</v>
      </c>
    </row>
    <row r="220" spans="1:8">
      <c r="A220" s="3">
        <f t="shared" si="3"/>
        <v>384822.18840526306</v>
      </c>
      <c r="H220" s="5" t="str">
        <f>TEXT(Table34[[#This Row],[Value Date]],"mmmm")</f>
        <v>January</v>
      </c>
    </row>
    <row r="221" spans="1:8">
      <c r="A221" s="3">
        <f t="shared" si="3"/>
        <v>384822.18840526306</v>
      </c>
      <c r="H221" s="5" t="str">
        <f>TEXT(Table34[[#This Row],[Value Date]],"mmmm")</f>
        <v>January</v>
      </c>
    </row>
    <row r="222" spans="1:8">
      <c r="A222" s="3">
        <f t="shared" si="3"/>
        <v>384822.18840526306</v>
      </c>
      <c r="H222" s="5" t="str">
        <f>TEXT(Table34[[#This Row],[Value Date]],"mmmm")</f>
        <v>January</v>
      </c>
    </row>
    <row r="223" spans="1:8">
      <c r="A223" s="3">
        <f t="shared" si="3"/>
        <v>384822.18840526306</v>
      </c>
      <c r="H223" s="5" t="str">
        <f>TEXT(Table34[[#This Row],[Value Date]],"mmmm")</f>
        <v>January</v>
      </c>
    </row>
    <row r="224" spans="1:8">
      <c r="A224" s="3">
        <f t="shared" si="3"/>
        <v>384822.18840526306</v>
      </c>
      <c r="H224" s="5" t="str">
        <f>TEXT(Table34[[#This Row],[Value Date]],"mmmm")</f>
        <v>January</v>
      </c>
    </row>
    <row r="225" spans="1:8">
      <c r="A225" s="3">
        <f t="shared" si="3"/>
        <v>384822.18840526306</v>
      </c>
      <c r="H225" s="5" t="str">
        <f>TEXT(Table34[[#This Row],[Value Date]],"mmmm")</f>
        <v>January</v>
      </c>
    </row>
    <row r="226" spans="1:8">
      <c r="A226" s="3">
        <f t="shared" si="3"/>
        <v>384822.18840526306</v>
      </c>
      <c r="H226" s="5" t="str">
        <f>TEXT(Table34[[#This Row],[Value Date]],"mmmm")</f>
        <v>January</v>
      </c>
    </row>
    <row r="227" spans="1:8">
      <c r="A227" s="3">
        <f t="shared" si="3"/>
        <v>384822.18840526306</v>
      </c>
      <c r="H227" s="5" t="str">
        <f>TEXT(Table34[[#This Row],[Value Date]],"mmmm")</f>
        <v>January</v>
      </c>
    </row>
    <row r="228" spans="1:8">
      <c r="A228" s="3">
        <f t="shared" si="3"/>
        <v>384822.18840526306</v>
      </c>
      <c r="H228" s="5" t="str">
        <f>TEXT(Table34[[#This Row],[Value Date]],"mmmm")</f>
        <v>January</v>
      </c>
    </row>
    <row r="229" spans="1:8">
      <c r="A229" s="3">
        <f t="shared" si="3"/>
        <v>384822.18840526306</v>
      </c>
      <c r="H229" s="5" t="str">
        <f>TEXT(Table34[[#This Row],[Value Date]],"mmmm")</f>
        <v>January</v>
      </c>
    </row>
    <row r="230" spans="1:8">
      <c r="A230" s="3">
        <f t="shared" si="3"/>
        <v>384822.18840526306</v>
      </c>
      <c r="H230" s="5" t="str">
        <f>TEXT(Table34[[#This Row],[Value Date]],"mmmm")</f>
        <v>January</v>
      </c>
    </row>
    <row r="231" spans="1:8">
      <c r="A231" s="3">
        <f t="shared" si="3"/>
        <v>384822.18840526306</v>
      </c>
      <c r="H231" s="5" t="str">
        <f>TEXT(Table34[[#This Row],[Value Date]],"mmmm")</f>
        <v>January</v>
      </c>
    </row>
    <row r="232" spans="1:8">
      <c r="A232" s="3">
        <f t="shared" si="3"/>
        <v>384822.18840526306</v>
      </c>
      <c r="H232" s="5" t="str">
        <f>TEXT(Table34[[#This Row],[Value Date]],"mmmm")</f>
        <v>January</v>
      </c>
    </row>
    <row r="233" spans="1:8">
      <c r="A233" s="3">
        <f t="shared" si="3"/>
        <v>384822.18840526306</v>
      </c>
      <c r="H233" s="5" t="str">
        <f>TEXT(Table34[[#This Row],[Value Date]],"mmmm")</f>
        <v>January</v>
      </c>
    </row>
    <row r="234" spans="1:8">
      <c r="A234" s="3">
        <f t="shared" si="3"/>
        <v>384822.18840526306</v>
      </c>
      <c r="H234" s="5" t="str">
        <f>TEXT(Table34[[#This Row],[Value Date]],"mmmm")</f>
        <v>January</v>
      </c>
    </row>
    <row r="235" spans="1:8">
      <c r="A235" s="3">
        <f t="shared" si="3"/>
        <v>384822.18840526306</v>
      </c>
      <c r="H235" s="5" t="str">
        <f>TEXT(Table34[[#This Row],[Value Date]],"mmmm")</f>
        <v>January</v>
      </c>
    </row>
    <row r="236" spans="1:8">
      <c r="A236" s="3">
        <f t="shared" si="3"/>
        <v>384822.18840526306</v>
      </c>
      <c r="H236" s="5" t="str">
        <f>TEXT(Table34[[#This Row],[Value Date]],"mmmm")</f>
        <v>January</v>
      </c>
    </row>
    <row r="237" spans="1:8">
      <c r="A237" s="3">
        <f t="shared" si="3"/>
        <v>384822.18840526306</v>
      </c>
      <c r="H237" s="5" t="str">
        <f>TEXT(Table34[[#This Row],[Value Date]],"mmmm")</f>
        <v>January</v>
      </c>
    </row>
    <row r="238" spans="1:8">
      <c r="A238" s="3">
        <f t="shared" si="3"/>
        <v>384822.18840526306</v>
      </c>
      <c r="H238" s="5" t="str">
        <f>TEXT(Table34[[#This Row],[Value Date]],"mmmm")</f>
        <v>January</v>
      </c>
    </row>
    <row r="239" spans="1:8">
      <c r="A239" s="3">
        <f t="shared" si="3"/>
        <v>384822.18840526306</v>
      </c>
      <c r="H239" s="5" t="str">
        <f>TEXT(Table34[[#This Row],[Value Date]],"mmmm")</f>
        <v>January</v>
      </c>
    </row>
    <row r="240" spans="1:8">
      <c r="A240" s="3">
        <f t="shared" si="3"/>
        <v>384822.18840526306</v>
      </c>
      <c r="H240" s="5" t="str">
        <f>TEXT(Table34[[#This Row],[Value Date]],"mmmm")</f>
        <v>January</v>
      </c>
    </row>
    <row r="241" spans="1:8">
      <c r="A241" s="3">
        <f t="shared" si="3"/>
        <v>384822.18840526306</v>
      </c>
      <c r="H241" s="5" t="str">
        <f>TEXT(Table34[[#This Row],[Value Date]],"mmmm")</f>
        <v>January</v>
      </c>
    </row>
    <row r="242" spans="1:8">
      <c r="A242" s="3">
        <f t="shared" si="3"/>
        <v>384822.18840526306</v>
      </c>
      <c r="H242" s="5" t="str">
        <f>TEXT(Table34[[#This Row],[Value Date]],"mmmm")</f>
        <v>January</v>
      </c>
    </row>
    <row r="243" spans="1:8">
      <c r="A243" s="3">
        <f t="shared" si="3"/>
        <v>384822.18840526306</v>
      </c>
      <c r="H243" s="5" t="str">
        <f>TEXT(Table34[[#This Row],[Value Date]],"mmmm")</f>
        <v>January</v>
      </c>
    </row>
    <row r="244" spans="1:8">
      <c r="A244" s="3">
        <f t="shared" si="3"/>
        <v>384822.18840526306</v>
      </c>
      <c r="H244" s="5" t="str">
        <f>TEXT(Table34[[#This Row],[Value Date]],"mmmm")</f>
        <v>January</v>
      </c>
    </row>
    <row r="245" spans="1:8">
      <c r="A245" s="3">
        <f t="shared" si="3"/>
        <v>384822.18840526306</v>
      </c>
      <c r="H245" s="5" t="str">
        <f>TEXT(Table34[[#This Row],[Value Date]],"mmmm")</f>
        <v>January</v>
      </c>
    </row>
    <row r="246" spans="1:8">
      <c r="A246" s="3">
        <f t="shared" si="3"/>
        <v>384822.18840526306</v>
      </c>
      <c r="H246" s="5" t="str">
        <f>TEXT(Table34[[#This Row],[Value Date]],"mmmm")</f>
        <v>January</v>
      </c>
    </row>
    <row r="247" spans="1:8">
      <c r="A247" s="3">
        <f t="shared" si="3"/>
        <v>384822.18840526306</v>
      </c>
      <c r="H247" s="5" t="str">
        <f>TEXT(Table34[[#This Row],[Value Date]],"mmmm")</f>
        <v>January</v>
      </c>
    </row>
    <row r="248" spans="1:8">
      <c r="A248" s="3">
        <f t="shared" si="3"/>
        <v>384822.18840526306</v>
      </c>
      <c r="H248" s="5" t="str">
        <f>TEXT(Table34[[#This Row],[Value Date]],"mmmm")</f>
        <v>January</v>
      </c>
    </row>
    <row r="249" spans="1:8">
      <c r="A249" s="3">
        <f t="shared" si="3"/>
        <v>384822.18840526306</v>
      </c>
      <c r="H249" s="5" t="str">
        <f>TEXT(Table34[[#This Row],[Value Date]],"mmmm")</f>
        <v>January</v>
      </c>
    </row>
    <row r="250" spans="1:8">
      <c r="A250" s="3">
        <f t="shared" si="3"/>
        <v>384822.18840526306</v>
      </c>
      <c r="H250" s="5" t="str">
        <f>TEXT(Table34[[#This Row],[Value Date]],"mmmm")</f>
        <v>January</v>
      </c>
    </row>
    <row r="251" spans="1:8">
      <c r="A251" s="3">
        <f t="shared" si="3"/>
        <v>384822.18840526306</v>
      </c>
      <c r="H251" s="5" t="str">
        <f>TEXT(Table34[[#This Row],[Value Date]],"mmmm")</f>
        <v>January</v>
      </c>
    </row>
    <row r="252" spans="1:8">
      <c r="A252" s="3">
        <f t="shared" si="3"/>
        <v>384822.18840526306</v>
      </c>
      <c r="H252" s="5" t="str">
        <f>TEXT(Table34[[#This Row],[Value Date]],"mmmm")</f>
        <v>January</v>
      </c>
    </row>
    <row r="253" spans="1:8">
      <c r="A253" s="3">
        <f t="shared" si="3"/>
        <v>384822.18840526306</v>
      </c>
      <c r="H253" s="5" t="str">
        <f>TEXT(Table34[[#This Row],[Value Date]],"mmmm")</f>
        <v>January</v>
      </c>
    </row>
    <row r="254" spans="1:8">
      <c r="A254" s="3">
        <f t="shared" si="3"/>
        <v>384822.18840526306</v>
      </c>
      <c r="H254" s="5" t="str">
        <f>TEXT(Table34[[#This Row],[Value Date]],"mmmm")</f>
        <v>January</v>
      </c>
    </row>
    <row r="255" spans="1:8">
      <c r="A255" s="3">
        <f t="shared" si="3"/>
        <v>384822.18840526306</v>
      </c>
      <c r="H255" s="5" t="str">
        <f>TEXT(Table34[[#This Row],[Value Date]],"mmmm")</f>
        <v>January</v>
      </c>
    </row>
    <row r="256" spans="1:8">
      <c r="A256" s="3">
        <f t="shared" si="3"/>
        <v>384822.18840526306</v>
      </c>
      <c r="H256" s="5" t="str">
        <f>TEXT(Table34[[#This Row],[Value Date]],"mmmm")</f>
        <v>January</v>
      </c>
    </row>
    <row r="257" spans="1:8">
      <c r="A257" s="3">
        <f t="shared" si="3"/>
        <v>384822.18840526306</v>
      </c>
      <c r="H257" s="5" t="str">
        <f>TEXT(Table34[[#This Row],[Value Date]],"mmmm")</f>
        <v>January</v>
      </c>
    </row>
    <row r="258" spans="1:8">
      <c r="A258" s="3">
        <f t="shared" si="3"/>
        <v>384822.18840526306</v>
      </c>
      <c r="H258" s="5" t="str">
        <f>TEXT(Table34[[#This Row],[Value Date]],"mmmm")</f>
        <v>January</v>
      </c>
    </row>
    <row r="259" spans="1:8">
      <c r="A259" s="3">
        <f t="shared" si="3"/>
        <v>384822.18840526306</v>
      </c>
      <c r="H259" s="5" t="str">
        <f>TEXT(Table34[[#This Row],[Value Date]],"mmmm")</f>
        <v>January</v>
      </c>
    </row>
    <row r="260" spans="1:8">
      <c r="A260" s="3">
        <f t="shared" si="3"/>
        <v>384822.18840526306</v>
      </c>
      <c r="H260" s="5" t="str">
        <f>TEXT(Table34[[#This Row],[Value Date]],"mmmm")</f>
        <v>January</v>
      </c>
    </row>
    <row r="261" spans="1:8">
      <c r="A261" s="3">
        <f t="shared" si="3"/>
        <v>384822.18840526306</v>
      </c>
      <c r="H261" s="5" t="str">
        <f>TEXT(Table34[[#This Row],[Value Date]],"mmmm")</f>
        <v>January</v>
      </c>
    </row>
    <row r="262" spans="1:8">
      <c r="A262" s="3">
        <f t="shared" ref="A262:A325" si="4">A261+B262-C262</f>
        <v>384822.18840526306</v>
      </c>
      <c r="H262" s="5" t="str">
        <f>TEXT(Table34[[#This Row],[Value Date]],"mmmm")</f>
        <v>January</v>
      </c>
    </row>
    <row r="263" spans="1:8">
      <c r="A263" s="3">
        <f t="shared" si="4"/>
        <v>384822.18840526306</v>
      </c>
      <c r="H263" s="5" t="str">
        <f>TEXT(Table34[[#This Row],[Value Date]],"mmmm")</f>
        <v>January</v>
      </c>
    </row>
    <row r="264" spans="1:8">
      <c r="A264" s="3">
        <f t="shared" si="4"/>
        <v>384822.18840526306</v>
      </c>
      <c r="H264" s="5" t="str">
        <f>TEXT(Table34[[#This Row],[Value Date]],"mmmm")</f>
        <v>January</v>
      </c>
    </row>
    <row r="265" spans="1:8">
      <c r="A265" s="3">
        <f t="shared" si="4"/>
        <v>384822.18840526306</v>
      </c>
      <c r="H265" s="5" t="str">
        <f>TEXT(Table34[[#This Row],[Value Date]],"mmmm")</f>
        <v>January</v>
      </c>
    </row>
    <row r="266" spans="1:8">
      <c r="A266" s="3">
        <f t="shared" si="4"/>
        <v>384822.18840526306</v>
      </c>
      <c r="H266" s="5" t="str">
        <f>TEXT(Table34[[#This Row],[Value Date]],"mmmm")</f>
        <v>January</v>
      </c>
    </row>
    <row r="267" spans="1:8">
      <c r="A267" s="3">
        <f t="shared" si="4"/>
        <v>384822.18840526306</v>
      </c>
      <c r="H267" s="5" t="str">
        <f>TEXT(Table34[[#This Row],[Value Date]],"mmmm")</f>
        <v>January</v>
      </c>
    </row>
    <row r="268" spans="1:8">
      <c r="A268" s="3">
        <f t="shared" si="4"/>
        <v>384822.18840526306</v>
      </c>
      <c r="H268" s="5" t="str">
        <f>TEXT(Table34[[#This Row],[Value Date]],"mmmm")</f>
        <v>January</v>
      </c>
    </row>
    <row r="269" spans="1:8">
      <c r="A269" s="3">
        <f t="shared" si="4"/>
        <v>384822.18840526306</v>
      </c>
      <c r="H269" s="5" t="str">
        <f>TEXT(Table34[[#This Row],[Value Date]],"mmmm")</f>
        <v>January</v>
      </c>
    </row>
    <row r="270" spans="1:8">
      <c r="A270" s="3">
        <f t="shared" si="4"/>
        <v>384822.18840526306</v>
      </c>
      <c r="H270" s="5" t="str">
        <f>TEXT(Table34[[#This Row],[Value Date]],"mmmm")</f>
        <v>January</v>
      </c>
    </row>
    <row r="271" spans="1:8">
      <c r="A271" s="3">
        <f t="shared" si="4"/>
        <v>384822.18840526306</v>
      </c>
      <c r="H271" s="5" t="str">
        <f>TEXT(Table34[[#This Row],[Value Date]],"mmmm")</f>
        <v>January</v>
      </c>
    </row>
    <row r="272" spans="1:8">
      <c r="A272" s="3">
        <f t="shared" si="4"/>
        <v>384822.18840526306</v>
      </c>
      <c r="H272" s="5" t="str">
        <f>TEXT(Table34[[#This Row],[Value Date]],"mmmm")</f>
        <v>January</v>
      </c>
    </row>
    <row r="273" spans="1:8">
      <c r="A273" s="3">
        <f t="shared" si="4"/>
        <v>384822.18840526306</v>
      </c>
      <c r="H273" s="5" t="str">
        <f>TEXT(Table34[[#This Row],[Value Date]],"mmmm")</f>
        <v>January</v>
      </c>
    </row>
    <row r="274" spans="1:8">
      <c r="A274" s="3">
        <f t="shared" si="4"/>
        <v>384822.18840526306</v>
      </c>
      <c r="H274" s="5" t="str">
        <f>TEXT(Table34[[#This Row],[Value Date]],"mmmm")</f>
        <v>January</v>
      </c>
    </row>
    <row r="275" spans="1:8">
      <c r="A275" s="3">
        <f t="shared" si="4"/>
        <v>384822.18840526306</v>
      </c>
      <c r="H275" s="5" t="str">
        <f>TEXT(Table34[[#This Row],[Value Date]],"mmmm")</f>
        <v>January</v>
      </c>
    </row>
    <row r="276" spans="1:8">
      <c r="A276" s="3">
        <f t="shared" si="4"/>
        <v>384822.18840526306</v>
      </c>
      <c r="H276" s="5" t="str">
        <f>TEXT(Table34[[#This Row],[Value Date]],"mmmm")</f>
        <v>January</v>
      </c>
    </row>
    <row r="277" spans="1:8">
      <c r="A277" s="3">
        <f t="shared" si="4"/>
        <v>384822.18840526306</v>
      </c>
      <c r="H277" s="5" t="str">
        <f>TEXT(Table34[[#This Row],[Value Date]],"mmmm")</f>
        <v>January</v>
      </c>
    </row>
    <row r="278" spans="1:8">
      <c r="A278" s="3">
        <f t="shared" si="4"/>
        <v>384822.18840526306</v>
      </c>
      <c r="H278" s="5" t="str">
        <f>TEXT(Table34[[#This Row],[Value Date]],"mmmm")</f>
        <v>January</v>
      </c>
    </row>
    <row r="279" spans="1:8">
      <c r="A279" s="3">
        <f t="shared" si="4"/>
        <v>384822.18840526306</v>
      </c>
      <c r="H279" s="5" t="str">
        <f>TEXT(Table34[[#This Row],[Value Date]],"mmmm")</f>
        <v>January</v>
      </c>
    </row>
    <row r="280" spans="1:8">
      <c r="A280" s="3">
        <f t="shared" si="4"/>
        <v>384822.18840526306</v>
      </c>
      <c r="H280" s="5" t="str">
        <f>TEXT(Table34[[#This Row],[Value Date]],"mmmm")</f>
        <v>January</v>
      </c>
    </row>
    <row r="281" spans="1:8">
      <c r="A281" s="3">
        <f t="shared" si="4"/>
        <v>384822.18840526306</v>
      </c>
      <c r="H281" s="5" t="str">
        <f>TEXT(Table34[[#This Row],[Value Date]],"mmmm")</f>
        <v>January</v>
      </c>
    </row>
    <row r="282" spans="1:8">
      <c r="A282" s="3">
        <f t="shared" si="4"/>
        <v>384822.18840526306</v>
      </c>
      <c r="H282" s="5" t="str">
        <f>TEXT(Table34[[#This Row],[Value Date]],"mmmm")</f>
        <v>January</v>
      </c>
    </row>
    <row r="283" spans="1:8">
      <c r="A283" s="3">
        <f t="shared" si="4"/>
        <v>384822.18840526306</v>
      </c>
      <c r="H283" s="5" t="str">
        <f>TEXT(Table34[[#This Row],[Value Date]],"mmmm")</f>
        <v>January</v>
      </c>
    </row>
    <row r="284" spans="1:8">
      <c r="A284" s="3">
        <f t="shared" si="4"/>
        <v>384822.18840526306</v>
      </c>
      <c r="H284" s="5" t="str">
        <f>TEXT(Table34[[#This Row],[Value Date]],"mmmm")</f>
        <v>January</v>
      </c>
    </row>
    <row r="285" spans="1:8">
      <c r="A285" s="3">
        <f t="shared" si="4"/>
        <v>384822.18840526306</v>
      </c>
      <c r="H285" s="5" t="str">
        <f>TEXT(Table34[[#This Row],[Value Date]],"mmmm")</f>
        <v>January</v>
      </c>
    </row>
    <row r="286" spans="1:8">
      <c r="A286" s="3">
        <f t="shared" si="4"/>
        <v>384822.18840526306</v>
      </c>
      <c r="H286" s="5" t="str">
        <f>TEXT(Table34[[#This Row],[Value Date]],"mmmm")</f>
        <v>January</v>
      </c>
    </row>
    <row r="287" spans="1:8">
      <c r="A287" s="3">
        <f t="shared" si="4"/>
        <v>384822.18840526306</v>
      </c>
      <c r="H287" s="5" t="str">
        <f>TEXT(Table34[[#This Row],[Value Date]],"mmmm")</f>
        <v>January</v>
      </c>
    </row>
    <row r="288" spans="1:8">
      <c r="A288" s="3">
        <f t="shared" si="4"/>
        <v>384822.18840526306</v>
      </c>
      <c r="H288" s="5" t="str">
        <f>TEXT(Table34[[#This Row],[Value Date]],"mmmm")</f>
        <v>January</v>
      </c>
    </row>
    <row r="289" spans="1:12">
      <c r="A289" s="3">
        <f t="shared" si="4"/>
        <v>384822.18840526306</v>
      </c>
      <c r="H289" s="5" t="str">
        <f>TEXT(Table34[[#This Row],[Value Date]],"mmmm")</f>
        <v>January</v>
      </c>
    </row>
    <row r="290" spans="1:12">
      <c r="A290" s="3">
        <f t="shared" si="4"/>
        <v>384822.18840526306</v>
      </c>
      <c r="H290" s="5" t="str">
        <f>TEXT(Table34[[#This Row],[Value Date]],"mmmm")</f>
        <v>January</v>
      </c>
    </row>
    <row r="291" spans="1:12">
      <c r="A291" s="3">
        <f t="shared" si="4"/>
        <v>384822.18840526306</v>
      </c>
      <c r="H291" s="5" t="str">
        <f>TEXT(Table34[[#This Row],[Value Date]],"mmmm")</f>
        <v>January</v>
      </c>
    </row>
    <row r="292" spans="1:12">
      <c r="A292" s="3">
        <f t="shared" si="4"/>
        <v>384822.18840526306</v>
      </c>
      <c r="H292" s="5" t="str">
        <f>TEXT(Table34[[#This Row],[Value Date]],"mmmm")</f>
        <v>January</v>
      </c>
    </row>
    <row r="293" spans="1:12">
      <c r="A293" s="3">
        <f t="shared" si="4"/>
        <v>384822.18840526306</v>
      </c>
      <c r="H293" s="5" t="str">
        <f>TEXT(Table34[[#This Row],[Value Date]],"mmmm")</f>
        <v>January</v>
      </c>
    </row>
    <row r="294" spans="1:12">
      <c r="A294" s="3">
        <f t="shared" si="4"/>
        <v>384822.18840526306</v>
      </c>
      <c r="H294" s="5" t="str">
        <f>TEXT(Table34[[#This Row],[Value Date]],"mmmm")</f>
        <v>January</v>
      </c>
    </row>
    <row r="295" spans="1:12">
      <c r="A295" s="3">
        <f t="shared" si="4"/>
        <v>384822.18840526306</v>
      </c>
      <c r="H295" s="5" t="str">
        <f>TEXT(Table34[[#This Row],[Value Date]],"mmmm")</f>
        <v>January</v>
      </c>
    </row>
    <row r="296" spans="1:12">
      <c r="A296" s="3">
        <f t="shared" si="4"/>
        <v>384822.18840526306</v>
      </c>
      <c r="H296" s="5" t="str">
        <f>TEXT(Table34[[#This Row],[Value Date]],"mmmm")</f>
        <v>January</v>
      </c>
    </row>
    <row r="297" spans="1:12">
      <c r="A297" s="3">
        <f t="shared" si="4"/>
        <v>384822.18840526306</v>
      </c>
      <c r="H297" s="5" t="str">
        <f>TEXT(Table34[[#This Row],[Value Date]],"mmmm")</f>
        <v>January</v>
      </c>
    </row>
    <row r="298" spans="1:12">
      <c r="A298" s="3">
        <f t="shared" si="4"/>
        <v>384822.18840526306</v>
      </c>
      <c r="H298" s="5" t="str">
        <f>TEXT(Table34[[#This Row],[Value Date]],"mmmm")</f>
        <v>January</v>
      </c>
    </row>
    <row r="299" spans="1:12">
      <c r="A299" s="3">
        <f t="shared" si="4"/>
        <v>384822.18840526306</v>
      </c>
      <c r="H299" s="5" t="str">
        <f>TEXT(Table34[[#This Row],[Value Date]],"mmmm")</f>
        <v>January</v>
      </c>
    </row>
    <row r="300" spans="1:12">
      <c r="A300" s="3">
        <f t="shared" si="4"/>
        <v>384822.18840526306</v>
      </c>
      <c r="H300" s="5" t="str">
        <f>TEXT(Table34[[#This Row],[Value Date]],"mmmm")</f>
        <v>January</v>
      </c>
    </row>
    <row r="301" spans="1:12">
      <c r="A301" s="3">
        <f t="shared" si="4"/>
        <v>384822.18840526306</v>
      </c>
      <c r="H301" s="5" t="str">
        <f>TEXT(Table34[[#This Row],[Value Date]],"mmmm")</f>
        <v>January</v>
      </c>
    </row>
    <row r="302" spans="1:12">
      <c r="A302" s="3">
        <f t="shared" si="4"/>
        <v>384822.18840526306</v>
      </c>
      <c r="H302" s="5" t="str">
        <f>TEXT(Table34[[#This Row],[Value Date]],"mmmm")</f>
        <v>January</v>
      </c>
    </row>
    <row r="303" spans="1:12">
      <c r="A303" s="3">
        <f t="shared" si="4"/>
        <v>384822.18840526306</v>
      </c>
      <c r="H303" s="5" t="str">
        <f>TEXT(Table34[[#This Row],[Value Date]],"mmmm")</f>
        <v>January</v>
      </c>
      <c r="K303" s="10"/>
      <c r="L303" s="10"/>
    </row>
    <row r="304" spans="1:12">
      <c r="A304" s="3">
        <f t="shared" si="4"/>
        <v>384822.18840526306</v>
      </c>
      <c r="H304" s="5" t="str">
        <f>TEXT(Table34[[#This Row],[Value Date]],"mmmm")</f>
        <v>January</v>
      </c>
    </row>
    <row r="305" spans="1:12" s="10" customFormat="1" ht="30" customHeight="1">
      <c r="A305" s="3">
        <f t="shared" si="4"/>
        <v>384822.18840526306</v>
      </c>
      <c r="B305" s="3"/>
      <c r="C305" s="3"/>
      <c r="D305" s="4"/>
      <c r="E305" s="4"/>
      <c r="F305" s="4"/>
      <c r="G305" s="5"/>
      <c r="H305" s="5" t="str">
        <f>TEXT(Table34[[#This Row],[Value Date]],"mmmm")</f>
        <v>January</v>
      </c>
      <c r="I305" s="4"/>
      <c r="J305" s="4"/>
      <c r="K305" s="4"/>
      <c r="L305" s="4"/>
    </row>
    <row r="306" spans="1:12">
      <c r="A306" s="3">
        <f t="shared" si="4"/>
        <v>384822.18840526306</v>
      </c>
      <c r="H306" s="5" t="str">
        <f>TEXT(Table34[[#This Row],[Value Date]],"mmmm")</f>
        <v>January</v>
      </c>
    </row>
    <row r="307" spans="1:12">
      <c r="A307" s="3">
        <f t="shared" si="4"/>
        <v>384822.18840526306</v>
      </c>
      <c r="H307" s="5" t="str">
        <f>TEXT(Table34[[#This Row],[Value Date]],"mmmm")</f>
        <v>January</v>
      </c>
    </row>
    <row r="308" spans="1:12">
      <c r="A308" s="3">
        <f t="shared" si="4"/>
        <v>384822.18840526306</v>
      </c>
      <c r="H308" s="5" t="str">
        <f>TEXT(Table34[[#This Row],[Value Date]],"mmmm")</f>
        <v>January</v>
      </c>
    </row>
    <row r="309" spans="1:12">
      <c r="A309" s="3">
        <f t="shared" si="4"/>
        <v>384822.18840526306</v>
      </c>
      <c r="H309" s="5" t="str">
        <f>TEXT(Table34[[#This Row],[Value Date]],"mmmm")</f>
        <v>January</v>
      </c>
    </row>
    <row r="310" spans="1:12">
      <c r="A310" s="3">
        <f t="shared" si="4"/>
        <v>384822.18840526306</v>
      </c>
      <c r="H310" s="5" t="str">
        <f>TEXT(Table34[[#This Row],[Value Date]],"mmmm")</f>
        <v>January</v>
      </c>
    </row>
    <row r="311" spans="1:12">
      <c r="A311" s="3">
        <f t="shared" si="4"/>
        <v>384822.18840526306</v>
      </c>
      <c r="H311" s="5" t="str">
        <f>TEXT(Table34[[#This Row],[Value Date]],"mmmm")</f>
        <v>January</v>
      </c>
    </row>
    <row r="312" spans="1:12">
      <c r="A312" s="3">
        <f t="shared" si="4"/>
        <v>384822.18840526306</v>
      </c>
      <c r="H312" s="5" t="str">
        <f>TEXT(Table34[[#This Row],[Value Date]],"mmmm")</f>
        <v>January</v>
      </c>
    </row>
    <row r="313" spans="1:12">
      <c r="A313" s="3">
        <f t="shared" si="4"/>
        <v>384822.18840526306</v>
      </c>
      <c r="H313" s="5" t="str">
        <f>TEXT(Table34[[#This Row],[Value Date]],"mmmm")</f>
        <v>January</v>
      </c>
    </row>
    <row r="314" spans="1:12">
      <c r="A314" s="3">
        <f t="shared" si="4"/>
        <v>384822.18840526306</v>
      </c>
      <c r="H314" s="5" t="str">
        <f>TEXT(Table34[[#This Row],[Value Date]],"mmmm")</f>
        <v>January</v>
      </c>
    </row>
    <row r="315" spans="1:12">
      <c r="A315" s="3">
        <f t="shared" si="4"/>
        <v>384822.18840526306</v>
      </c>
      <c r="H315" s="5" t="str">
        <f>TEXT(Table34[[#This Row],[Value Date]],"mmmm")</f>
        <v>January</v>
      </c>
    </row>
    <row r="316" spans="1:12">
      <c r="A316" s="3">
        <f t="shared" si="4"/>
        <v>384822.18840526306</v>
      </c>
      <c r="H316" s="5" t="str">
        <f>TEXT(Table34[[#This Row],[Value Date]],"mmmm")</f>
        <v>January</v>
      </c>
    </row>
    <row r="317" spans="1:12">
      <c r="A317" s="3">
        <f t="shared" si="4"/>
        <v>384822.18840526306</v>
      </c>
      <c r="H317" s="5" t="str">
        <f>TEXT(Table34[[#This Row],[Value Date]],"mmmm")</f>
        <v>January</v>
      </c>
    </row>
    <row r="318" spans="1:12">
      <c r="A318" s="3">
        <f t="shared" si="4"/>
        <v>384822.18840526306</v>
      </c>
      <c r="H318" s="5" t="str">
        <f>TEXT(Table34[[#This Row],[Value Date]],"mmmm")</f>
        <v>January</v>
      </c>
    </row>
    <row r="319" spans="1:12">
      <c r="A319" s="3">
        <f t="shared" si="4"/>
        <v>384822.18840526306</v>
      </c>
      <c r="H319" s="5" t="str">
        <f>TEXT(Table34[[#This Row],[Value Date]],"mmmm")</f>
        <v>January</v>
      </c>
    </row>
    <row r="320" spans="1:12">
      <c r="A320" s="3">
        <f t="shared" si="4"/>
        <v>384822.18840526306</v>
      </c>
      <c r="H320" s="5" t="str">
        <f>TEXT(Table34[[#This Row],[Value Date]],"mmmm")</f>
        <v>January</v>
      </c>
    </row>
    <row r="321" spans="1:8">
      <c r="A321" s="3">
        <f t="shared" si="4"/>
        <v>384822.18840526306</v>
      </c>
      <c r="H321" s="5" t="str">
        <f>TEXT(Table34[[#This Row],[Value Date]],"mmmm")</f>
        <v>January</v>
      </c>
    </row>
    <row r="322" spans="1:8">
      <c r="A322" s="3">
        <f t="shared" si="4"/>
        <v>384822.18840526306</v>
      </c>
      <c r="H322" s="5" t="str">
        <f>TEXT(Table34[[#This Row],[Value Date]],"mmmm")</f>
        <v>January</v>
      </c>
    </row>
    <row r="323" spans="1:8">
      <c r="A323" s="3">
        <f t="shared" si="4"/>
        <v>384822.18840526306</v>
      </c>
      <c r="H323" s="5" t="str">
        <f>TEXT(Table34[[#This Row],[Value Date]],"mmmm")</f>
        <v>January</v>
      </c>
    </row>
    <row r="324" spans="1:8">
      <c r="A324" s="3">
        <f t="shared" si="4"/>
        <v>384822.18840526306</v>
      </c>
      <c r="H324" s="5" t="str">
        <f>TEXT(Table34[[#This Row],[Value Date]],"mmmm")</f>
        <v>January</v>
      </c>
    </row>
    <row r="325" spans="1:8">
      <c r="A325" s="3">
        <f t="shared" si="4"/>
        <v>384822.18840526306</v>
      </c>
      <c r="H325" s="5" t="str">
        <f>TEXT(Table34[[#This Row],[Value Date]],"mmmm")</f>
        <v>January</v>
      </c>
    </row>
    <row r="326" spans="1:8">
      <c r="A326" s="3">
        <f t="shared" ref="A326:A389" si="5">A325+B326-C326</f>
        <v>384822.18840526306</v>
      </c>
      <c r="H326" s="5" t="str">
        <f>TEXT(Table34[[#This Row],[Value Date]],"mmmm")</f>
        <v>January</v>
      </c>
    </row>
    <row r="327" spans="1:8">
      <c r="A327" s="3">
        <f t="shared" si="5"/>
        <v>384822.18840526306</v>
      </c>
      <c r="H327" s="5" t="str">
        <f>TEXT(Table34[[#This Row],[Value Date]],"mmmm")</f>
        <v>January</v>
      </c>
    </row>
    <row r="328" spans="1:8">
      <c r="A328" s="3">
        <f t="shared" si="5"/>
        <v>384822.18840526306</v>
      </c>
      <c r="H328" s="5" t="str">
        <f>TEXT(Table34[[#This Row],[Value Date]],"mmmm")</f>
        <v>January</v>
      </c>
    </row>
    <row r="329" spans="1:8">
      <c r="A329" s="3">
        <f t="shared" si="5"/>
        <v>384822.18840526306</v>
      </c>
      <c r="H329" s="5" t="str">
        <f>TEXT(Table34[[#This Row],[Value Date]],"mmmm")</f>
        <v>January</v>
      </c>
    </row>
    <row r="330" spans="1:8">
      <c r="A330" s="3">
        <f t="shared" si="5"/>
        <v>384822.18840526306</v>
      </c>
      <c r="H330" s="5" t="str">
        <f>TEXT(Table34[[#This Row],[Value Date]],"mmmm")</f>
        <v>January</v>
      </c>
    </row>
    <row r="331" spans="1:8">
      <c r="A331" s="3">
        <f t="shared" si="5"/>
        <v>384822.18840526306</v>
      </c>
      <c r="H331" s="5" t="str">
        <f>TEXT(Table34[[#This Row],[Value Date]],"mmmm")</f>
        <v>January</v>
      </c>
    </row>
    <row r="332" spans="1:8">
      <c r="A332" s="3">
        <f t="shared" si="5"/>
        <v>384822.18840526306</v>
      </c>
      <c r="H332" s="5" t="str">
        <f>TEXT(Table34[[#This Row],[Value Date]],"mmmm")</f>
        <v>January</v>
      </c>
    </row>
    <row r="333" spans="1:8">
      <c r="A333" s="3">
        <f t="shared" si="5"/>
        <v>384822.18840526306</v>
      </c>
      <c r="H333" s="5" t="str">
        <f>TEXT(Table34[[#This Row],[Value Date]],"mmmm")</f>
        <v>January</v>
      </c>
    </row>
    <row r="334" spans="1:8">
      <c r="A334" s="3">
        <f t="shared" si="5"/>
        <v>384822.18840526306</v>
      </c>
      <c r="H334" s="5" t="str">
        <f>TEXT(Table34[[#This Row],[Value Date]],"mmmm")</f>
        <v>January</v>
      </c>
    </row>
    <row r="335" spans="1:8">
      <c r="A335" s="3">
        <f t="shared" si="5"/>
        <v>384822.18840526306</v>
      </c>
      <c r="H335" s="5" t="str">
        <f>TEXT(Table34[[#This Row],[Value Date]],"mmmm")</f>
        <v>January</v>
      </c>
    </row>
    <row r="336" spans="1:8">
      <c r="A336" s="3">
        <f t="shared" si="5"/>
        <v>384822.18840526306</v>
      </c>
      <c r="H336" s="5" t="str">
        <f>TEXT(Table34[[#This Row],[Value Date]],"mmmm")</f>
        <v>January</v>
      </c>
    </row>
    <row r="337" spans="1:8">
      <c r="A337" s="3">
        <f t="shared" si="5"/>
        <v>384822.18840526306</v>
      </c>
      <c r="H337" s="5" t="str">
        <f>TEXT(Table34[[#This Row],[Value Date]],"mmmm")</f>
        <v>January</v>
      </c>
    </row>
    <row r="338" spans="1:8">
      <c r="A338" s="3">
        <f t="shared" si="5"/>
        <v>384822.18840526306</v>
      </c>
      <c r="H338" s="5" t="str">
        <f>TEXT(Table34[[#This Row],[Value Date]],"mmmm")</f>
        <v>January</v>
      </c>
    </row>
    <row r="339" spans="1:8">
      <c r="A339" s="3">
        <f t="shared" si="5"/>
        <v>384822.18840526306</v>
      </c>
      <c r="H339" s="5" t="str">
        <f>TEXT(Table34[[#This Row],[Value Date]],"mmmm")</f>
        <v>January</v>
      </c>
    </row>
    <row r="340" spans="1:8">
      <c r="A340" s="3">
        <f t="shared" si="5"/>
        <v>384822.18840526306</v>
      </c>
      <c r="H340" s="5" t="str">
        <f>TEXT(Table34[[#This Row],[Value Date]],"mmmm")</f>
        <v>January</v>
      </c>
    </row>
    <row r="341" spans="1:8">
      <c r="A341" s="3">
        <f t="shared" si="5"/>
        <v>384822.18840526306</v>
      </c>
      <c r="H341" s="5" t="str">
        <f>TEXT(Table34[[#This Row],[Value Date]],"mmmm")</f>
        <v>January</v>
      </c>
    </row>
    <row r="342" spans="1:8">
      <c r="A342" s="3">
        <f t="shared" si="5"/>
        <v>384822.18840526306</v>
      </c>
      <c r="H342" s="5" t="str">
        <f>TEXT(Table34[[#This Row],[Value Date]],"mmmm")</f>
        <v>January</v>
      </c>
    </row>
    <row r="343" spans="1:8">
      <c r="A343" s="3">
        <f t="shared" si="5"/>
        <v>384822.18840526306</v>
      </c>
      <c r="H343" s="5" t="str">
        <f>TEXT(Table34[[#This Row],[Value Date]],"mmmm")</f>
        <v>January</v>
      </c>
    </row>
    <row r="344" spans="1:8">
      <c r="A344" s="3">
        <f t="shared" si="5"/>
        <v>384822.18840526306</v>
      </c>
      <c r="H344" s="5" t="str">
        <f>TEXT(Table34[[#This Row],[Value Date]],"mmmm")</f>
        <v>January</v>
      </c>
    </row>
    <row r="345" spans="1:8">
      <c r="A345" s="3">
        <f t="shared" si="5"/>
        <v>384822.18840526306</v>
      </c>
      <c r="H345" s="5" t="str">
        <f>TEXT(Table34[[#This Row],[Value Date]],"mmmm")</f>
        <v>January</v>
      </c>
    </row>
    <row r="346" spans="1:8">
      <c r="A346" s="3">
        <f t="shared" si="5"/>
        <v>384822.18840526306</v>
      </c>
      <c r="H346" s="5" t="str">
        <f>TEXT(Table34[[#This Row],[Value Date]],"mmmm")</f>
        <v>January</v>
      </c>
    </row>
    <row r="347" spans="1:8">
      <c r="A347" s="3">
        <f t="shared" si="5"/>
        <v>384822.18840526306</v>
      </c>
      <c r="H347" s="5" t="str">
        <f>TEXT(Table34[[#This Row],[Value Date]],"mmmm")</f>
        <v>January</v>
      </c>
    </row>
    <row r="348" spans="1:8">
      <c r="A348" s="3">
        <f t="shared" si="5"/>
        <v>384822.18840526306</v>
      </c>
      <c r="H348" s="5" t="str">
        <f>TEXT(Table34[[#This Row],[Value Date]],"mmmm")</f>
        <v>January</v>
      </c>
    </row>
    <row r="349" spans="1:8">
      <c r="A349" s="3">
        <f t="shared" si="5"/>
        <v>384822.18840526306</v>
      </c>
      <c r="H349" s="5" t="str">
        <f>TEXT(Table34[[#This Row],[Value Date]],"mmmm")</f>
        <v>January</v>
      </c>
    </row>
    <row r="350" spans="1:8">
      <c r="A350" s="3">
        <f t="shared" si="5"/>
        <v>384822.18840526306</v>
      </c>
      <c r="H350" s="5" t="str">
        <f>TEXT(Table34[[#This Row],[Value Date]],"mmmm")</f>
        <v>January</v>
      </c>
    </row>
    <row r="351" spans="1:8">
      <c r="A351" s="3">
        <f t="shared" si="5"/>
        <v>384822.18840526306</v>
      </c>
      <c r="H351" s="5" t="str">
        <f>TEXT(Table34[[#This Row],[Value Date]],"mmmm")</f>
        <v>January</v>
      </c>
    </row>
    <row r="352" spans="1:8">
      <c r="A352" s="3">
        <f t="shared" si="5"/>
        <v>384822.18840526306</v>
      </c>
      <c r="H352" s="5" t="str">
        <f>TEXT(Table34[[#This Row],[Value Date]],"mmmm")</f>
        <v>January</v>
      </c>
    </row>
    <row r="353" spans="1:8">
      <c r="A353" s="3">
        <f t="shared" si="5"/>
        <v>384822.18840526306</v>
      </c>
      <c r="H353" s="5" t="str">
        <f>TEXT(Table34[[#This Row],[Value Date]],"mmmm")</f>
        <v>January</v>
      </c>
    </row>
    <row r="354" spans="1:8">
      <c r="A354" s="3">
        <f t="shared" si="5"/>
        <v>384822.18840526306</v>
      </c>
      <c r="H354" s="5" t="str">
        <f>TEXT(Table34[[#This Row],[Value Date]],"mmmm")</f>
        <v>January</v>
      </c>
    </row>
    <row r="355" spans="1:8">
      <c r="A355" s="3">
        <f t="shared" si="5"/>
        <v>384822.18840526306</v>
      </c>
      <c r="H355" s="5" t="str">
        <f>TEXT(Table34[[#This Row],[Value Date]],"mmmm")</f>
        <v>January</v>
      </c>
    </row>
    <row r="356" spans="1:8">
      <c r="A356" s="3">
        <f t="shared" si="5"/>
        <v>384822.18840526306</v>
      </c>
      <c r="H356" s="5" t="str">
        <f>TEXT(Table34[[#This Row],[Value Date]],"mmmm")</f>
        <v>January</v>
      </c>
    </row>
    <row r="357" spans="1:8">
      <c r="A357" s="3">
        <f t="shared" si="5"/>
        <v>384822.18840526306</v>
      </c>
      <c r="H357" s="5" t="str">
        <f>TEXT(Table34[[#This Row],[Value Date]],"mmmm")</f>
        <v>January</v>
      </c>
    </row>
    <row r="358" spans="1:8">
      <c r="A358" s="3">
        <f t="shared" si="5"/>
        <v>384822.18840526306</v>
      </c>
      <c r="H358" s="5" t="str">
        <f>TEXT(Table34[[#This Row],[Value Date]],"mmmm")</f>
        <v>January</v>
      </c>
    </row>
    <row r="359" spans="1:8">
      <c r="A359" s="3">
        <f t="shared" si="5"/>
        <v>384822.18840526306</v>
      </c>
      <c r="H359" s="5" t="str">
        <f>TEXT(Table34[[#This Row],[Value Date]],"mmmm")</f>
        <v>January</v>
      </c>
    </row>
    <row r="360" spans="1:8">
      <c r="A360" s="3">
        <f t="shared" si="5"/>
        <v>384822.18840526306</v>
      </c>
      <c r="H360" s="5" t="str">
        <f>TEXT(Table34[[#This Row],[Value Date]],"mmmm")</f>
        <v>January</v>
      </c>
    </row>
    <row r="361" spans="1:8">
      <c r="A361" s="3">
        <f t="shared" si="5"/>
        <v>384822.18840526306</v>
      </c>
      <c r="H361" s="5" t="str">
        <f>TEXT(Table34[[#This Row],[Value Date]],"mmmm")</f>
        <v>January</v>
      </c>
    </row>
    <row r="362" spans="1:8">
      <c r="A362" s="3">
        <f t="shared" si="5"/>
        <v>384822.18840526306</v>
      </c>
      <c r="H362" s="5" t="str">
        <f>TEXT(Table34[[#This Row],[Value Date]],"mmmm")</f>
        <v>January</v>
      </c>
    </row>
    <row r="363" spans="1:8">
      <c r="A363" s="3">
        <f t="shared" si="5"/>
        <v>384822.18840526306</v>
      </c>
      <c r="H363" s="5" t="str">
        <f>TEXT(Table34[[#This Row],[Value Date]],"mmmm")</f>
        <v>January</v>
      </c>
    </row>
    <row r="364" spans="1:8">
      <c r="A364" s="3">
        <f t="shared" si="5"/>
        <v>384822.18840526306</v>
      </c>
      <c r="H364" s="5" t="str">
        <f>TEXT(Table34[[#This Row],[Value Date]],"mmmm")</f>
        <v>January</v>
      </c>
    </row>
    <row r="365" spans="1:8">
      <c r="A365" s="3">
        <f t="shared" si="5"/>
        <v>384822.18840526306</v>
      </c>
      <c r="D365" s="11"/>
      <c r="E365" s="11"/>
      <c r="F365" s="11"/>
      <c r="H365" s="5" t="str">
        <f>TEXT(Table34[[#This Row],[Value Date]],"mmmm")</f>
        <v>January</v>
      </c>
    </row>
    <row r="366" spans="1:8">
      <c r="A366" s="3">
        <f t="shared" si="5"/>
        <v>384822.18840526306</v>
      </c>
      <c r="H366" s="5" t="str">
        <f>TEXT(Table34[[#This Row],[Value Date]],"mmmm")</f>
        <v>January</v>
      </c>
    </row>
    <row r="367" spans="1:8">
      <c r="A367" s="3">
        <f t="shared" si="5"/>
        <v>384822.18840526306</v>
      </c>
      <c r="H367" s="5" t="str">
        <f>TEXT(Table34[[#This Row],[Value Date]],"mmmm")</f>
        <v>January</v>
      </c>
    </row>
    <row r="368" spans="1:8">
      <c r="A368" s="3">
        <f t="shared" si="5"/>
        <v>384822.18840526306</v>
      </c>
      <c r="H368" s="5" t="str">
        <f>TEXT(Table34[[#This Row],[Value Date]],"mmmm")</f>
        <v>January</v>
      </c>
    </row>
    <row r="369" spans="1:8">
      <c r="A369" s="3">
        <f t="shared" si="5"/>
        <v>384822.18840526306</v>
      </c>
      <c r="H369" s="5" t="str">
        <f>TEXT(Table34[[#This Row],[Value Date]],"mmmm")</f>
        <v>January</v>
      </c>
    </row>
    <row r="370" spans="1:8">
      <c r="A370" s="3">
        <f t="shared" si="5"/>
        <v>384822.18840526306</v>
      </c>
      <c r="H370" s="5" t="str">
        <f>TEXT(Table34[[#This Row],[Value Date]],"mmmm")</f>
        <v>January</v>
      </c>
    </row>
    <row r="371" spans="1:8">
      <c r="A371" s="3">
        <f t="shared" si="5"/>
        <v>384822.18840526306</v>
      </c>
      <c r="H371" s="5" t="str">
        <f>TEXT(Table34[[#This Row],[Value Date]],"mmmm")</f>
        <v>January</v>
      </c>
    </row>
    <row r="372" spans="1:8">
      <c r="A372" s="3">
        <f t="shared" si="5"/>
        <v>384822.18840526306</v>
      </c>
      <c r="H372" s="5" t="str">
        <f>TEXT(Table34[[#This Row],[Value Date]],"mmmm")</f>
        <v>January</v>
      </c>
    </row>
    <row r="373" spans="1:8">
      <c r="A373" s="3">
        <f t="shared" si="5"/>
        <v>384822.18840526306</v>
      </c>
      <c r="H373" s="5" t="str">
        <f>TEXT(Table34[[#This Row],[Value Date]],"mmmm")</f>
        <v>January</v>
      </c>
    </row>
    <row r="374" spans="1:8">
      <c r="A374" s="3">
        <f t="shared" si="5"/>
        <v>384822.18840526306</v>
      </c>
      <c r="H374" s="5" t="str">
        <f>TEXT(Table34[[#This Row],[Value Date]],"mmmm")</f>
        <v>January</v>
      </c>
    </row>
    <row r="375" spans="1:8">
      <c r="A375" s="3">
        <f t="shared" si="5"/>
        <v>384822.18840526306</v>
      </c>
      <c r="H375" s="5" t="str">
        <f>TEXT(Table34[[#This Row],[Value Date]],"mmmm")</f>
        <v>January</v>
      </c>
    </row>
    <row r="376" spans="1:8">
      <c r="A376" s="3">
        <f t="shared" si="5"/>
        <v>384822.18840526306</v>
      </c>
      <c r="H376" s="5" t="str">
        <f>TEXT(Table34[[#This Row],[Value Date]],"mmmm")</f>
        <v>January</v>
      </c>
    </row>
    <row r="377" spans="1:8">
      <c r="A377" s="3">
        <f t="shared" si="5"/>
        <v>384822.18840526306</v>
      </c>
      <c r="H377" s="5" t="str">
        <f>TEXT(Table34[[#This Row],[Value Date]],"mmmm")</f>
        <v>January</v>
      </c>
    </row>
    <row r="378" spans="1:8">
      <c r="A378" s="3">
        <f t="shared" si="5"/>
        <v>384822.18840526306</v>
      </c>
      <c r="H378" s="5" t="str">
        <f>TEXT(Table34[[#This Row],[Value Date]],"mmmm")</f>
        <v>January</v>
      </c>
    </row>
    <row r="379" spans="1:8">
      <c r="A379" s="3">
        <f t="shared" si="5"/>
        <v>384822.18840526306</v>
      </c>
      <c r="H379" s="5" t="str">
        <f>TEXT(Table34[[#This Row],[Value Date]],"mmmm")</f>
        <v>January</v>
      </c>
    </row>
    <row r="380" spans="1:8">
      <c r="A380" s="3">
        <f t="shared" si="5"/>
        <v>384822.18840526306</v>
      </c>
      <c r="H380" s="5" t="str">
        <f>TEXT(Table34[[#This Row],[Value Date]],"mmmm")</f>
        <v>January</v>
      </c>
    </row>
    <row r="381" spans="1:8">
      <c r="A381" s="3">
        <f t="shared" si="5"/>
        <v>384822.18840526306</v>
      </c>
      <c r="H381" s="5" t="str">
        <f>TEXT(Table34[[#This Row],[Value Date]],"mmmm")</f>
        <v>January</v>
      </c>
    </row>
    <row r="382" spans="1:8">
      <c r="A382" s="3">
        <f t="shared" si="5"/>
        <v>384822.18840526306</v>
      </c>
      <c r="H382" s="5" t="str">
        <f>TEXT(Table34[[#This Row],[Value Date]],"mmmm")</f>
        <v>January</v>
      </c>
    </row>
    <row r="383" spans="1:8">
      <c r="A383" s="3">
        <f t="shared" si="5"/>
        <v>384822.18840526306</v>
      </c>
      <c r="H383" s="5" t="str">
        <f>TEXT(Table34[[#This Row],[Value Date]],"mmmm")</f>
        <v>January</v>
      </c>
    </row>
    <row r="384" spans="1:8">
      <c r="A384" s="3">
        <f t="shared" si="5"/>
        <v>384822.18840526306</v>
      </c>
      <c r="H384" s="5" t="str">
        <f>TEXT(Table34[[#This Row],[Value Date]],"mmmm")</f>
        <v>January</v>
      </c>
    </row>
    <row r="385" spans="1:8">
      <c r="A385" s="3">
        <f t="shared" si="5"/>
        <v>384822.18840526306</v>
      </c>
      <c r="H385" s="5" t="str">
        <f>TEXT(Table34[[#This Row],[Value Date]],"mmmm")</f>
        <v>January</v>
      </c>
    </row>
    <row r="386" spans="1:8">
      <c r="A386" s="3">
        <f t="shared" si="5"/>
        <v>384822.18840526306</v>
      </c>
      <c r="H386" s="5" t="str">
        <f>TEXT(Table34[[#This Row],[Value Date]],"mmmm")</f>
        <v>January</v>
      </c>
    </row>
    <row r="387" spans="1:8">
      <c r="A387" s="3">
        <f t="shared" si="5"/>
        <v>384822.18840526306</v>
      </c>
      <c r="H387" s="5" t="str">
        <f>TEXT(Table34[[#This Row],[Value Date]],"mmmm")</f>
        <v>January</v>
      </c>
    </row>
    <row r="388" spans="1:8">
      <c r="A388" s="3">
        <f t="shared" si="5"/>
        <v>384822.18840526306</v>
      </c>
      <c r="H388" s="5" t="str">
        <f>TEXT(Table34[[#This Row],[Value Date]],"mmmm")</f>
        <v>January</v>
      </c>
    </row>
    <row r="389" spans="1:8">
      <c r="A389" s="3">
        <f t="shared" si="5"/>
        <v>384822.18840526306</v>
      </c>
      <c r="H389" s="5" t="str">
        <f>TEXT(Table34[[#This Row],[Value Date]],"mmmm")</f>
        <v>January</v>
      </c>
    </row>
    <row r="390" spans="1:8">
      <c r="A390" s="3">
        <f t="shared" ref="A390:A453" si="6">A389+B390-C390</f>
        <v>384822.18840526306</v>
      </c>
      <c r="H390" s="5" t="str">
        <f>TEXT(Table34[[#This Row],[Value Date]],"mmmm")</f>
        <v>January</v>
      </c>
    </row>
    <row r="391" spans="1:8">
      <c r="A391" s="3">
        <f t="shared" si="6"/>
        <v>384822.18840526306</v>
      </c>
      <c r="H391" s="5" t="str">
        <f>TEXT(Table34[[#This Row],[Value Date]],"mmmm")</f>
        <v>January</v>
      </c>
    </row>
    <row r="392" spans="1:8">
      <c r="A392" s="3">
        <f t="shared" si="6"/>
        <v>384822.18840526306</v>
      </c>
      <c r="H392" s="5" t="str">
        <f>TEXT(Table34[[#This Row],[Value Date]],"mmmm")</f>
        <v>January</v>
      </c>
    </row>
    <row r="393" spans="1:8">
      <c r="A393" s="3">
        <f t="shared" si="6"/>
        <v>384822.18840526306</v>
      </c>
      <c r="H393" s="5" t="str">
        <f>TEXT(Table34[[#This Row],[Value Date]],"mmmm")</f>
        <v>January</v>
      </c>
    </row>
    <row r="394" spans="1:8">
      <c r="A394" s="3">
        <f t="shared" si="6"/>
        <v>384822.18840526306</v>
      </c>
      <c r="H394" s="5" t="str">
        <f>TEXT(Table34[[#This Row],[Value Date]],"mmmm")</f>
        <v>January</v>
      </c>
    </row>
    <row r="395" spans="1:8">
      <c r="A395" s="3">
        <f t="shared" si="6"/>
        <v>384822.18840526306</v>
      </c>
      <c r="H395" s="5" t="str">
        <f>TEXT(Table34[[#This Row],[Value Date]],"mmmm")</f>
        <v>January</v>
      </c>
    </row>
    <row r="396" spans="1:8">
      <c r="A396" s="3">
        <f t="shared" si="6"/>
        <v>384822.18840526306</v>
      </c>
      <c r="H396" s="5" t="str">
        <f>TEXT(Table34[[#This Row],[Value Date]],"mmmm")</f>
        <v>January</v>
      </c>
    </row>
    <row r="397" spans="1:8">
      <c r="A397" s="3">
        <f t="shared" si="6"/>
        <v>384822.18840526306</v>
      </c>
      <c r="H397" s="5" t="str">
        <f>TEXT(Table34[[#This Row],[Value Date]],"mmmm")</f>
        <v>January</v>
      </c>
    </row>
    <row r="398" spans="1:8">
      <c r="A398" s="3">
        <f t="shared" si="6"/>
        <v>384822.18840526306</v>
      </c>
      <c r="H398" s="5" t="str">
        <f>TEXT(Table34[[#This Row],[Value Date]],"mmmm")</f>
        <v>January</v>
      </c>
    </row>
    <row r="399" spans="1:8">
      <c r="A399" s="3">
        <f t="shared" si="6"/>
        <v>384822.18840526306</v>
      </c>
      <c r="H399" s="5" t="str">
        <f>TEXT(Table34[[#This Row],[Value Date]],"mmmm")</f>
        <v>January</v>
      </c>
    </row>
    <row r="400" spans="1:8">
      <c r="A400" s="3">
        <f t="shared" si="6"/>
        <v>384822.18840526306</v>
      </c>
      <c r="H400" s="5" t="str">
        <f>TEXT(Table34[[#This Row],[Value Date]],"mmmm")</f>
        <v>January</v>
      </c>
    </row>
    <row r="401" spans="1:8">
      <c r="A401" s="3">
        <f t="shared" si="6"/>
        <v>384822.18840526306</v>
      </c>
      <c r="H401" s="5" t="str">
        <f>TEXT(Table34[[#This Row],[Value Date]],"mmmm")</f>
        <v>January</v>
      </c>
    </row>
    <row r="402" spans="1:8">
      <c r="A402" s="3">
        <f t="shared" si="6"/>
        <v>384822.18840526306</v>
      </c>
      <c r="H402" s="5" t="str">
        <f>TEXT(Table34[[#This Row],[Value Date]],"mmmm")</f>
        <v>January</v>
      </c>
    </row>
    <row r="403" spans="1:8">
      <c r="A403" s="3">
        <f t="shared" si="6"/>
        <v>384822.18840526306</v>
      </c>
      <c r="H403" s="5" t="str">
        <f>TEXT(Table34[[#This Row],[Value Date]],"mmmm")</f>
        <v>January</v>
      </c>
    </row>
    <row r="404" spans="1:8">
      <c r="A404" s="3">
        <f t="shared" si="6"/>
        <v>384822.18840526306</v>
      </c>
      <c r="H404" s="5" t="str">
        <f>TEXT(Table34[[#This Row],[Value Date]],"mmmm")</f>
        <v>January</v>
      </c>
    </row>
    <row r="405" spans="1:8">
      <c r="A405" s="3">
        <f t="shared" si="6"/>
        <v>384822.18840526306</v>
      </c>
      <c r="H405" s="5" t="str">
        <f>TEXT(Table34[[#This Row],[Value Date]],"mmmm")</f>
        <v>January</v>
      </c>
    </row>
    <row r="406" spans="1:8">
      <c r="A406" s="3">
        <f t="shared" si="6"/>
        <v>384822.18840526306</v>
      </c>
      <c r="H406" s="5" t="str">
        <f>TEXT(Table34[[#This Row],[Value Date]],"mmmm")</f>
        <v>January</v>
      </c>
    </row>
    <row r="407" spans="1:8">
      <c r="A407" s="3">
        <f t="shared" si="6"/>
        <v>384822.18840526306</v>
      </c>
      <c r="H407" s="5" t="str">
        <f>TEXT(Table34[[#This Row],[Value Date]],"mmmm")</f>
        <v>January</v>
      </c>
    </row>
    <row r="408" spans="1:8">
      <c r="A408" s="3">
        <f t="shared" si="6"/>
        <v>384822.18840526306</v>
      </c>
      <c r="H408" s="5" t="str">
        <f>TEXT(Table34[[#This Row],[Value Date]],"mmmm")</f>
        <v>January</v>
      </c>
    </row>
    <row r="409" spans="1:8">
      <c r="A409" s="3">
        <f t="shared" si="6"/>
        <v>384822.18840526306</v>
      </c>
      <c r="H409" s="5" t="str">
        <f>TEXT(Table34[[#This Row],[Value Date]],"mmmm")</f>
        <v>January</v>
      </c>
    </row>
    <row r="410" spans="1:8">
      <c r="A410" s="3">
        <f t="shared" si="6"/>
        <v>384822.18840526306</v>
      </c>
      <c r="H410" s="5" t="str">
        <f>TEXT(Table34[[#This Row],[Value Date]],"mmmm")</f>
        <v>January</v>
      </c>
    </row>
    <row r="411" spans="1:8">
      <c r="A411" s="3">
        <f t="shared" si="6"/>
        <v>384822.18840526306</v>
      </c>
      <c r="H411" s="5" t="str">
        <f>TEXT(Table34[[#This Row],[Value Date]],"mmmm")</f>
        <v>January</v>
      </c>
    </row>
    <row r="412" spans="1:8">
      <c r="A412" s="3">
        <f t="shared" si="6"/>
        <v>384822.18840526306</v>
      </c>
      <c r="H412" s="5" t="str">
        <f>TEXT(Table34[[#This Row],[Value Date]],"mmmm")</f>
        <v>January</v>
      </c>
    </row>
    <row r="413" spans="1:8">
      <c r="A413" s="3">
        <f t="shared" si="6"/>
        <v>384822.18840526306</v>
      </c>
      <c r="H413" s="5" t="str">
        <f>TEXT(Table34[[#This Row],[Value Date]],"mmmm")</f>
        <v>January</v>
      </c>
    </row>
    <row r="414" spans="1:8">
      <c r="A414" s="3">
        <f t="shared" si="6"/>
        <v>384822.18840526306</v>
      </c>
      <c r="H414" s="5" t="str">
        <f>TEXT(Table34[[#This Row],[Value Date]],"mmmm")</f>
        <v>January</v>
      </c>
    </row>
    <row r="415" spans="1:8">
      <c r="A415" s="3">
        <f t="shared" si="6"/>
        <v>384822.18840526306</v>
      </c>
      <c r="H415" s="5" t="str">
        <f>TEXT(Table34[[#This Row],[Value Date]],"mmmm")</f>
        <v>January</v>
      </c>
    </row>
    <row r="416" spans="1:8">
      <c r="A416" s="3">
        <f t="shared" si="6"/>
        <v>384822.18840526306</v>
      </c>
      <c r="H416" s="5" t="str">
        <f>TEXT(Table34[[#This Row],[Value Date]],"mmmm")</f>
        <v>January</v>
      </c>
    </row>
    <row r="417" spans="1:8">
      <c r="A417" s="3">
        <f t="shared" si="6"/>
        <v>384822.18840526306</v>
      </c>
      <c r="H417" s="5" t="str">
        <f>TEXT(Table34[[#This Row],[Value Date]],"mmmm")</f>
        <v>January</v>
      </c>
    </row>
    <row r="418" spans="1:8">
      <c r="A418" s="3">
        <f t="shared" si="6"/>
        <v>384822.18840526306</v>
      </c>
      <c r="H418" s="5" t="str">
        <f>TEXT(Table34[[#This Row],[Value Date]],"mmmm")</f>
        <v>January</v>
      </c>
    </row>
    <row r="419" spans="1:8">
      <c r="A419" s="3">
        <f t="shared" si="6"/>
        <v>384822.18840526306</v>
      </c>
      <c r="H419" s="5" t="str">
        <f>TEXT(Table34[[#This Row],[Value Date]],"mmmm")</f>
        <v>January</v>
      </c>
    </row>
    <row r="420" spans="1:8">
      <c r="A420" s="3">
        <f t="shared" si="6"/>
        <v>384822.18840526306</v>
      </c>
      <c r="H420" s="5" t="str">
        <f>TEXT(Table34[[#This Row],[Value Date]],"mmmm")</f>
        <v>January</v>
      </c>
    </row>
    <row r="421" spans="1:8">
      <c r="A421" s="3">
        <f t="shared" si="6"/>
        <v>384822.18840526306</v>
      </c>
      <c r="H421" s="5" t="str">
        <f>TEXT(Table34[[#This Row],[Value Date]],"mmmm")</f>
        <v>January</v>
      </c>
    </row>
    <row r="422" spans="1:8">
      <c r="A422" s="3">
        <f t="shared" si="6"/>
        <v>384822.18840526306</v>
      </c>
      <c r="H422" s="5" t="str">
        <f>TEXT(Table34[[#This Row],[Value Date]],"mmmm")</f>
        <v>January</v>
      </c>
    </row>
    <row r="423" spans="1:8">
      <c r="A423" s="3">
        <f t="shared" si="6"/>
        <v>384822.18840526306</v>
      </c>
      <c r="H423" s="5" t="str">
        <f>TEXT(Table34[[#This Row],[Value Date]],"mmmm")</f>
        <v>January</v>
      </c>
    </row>
    <row r="424" spans="1:8">
      <c r="A424" s="3">
        <f t="shared" si="6"/>
        <v>384822.18840526306</v>
      </c>
      <c r="H424" s="5" t="str">
        <f>TEXT(Table34[[#This Row],[Value Date]],"mmmm")</f>
        <v>January</v>
      </c>
    </row>
    <row r="425" spans="1:8">
      <c r="A425" s="3">
        <f t="shared" si="6"/>
        <v>384822.18840526306</v>
      </c>
      <c r="H425" s="5" t="str">
        <f>TEXT(Table34[[#This Row],[Value Date]],"mmmm")</f>
        <v>January</v>
      </c>
    </row>
    <row r="426" spans="1:8">
      <c r="A426" s="3">
        <f t="shared" si="6"/>
        <v>384822.18840526306</v>
      </c>
      <c r="H426" s="5" t="str">
        <f>TEXT(Table34[[#This Row],[Value Date]],"mmmm")</f>
        <v>January</v>
      </c>
    </row>
    <row r="427" spans="1:8">
      <c r="A427" s="3">
        <f t="shared" si="6"/>
        <v>384822.18840526306</v>
      </c>
      <c r="H427" s="5" t="str">
        <f>TEXT(Table34[[#This Row],[Value Date]],"mmmm")</f>
        <v>January</v>
      </c>
    </row>
    <row r="428" spans="1:8">
      <c r="A428" s="3">
        <f t="shared" si="6"/>
        <v>384822.18840526306</v>
      </c>
      <c r="H428" s="5" t="str">
        <f>TEXT(Table34[[#This Row],[Value Date]],"mmmm")</f>
        <v>January</v>
      </c>
    </row>
    <row r="429" spans="1:8">
      <c r="A429" s="3">
        <f t="shared" si="6"/>
        <v>384822.18840526306</v>
      </c>
      <c r="H429" s="5" t="str">
        <f>TEXT(Table34[[#This Row],[Value Date]],"mmmm")</f>
        <v>January</v>
      </c>
    </row>
    <row r="430" spans="1:8">
      <c r="A430" s="3">
        <f t="shared" si="6"/>
        <v>384822.18840526306</v>
      </c>
      <c r="H430" s="5" t="str">
        <f>TEXT(Table34[[#This Row],[Value Date]],"mmmm")</f>
        <v>January</v>
      </c>
    </row>
    <row r="431" spans="1:8">
      <c r="A431" s="3">
        <f t="shared" si="6"/>
        <v>384822.18840526306</v>
      </c>
      <c r="H431" s="5" t="str">
        <f>TEXT(Table34[[#This Row],[Value Date]],"mmmm")</f>
        <v>January</v>
      </c>
    </row>
    <row r="432" spans="1:8">
      <c r="A432" s="3">
        <f t="shared" si="6"/>
        <v>384822.18840526306</v>
      </c>
      <c r="H432" s="5" t="str">
        <f>TEXT(Table34[[#This Row],[Value Date]],"mmmm")</f>
        <v>January</v>
      </c>
    </row>
    <row r="433" spans="1:8">
      <c r="A433" s="3">
        <f t="shared" si="6"/>
        <v>384822.18840526306</v>
      </c>
      <c r="H433" s="5" t="str">
        <f>TEXT(Table34[[#This Row],[Value Date]],"mmmm")</f>
        <v>January</v>
      </c>
    </row>
    <row r="434" spans="1:8">
      <c r="A434" s="3">
        <f t="shared" si="6"/>
        <v>384822.18840526306</v>
      </c>
      <c r="H434" s="5" t="str">
        <f>TEXT(Table34[[#This Row],[Value Date]],"mmmm")</f>
        <v>January</v>
      </c>
    </row>
    <row r="435" spans="1:8">
      <c r="A435" s="3">
        <f t="shared" si="6"/>
        <v>384822.18840526306</v>
      </c>
      <c r="H435" s="5" t="str">
        <f>TEXT(Table34[[#This Row],[Value Date]],"mmmm")</f>
        <v>January</v>
      </c>
    </row>
    <row r="436" spans="1:8">
      <c r="A436" s="3">
        <f t="shared" si="6"/>
        <v>384822.18840526306</v>
      </c>
      <c r="H436" s="5" t="str">
        <f>TEXT(Table34[[#This Row],[Value Date]],"mmmm")</f>
        <v>January</v>
      </c>
    </row>
    <row r="437" spans="1:8">
      <c r="A437" s="3">
        <f t="shared" si="6"/>
        <v>384822.18840526306</v>
      </c>
      <c r="H437" s="5" t="str">
        <f>TEXT(Table34[[#This Row],[Value Date]],"mmmm")</f>
        <v>January</v>
      </c>
    </row>
    <row r="438" spans="1:8">
      <c r="A438" s="3">
        <f t="shared" si="6"/>
        <v>384822.18840526306</v>
      </c>
      <c r="H438" s="5" t="str">
        <f>TEXT(Table34[[#This Row],[Value Date]],"mmmm")</f>
        <v>January</v>
      </c>
    </row>
    <row r="439" spans="1:8">
      <c r="A439" s="3">
        <f t="shared" si="6"/>
        <v>384822.18840526306</v>
      </c>
      <c r="H439" s="5" t="str">
        <f>TEXT(Table34[[#This Row],[Value Date]],"mmmm")</f>
        <v>January</v>
      </c>
    </row>
    <row r="440" spans="1:8">
      <c r="A440" s="3">
        <f t="shared" si="6"/>
        <v>384822.18840526306</v>
      </c>
      <c r="H440" s="5" t="str">
        <f>TEXT(Table34[[#This Row],[Value Date]],"mmmm")</f>
        <v>January</v>
      </c>
    </row>
    <row r="441" spans="1:8">
      <c r="A441" s="3">
        <f t="shared" si="6"/>
        <v>384822.18840526306</v>
      </c>
      <c r="H441" s="5" t="str">
        <f>TEXT(Table34[[#This Row],[Value Date]],"mmmm")</f>
        <v>January</v>
      </c>
    </row>
    <row r="442" spans="1:8">
      <c r="A442" s="3">
        <f t="shared" si="6"/>
        <v>384822.18840526306</v>
      </c>
      <c r="H442" s="5" t="str">
        <f>TEXT(Table34[[#This Row],[Value Date]],"mmmm")</f>
        <v>January</v>
      </c>
    </row>
    <row r="443" spans="1:8">
      <c r="A443" s="3">
        <f t="shared" si="6"/>
        <v>384822.18840526306</v>
      </c>
      <c r="H443" s="5" t="str">
        <f>TEXT(Table34[[#This Row],[Value Date]],"mmmm")</f>
        <v>January</v>
      </c>
    </row>
    <row r="444" spans="1:8">
      <c r="A444" s="3">
        <f t="shared" si="6"/>
        <v>384822.18840526306</v>
      </c>
      <c r="H444" s="5" t="str">
        <f>TEXT(Table34[[#This Row],[Value Date]],"mmmm")</f>
        <v>January</v>
      </c>
    </row>
    <row r="445" spans="1:8">
      <c r="A445" s="3">
        <f t="shared" si="6"/>
        <v>384822.18840526306</v>
      </c>
      <c r="H445" s="5" t="str">
        <f>TEXT(Table34[[#This Row],[Value Date]],"mmmm")</f>
        <v>January</v>
      </c>
    </row>
    <row r="446" spans="1:8">
      <c r="A446" s="3">
        <f t="shared" si="6"/>
        <v>384822.18840526306</v>
      </c>
      <c r="H446" s="5" t="str">
        <f>TEXT(Table34[[#This Row],[Value Date]],"mmmm")</f>
        <v>January</v>
      </c>
    </row>
    <row r="447" spans="1:8">
      <c r="A447" s="3">
        <f t="shared" si="6"/>
        <v>384822.18840526306</v>
      </c>
      <c r="H447" s="5" t="str">
        <f>TEXT(Table34[[#This Row],[Value Date]],"mmmm")</f>
        <v>January</v>
      </c>
    </row>
    <row r="448" spans="1:8">
      <c r="A448" s="3">
        <f t="shared" si="6"/>
        <v>384822.18840526306</v>
      </c>
      <c r="H448" s="5" t="str">
        <f>TEXT(Table34[[#This Row],[Value Date]],"mmmm")</f>
        <v>January</v>
      </c>
    </row>
    <row r="449" spans="1:8">
      <c r="A449" s="3">
        <f t="shared" si="6"/>
        <v>384822.18840526306</v>
      </c>
      <c r="H449" s="5" t="str">
        <f>TEXT(Table34[[#This Row],[Value Date]],"mmmm")</f>
        <v>January</v>
      </c>
    </row>
    <row r="450" spans="1:8">
      <c r="A450" s="3">
        <f t="shared" si="6"/>
        <v>384822.18840526306</v>
      </c>
      <c r="H450" s="5" t="str">
        <f>TEXT(Table34[[#This Row],[Value Date]],"mmmm")</f>
        <v>January</v>
      </c>
    </row>
    <row r="451" spans="1:8">
      <c r="A451" s="3">
        <f t="shared" si="6"/>
        <v>384822.18840526306</v>
      </c>
      <c r="H451" s="5" t="str">
        <f>TEXT(Table34[[#This Row],[Value Date]],"mmmm")</f>
        <v>January</v>
      </c>
    </row>
    <row r="452" spans="1:8">
      <c r="A452" s="3">
        <f t="shared" si="6"/>
        <v>384822.18840526306</v>
      </c>
      <c r="H452" s="5" t="str">
        <f>TEXT(Table34[[#This Row],[Value Date]],"mmmm")</f>
        <v>January</v>
      </c>
    </row>
    <row r="453" spans="1:8">
      <c r="A453" s="3">
        <f t="shared" si="6"/>
        <v>384822.18840526306</v>
      </c>
      <c r="H453" s="5" t="str">
        <f>TEXT(Table34[[#This Row],[Value Date]],"mmmm")</f>
        <v>January</v>
      </c>
    </row>
    <row r="454" spans="1:8">
      <c r="A454" s="3">
        <f t="shared" ref="A454:A517" si="7">A453+B454-C454</f>
        <v>384822.18840526306</v>
      </c>
      <c r="H454" s="5" t="str">
        <f>TEXT(Table34[[#This Row],[Value Date]],"mmmm")</f>
        <v>January</v>
      </c>
    </row>
    <row r="455" spans="1:8">
      <c r="A455" s="3">
        <f t="shared" si="7"/>
        <v>384822.18840526306</v>
      </c>
      <c r="H455" s="5" t="str">
        <f>TEXT(Table34[[#This Row],[Value Date]],"mmmm")</f>
        <v>January</v>
      </c>
    </row>
    <row r="456" spans="1:8">
      <c r="A456" s="3">
        <f t="shared" si="7"/>
        <v>384822.18840526306</v>
      </c>
      <c r="H456" s="5" t="str">
        <f>TEXT(Table34[[#This Row],[Value Date]],"mmmm")</f>
        <v>January</v>
      </c>
    </row>
    <row r="457" spans="1:8">
      <c r="A457" s="3">
        <f t="shared" si="7"/>
        <v>384822.18840526306</v>
      </c>
      <c r="H457" s="5" t="str">
        <f>TEXT(Table34[[#This Row],[Value Date]],"mmmm")</f>
        <v>January</v>
      </c>
    </row>
    <row r="458" spans="1:8">
      <c r="A458" s="3">
        <f t="shared" si="7"/>
        <v>384822.18840526306</v>
      </c>
      <c r="H458" s="5" t="str">
        <f>TEXT(Table34[[#This Row],[Value Date]],"mmmm")</f>
        <v>January</v>
      </c>
    </row>
    <row r="459" spans="1:8">
      <c r="A459" s="3">
        <f t="shared" si="7"/>
        <v>384822.18840526306</v>
      </c>
      <c r="H459" s="5" t="str">
        <f>TEXT(Table34[[#This Row],[Value Date]],"mmmm")</f>
        <v>January</v>
      </c>
    </row>
    <row r="460" spans="1:8">
      <c r="A460" s="3">
        <f t="shared" si="7"/>
        <v>384822.18840526306</v>
      </c>
      <c r="H460" s="5" t="str">
        <f>TEXT(Table34[[#This Row],[Value Date]],"mmmm")</f>
        <v>January</v>
      </c>
    </row>
    <row r="461" spans="1:8">
      <c r="A461" s="3">
        <f t="shared" si="7"/>
        <v>384822.18840526306</v>
      </c>
      <c r="H461" s="5" t="str">
        <f>TEXT(Table34[[#This Row],[Value Date]],"mmmm")</f>
        <v>January</v>
      </c>
    </row>
    <row r="462" spans="1:8">
      <c r="A462" s="3">
        <f t="shared" si="7"/>
        <v>384822.18840526306</v>
      </c>
      <c r="H462" s="5" t="str">
        <f>TEXT(Table34[[#This Row],[Value Date]],"mmmm")</f>
        <v>January</v>
      </c>
    </row>
    <row r="463" spans="1:8">
      <c r="A463" s="3">
        <f t="shared" si="7"/>
        <v>384822.18840526306</v>
      </c>
      <c r="H463" s="5" t="str">
        <f>TEXT(Table34[[#This Row],[Value Date]],"mmmm")</f>
        <v>January</v>
      </c>
    </row>
    <row r="464" spans="1:8">
      <c r="A464" s="3">
        <f t="shared" si="7"/>
        <v>384822.18840526306</v>
      </c>
      <c r="H464" s="5" t="str">
        <f>TEXT(Table34[[#This Row],[Value Date]],"mmmm")</f>
        <v>January</v>
      </c>
    </row>
    <row r="465" spans="1:8">
      <c r="A465" s="3">
        <f t="shared" si="7"/>
        <v>384822.18840526306</v>
      </c>
      <c r="H465" s="5" t="str">
        <f>TEXT(Table34[[#This Row],[Value Date]],"mmmm")</f>
        <v>January</v>
      </c>
    </row>
    <row r="466" spans="1:8">
      <c r="A466" s="3">
        <f t="shared" si="7"/>
        <v>384822.18840526306</v>
      </c>
      <c r="H466" s="5" t="str">
        <f>TEXT(Table34[[#This Row],[Value Date]],"mmmm")</f>
        <v>January</v>
      </c>
    </row>
    <row r="467" spans="1:8">
      <c r="A467" s="3">
        <f t="shared" si="7"/>
        <v>384822.18840526306</v>
      </c>
      <c r="H467" s="5" t="str">
        <f>TEXT(Table34[[#This Row],[Value Date]],"mmmm")</f>
        <v>January</v>
      </c>
    </row>
    <row r="468" spans="1:8">
      <c r="A468" s="3">
        <f t="shared" si="7"/>
        <v>384822.18840526306</v>
      </c>
      <c r="H468" s="5" t="str">
        <f>TEXT(Table34[[#This Row],[Value Date]],"mmmm")</f>
        <v>January</v>
      </c>
    </row>
    <row r="469" spans="1:8">
      <c r="A469" s="3">
        <f t="shared" si="7"/>
        <v>384822.18840526306</v>
      </c>
      <c r="H469" s="5" t="str">
        <f>TEXT(Table34[[#This Row],[Value Date]],"mmmm")</f>
        <v>January</v>
      </c>
    </row>
    <row r="470" spans="1:8">
      <c r="A470" s="3">
        <f t="shared" si="7"/>
        <v>384822.18840526306</v>
      </c>
      <c r="H470" s="5" t="str">
        <f>TEXT(Table34[[#This Row],[Value Date]],"mmmm")</f>
        <v>January</v>
      </c>
    </row>
    <row r="471" spans="1:8">
      <c r="A471" s="3">
        <f t="shared" si="7"/>
        <v>384822.18840526306</v>
      </c>
      <c r="H471" s="5" t="str">
        <f>TEXT(Table34[[#This Row],[Value Date]],"mmmm")</f>
        <v>January</v>
      </c>
    </row>
    <row r="472" spans="1:8">
      <c r="A472" s="3">
        <f t="shared" si="7"/>
        <v>384822.18840526306</v>
      </c>
      <c r="H472" s="5" t="str">
        <f>TEXT(Table34[[#This Row],[Value Date]],"mmmm")</f>
        <v>January</v>
      </c>
    </row>
    <row r="473" spans="1:8">
      <c r="A473" s="3">
        <f t="shared" si="7"/>
        <v>384822.18840526306</v>
      </c>
      <c r="H473" s="5" t="str">
        <f>TEXT(Table34[[#This Row],[Value Date]],"mmmm")</f>
        <v>January</v>
      </c>
    </row>
    <row r="474" spans="1:8">
      <c r="A474" s="3">
        <f t="shared" si="7"/>
        <v>384822.18840526306</v>
      </c>
      <c r="H474" s="5" t="str">
        <f>TEXT(Table34[[#This Row],[Value Date]],"mmmm")</f>
        <v>January</v>
      </c>
    </row>
    <row r="475" spans="1:8">
      <c r="A475" s="3">
        <f t="shared" si="7"/>
        <v>384822.18840526306</v>
      </c>
      <c r="H475" s="5" t="str">
        <f>TEXT(Table34[[#This Row],[Value Date]],"mmmm")</f>
        <v>January</v>
      </c>
    </row>
    <row r="476" spans="1:8">
      <c r="A476" s="3">
        <f t="shared" si="7"/>
        <v>384822.18840526306</v>
      </c>
      <c r="H476" s="5" t="str">
        <f>TEXT(Table34[[#This Row],[Value Date]],"mmmm")</f>
        <v>January</v>
      </c>
    </row>
    <row r="477" spans="1:8">
      <c r="A477" s="3">
        <f t="shared" si="7"/>
        <v>384822.18840526306</v>
      </c>
      <c r="H477" s="5" t="str">
        <f>TEXT(Table34[[#This Row],[Value Date]],"mmmm")</f>
        <v>January</v>
      </c>
    </row>
    <row r="478" spans="1:8">
      <c r="A478" s="3">
        <f t="shared" si="7"/>
        <v>384822.18840526306</v>
      </c>
      <c r="H478" s="5" t="str">
        <f>TEXT(Table34[[#This Row],[Value Date]],"mmmm")</f>
        <v>January</v>
      </c>
    </row>
    <row r="479" spans="1:8">
      <c r="A479" s="3">
        <f t="shared" si="7"/>
        <v>384822.18840526306</v>
      </c>
      <c r="H479" s="5" t="str">
        <f>TEXT(Table34[[#This Row],[Value Date]],"mmmm")</f>
        <v>January</v>
      </c>
    </row>
    <row r="480" spans="1:8">
      <c r="A480" s="3">
        <f t="shared" si="7"/>
        <v>384822.18840526306</v>
      </c>
      <c r="H480" s="5" t="str">
        <f>TEXT(Table34[[#This Row],[Value Date]],"mmmm")</f>
        <v>January</v>
      </c>
    </row>
    <row r="481" spans="1:8">
      <c r="A481" s="3">
        <f t="shared" si="7"/>
        <v>384822.18840526306</v>
      </c>
      <c r="H481" s="5" t="str">
        <f>TEXT(Table34[[#This Row],[Value Date]],"mmmm")</f>
        <v>January</v>
      </c>
    </row>
    <row r="482" spans="1:8">
      <c r="A482" s="3">
        <f t="shared" si="7"/>
        <v>384822.18840526306</v>
      </c>
      <c r="H482" s="5" t="str">
        <f>TEXT(Table34[[#This Row],[Value Date]],"mmmm")</f>
        <v>January</v>
      </c>
    </row>
    <row r="483" spans="1:8">
      <c r="A483" s="3">
        <f t="shared" si="7"/>
        <v>384822.18840526306</v>
      </c>
      <c r="H483" s="5" t="str">
        <f>TEXT(Table34[[#This Row],[Value Date]],"mmmm")</f>
        <v>January</v>
      </c>
    </row>
    <row r="484" spans="1:8">
      <c r="A484" s="3">
        <f t="shared" si="7"/>
        <v>384822.18840526306</v>
      </c>
      <c r="H484" s="5" t="str">
        <f>TEXT(Table34[[#This Row],[Value Date]],"mmmm")</f>
        <v>January</v>
      </c>
    </row>
    <row r="485" spans="1:8">
      <c r="A485" s="3">
        <f t="shared" si="7"/>
        <v>384822.18840526306</v>
      </c>
      <c r="H485" s="5" t="str">
        <f>TEXT(Table34[[#This Row],[Value Date]],"mmmm")</f>
        <v>January</v>
      </c>
    </row>
    <row r="486" spans="1:8">
      <c r="A486" s="3">
        <f t="shared" si="7"/>
        <v>384822.18840526306</v>
      </c>
      <c r="H486" s="5" t="str">
        <f>TEXT(Table34[[#This Row],[Value Date]],"mmmm")</f>
        <v>January</v>
      </c>
    </row>
    <row r="487" spans="1:8">
      <c r="A487" s="3">
        <f t="shared" si="7"/>
        <v>384822.18840526306</v>
      </c>
      <c r="H487" s="5" t="str">
        <f>TEXT(Table34[[#This Row],[Value Date]],"mmmm")</f>
        <v>January</v>
      </c>
    </row>
    <row r="488" spans="1:8">
      <c r="A488" s="3">
        <f t="shared" si="7"/>
        <v>384822.18840526306</v>
      </c>
      <c r="H488" s="5" t="str">
        <f>TEXT(Table34[[#This Row],[Value Date]],"mmmm")</f>
        <v>January</v>
      </c>
    </row>
    <row r="489" spans="1:8">
      <c r="A489" s="3">
        <f t="shared" si="7"/>
        <v>384822.18840526306</v>
      </c>
      <c r="H489" s="5" t="str">
        <f>TEXT(Table34[[#This Row],[Value Date]],"mmmm")</f>
        <v>January</v>
      </c>
    </row>
    <row r="490" spans="1:8">
      <c r="A490" s="3">
        <f t="shared" si="7"/>
        <v>384822.18840526306</v>
      </c>
      <c r="H490" s="5" t="str">
        <f>TEXT(Table34[[#This Row],[Value Date]],"mmmm")</f>
        <v>January</v>
      </c>
    </row>
    <row r="491" spans="1:8">
      <c r="A491" s="3">
        <f t="shared" si="7"/>
        <v>384822.18840526306</v>
      </c>
      <c r="H491" s="5" t="str">
        <f>TEXT(Table34[[#This Row],[Value Date]],"mmmm")</f>
        <v>January</v>
      </c>
    </row>
    <row r="492" spans="1:8">
      <c r="A492" s="3">
        <f t="shared" si="7"/>
        <v>384822.18840526306</v>
      </c>
      <c r="H492" s="5" t="str">
        <f>TEXT(Table34[[#This Row],[Value Date]],"mmmm")</f>
        <v>January</v>
      </c>
    </row>
    <row r="493" spans="1:8">
      <c r="A493" s="3">
        <f t="shared" si="7"/>
        <v>384822.18840526306</v>
      </c>
      <c r="H493" s="5" t="str">
        <f>TEXT(Table34[[#This Row],[Value Date]],"mmmm")</f>
        <v>January</v>
      </c>
    </row>
    <row r="494" spans="1:8">
      <c r="A494" s="3">
        <f t="shared" si="7"/>
        <v>384822.18840526306</v>
      </c>
      <c r="H494" s="5" t="str">
        <f>TEXT(Table34[[#This Row],[Value Date]],"mmmm")</f>
        <v>January</v>
      </c>
    </row>
    <row r="495" spans="1:8">
      <c r="A495" s="3">
        <f t="shared" si="7"/>
        <v>384822.18840526306</v>
      </c>
      <c r="H495" s="5" t="str">
        <f>TEXT(Table34[[#This Row],[Value Date]],"mmmm")</f>
        <v>January</v>
      </c>
    </row>
    <row r="496" spans="1:8">
      <c r="A496" s="3">
        <f t="shared" si="7"/>
        <v>384822.18840526306</v>
      </c>
      <c r="H496" s="5" t="str">
        <f>TEXT(Table34[[#This Row],[Value Date]],"mmmm")</f>
        <v>January</v>
      </c>
    </row>
    <row r="497" spans="1:8">
      <c r="A497" s="3">
        <f t="shared" si="7"/>
        <v>384822.18840526306</v>
      </c>
      <c r="H497" s="5" t="str">
        <f>TEXT(Table34[[#This Row],[Value Date]],"mmmm")</f>
        <v>January</v>
      </c>
    </row>
    <row r="498" spans="1:8">
      <c r="A498" s="3">
        <f t="shared" si="7"/>
        <v>384822.18840526306</v>
      </c>
      <c r="H498" s="5" t="str">
        <f>TEXT(Table34[[#This Row],[Value Date]],"mmmm")</f>
        <v>January</v>
      </c>
    </row>
    <row r="499" spans="1:8">
      <c r="A499" s="3">
        <f t="shared" si="7"/>
        <v>384822.18840526306</v>
      </c>
      <c r="H499" s="5" t="str">
        <f>TEXT(Table34[[#This Row],[Value Date]],"mmmm")</f>
        <v>January</v>
      </c>
    </row>
    <row r="500" spans="1:8">
      <c r="A500" s="3">
        <f t="shared" si="7"/>
        <v>384822.18840526306</v>
      </c>
      <c r="H500" s="5" t="str">
        <f>TEXT(Table34[[#This Row],[Value Date]],"mmmm")</f>
        <v>January</v>
      </c>
    </row>
    <row r="501" spans="1:8">
      <c r="A501" s="3">
        <f t="shared" si="7"/>
        <v>384822.18840526306</v>
      </c>
      <c r="H501" s="5" t="str">
        <f>TEXT(Table34[[#This Row],[Value Date]],"mmmm")</f>
        <v>January</v>
      </c>
    </row>
    <row r="502" spans="1:8">
      <c r="A502" s="3">
        <f t="shared" si="7"/>
        <v>384822.18840526306</v>
      </c>
      <c r="H502" s="5" t="str">
        <f>TEXT(Table34[[#This Row],[Value Date]],"mmmm")</f>
        <v>January</v>
      </c>
    </row>
    <row r="503" spans="1:8">
      <c r="A503" s="3">
        <f t="shared" si="7"/>
        <v>384822.18840526306</v>
      </c>
      <c r="H503" s="5" t="str">
        <f>TEXT(Table34[[#This Row],[Value Date]],"mmmm")</f>
        <v>January</v>
      </c>
    </row>
    <row r="504" spans="1:8">
      <c r="A504" s="3">
        <f t="shared" si="7"/>
        <v>384822.18840526306</v>
      </c>
      <c r="H504" s="5" t="str">
        <f>TEXT(Table34[[#This Row],[Value Date]],"mmmm")</f>
        <v>January</v>
      </c>
    </row>
    <row r="505" spans="1:8">
      <c r="A505" s="3">
        <f t="shared" si="7"/>
        <v>384822.18840526306</v>
      </c>
      <c r="H505" s="5" t="str">
        <f>TEXT(Table34[[#This Row],[Value Date]],"mmmm")</f>
        <v>January</v>
      </c>
    </row>
    <row r="506" spans="1:8">
      <c r="A506" s="3">
        <f t="shared" si="7"/>
        <v>384822.18840526306</v>
      </c>
      <c r="H506" s="5" t="str">
        <f>TEXT(Table34[[#This Row],[Value Date]],"mmmm")</f>
        <v>January</v>
      </c>
    </row>
    <row r="507" spans="1:8">
      <c r="A507" s="3">
        <f t="shared" si="7"/>
        <v>384822.18840526306</v>
      </c>
      <c r="H507" s="5" t="str">
        <f>TEXT(Table34[[#This Row],[Value Date]],"mmmm")</f>
        <v>January</v>
      </c>
    </row>
    <row r="508" spans="1:8">
      <c r="A508" s="3">
        <f t="shared" si="7"/>
        <v>384822.18840526306</v>
      </c>
      <c r="H508" s="5" t="str">
        <f>TEXT(Table34[[#This Row],[Value Date]],"mmmm")</f>
        <v>January</v>
      </c>
    </row>
    <row r="509" spans="1:8">
      <c r="A509" s="3">
        <f t="shared" si="7"/>
        <v>384822.18840526306</v>
      </c>
      <c r="H509" s="5" t="str">
        <f>TEXT(Table34[[#This Row],[Value Date]],"mmmm")</f>
        <v>January</v>
      </c>
    </row>
    <row r="510" spans="1:8">
      <c r="A510" s="3">
        <f t="shared" si="7"/>
        <v>384822.18840526306</v>
      </c>
      <c r="H510" s="5" t="str">
        <f>TEXT(Table34[[#This Row],[Value Date]],"mmmm")</f>
        <v>January</v>
      </c>
    </row>
    <row r="511" spans="1:8">
      <c r="A511" s="3">
        <f t="shared" si="7"/>
        <v>384822.18840526306</v>
      </c>
      <c r="H511" s="5" t="str">
        <f>TEXT(Table34[[#This Row],[Value Date]],"mmmm")</f>
        <v>January</v>
      </c>
    </row>
    <row r="512" spans="1:8">
      <c r="A512" s="3">
        <f t="shared" si="7"/>
        <v>384822.18840526306</v>
      </c>
      <c r="H512" s="5" t="str">
        <f>TEXT(Table34[[#This Row],[Value Date]],"mmmm")</f>
        <v>January</v>
      </c>
    </row>
    <row r="513" spans="1:8">
      <c r="A513" s="3">
        <f t="shared" si="7"/>
        <v>384822.18840526306</v>
      </c>
      <c r="H513" s="5" t="str">
        <f>TEXT(Table34[[#This Row],[Value Date]],"mmmm")</f>
        <v>January</v>
      </c>
    </row>
    <row r="514" spans="1:8">
      <c r="A514" s="3">
        <f t="shared" si="7"/>
        <v>384822.18840526306</v>
      </c>
      <c r="H514" s="5" t="str">
        <f>TEXT(Table34[[#This Row],[Value Date]],"mmmm")</f>
        <v>January</v>
      </c>
    </row>
    <row r="515" spans="1:8">
      <c r="A515" s="3">
        <f t="shared" si="7"/>
        <v>384822.18840526306</v>
      </c>
      <c r="H515" s="5" t="str">
        <f>TEXT(Table34[[#This Row],[Value Date]],"mmmm")</f>
        <v>January</v>
      </c>
    </row>
    <row r="516" spans="1:8">
      <c r="A516" s="3">
        <f t="shared" si="7"/>
        <v>384822.18840526306</v>
      </c>
      <c r="H516" s="5" t="str">
        <f>TEXT(Table34[[#This Row],[Value Date]],"mmmm")</f>
        <v>January</v>
      </c>
    </row>
    <row r="517" spans="1:8">
      <c r="A517" s="3">
        <f t="shared" si="7"/>
        <v>384822.18840526306</v>
      </c>
      <c r="H517" s="5" t="str">
        <f>TEXT(Table34[[#This Row],[Value Date]],"mmmm")</f>
        <v>January</v>
      </c>
    </row>
    <row r="518" spans="1:8">
      <c r="A518" s="3">
        <f t="shared" ref="A518:A581" si="8">A517+B518-C518</f>
        <v>384822.18840526306</v>
      </c>
      <c r="H518" s="5" t="str">
        <f>TEXT(Table34[[#This Row],[Value Date]],"mmmm")</f>
        <v>January</v>
      </c>
    </row>
    <row r="519" spans="1:8">
      <c r="A519" s="3">
        <f t="shared" si="8"/>
        <v>384822.18840526306</v>
      </c>
      <c r="H519" s="5" t="str">
        <f>TEXT(Table34[[#This Row],[Value Date]],"mmmm")</f>
        <v>January</v>
      </c>
    </row>
    <row r="520" spans="1:8">
      <c r="A520" s="3">
        <f t="shared" si="8"/>
        <v>384822.18840526306</v>
      </c>
      <c r="H520" s="5" t="str">
        <f>TEXT(Table34[[#This Row],[Value Date]],"mmmm")</f>
        <v>January</v>
      </c>
    </row>
    <row r="521" spans="1:8">
      <c r="A521" s="3">
        <f t="shared" si="8"/>
        <v>384822.18840526306</v>
      </c>
      <c r="H521" s="5" t="str">
        <f>TEXT(Table34[[#This Row],[Value Date]],"mmmm")</f>
        <v>January</v>
      </c>
    </row>
    <row r="522" spans="1:8">
      <c r="A522" s="3">
        <f t="shared" si="8"/>
        <v>384822.18840526306</v>
      </c>
      <c r="H522" s="5" t="str">
        <f>TEXT(Table34[[#This Row],[Value Date]],"mmmm")</f>
        <v>January</v>
      </c>
    </row>
    <row r="523" spans="1:8">
      <c r="A523" s="3">
        <f t="shared" si="8"/>
        <v>384822.18840526306</v>
      </c>
      <c r="H523" s="5" t="str">
        <f>TEXT(Table34[[#This Row],[Value Date]],"mmmm")</f>
        <v>January</v>
      </c>
    </row>
    <row r="524" spans="1:8">
      <c r="A524" s="3">
        <f t="shared" si="8"/>
        <v>384822.18840526306</v>
      </c>
      <c r="H524" s="5" t="str">
        <f>TEXT(Table34[[#This Row],[Value Date]],"mmmm")</f>
        <v>January</v>
      </c>
    </row>
    <row r="525" spans="1:8">
      <c r="A525" s="3">
        <f t="shared" si="8"/>
        <v>384822.18840526306</v>
      </c>
      <c r="H525" s="5" t="str">
        <f>TEXT(Table34[[#This Row],[Value Date]],"mmmm")</f>
        <v>January</v>
      </c>
    </row>
    <row r="526" spans="1:8">
      <c r="A526" s="3">
        <f t="shared" si="8"/>
        <v>384822.18840526306</v>
      </c>
      <c r="H526" s="5" t="str">
        <f>TEXT(Table34[[#This Row],[Value Date]],"mmmm")</f>
        <v>January</v>
      </c>
    </row>
    <row r="527" spans="1:8">
      <c r="A527" s="3">
        <f t="shared" si="8"/>
        <v>384822.18840526306</v>
      </c>
      <c r="H527" s="5" t="str">
        <f>TEXT(Table34[[#This Row],[Value Date]],"mmmm")</f>
        <v>January</v>
      </c>
    </row>
    <row r="528" spans="1:8">
      <c r="A528" s="3">
        <f t="shared" si="8"/>
        <v>384822.18840526306</v>
      </c>
      <c r="H528" s="5" t="str">
        <f>TEXT(Table34[[#This Row],[Value Date]],"mmmm")</f>
        <v>January</v>
      </c>
    </row>
    <row r="529" spans="1:8">
      <c r="A529" s="3">
        <f t="shared" si="8"/>
        <v>384822.18840526306</v>
      </c>
      <c r="H529" s="5" t="str">
        <f>TEXT(Table34[[#This Row],[Value Date]],"mmmm")</f>
        <v>January</v>
      </c>
    </row>
    <row r="530" spans="1:8">
      <c r="A530" s="3">
        <f t="shared" si="8"/>
        <v>384822.18840526306</v>
      </c>
      <c r="H530" s="5" t="str">
        <f>TEXT(Table34[[#This Row],[Value Date]],"mmmm")</f>
        <v>January</v>
      </c>
    </row>
    <row r="531" spans="1:8">
      <c r="A531" s="3">
        <f t="shared" si="8"/>
        <v>384822.18840526306</v>
      </c>
      <c r="H531" s="5" t="str">
        <f>TEXT(Table34[[#This Row],[Value Date]],"mmmm")</f>
        <v>January</v>
      </c>
    </row>
    <row r="532" spans="1:8">
      <c r="A532" s="3">
        <f t="shared" si="8"/>
        <v>384822.18840526306</v>
      </c>
      <c r="H532" s="5" t="str">
        <f>TEXT(Table34[[#This Row],[Value Date]],"mmmm")</f>
        <v>January</v>
      </c>
    </row>
    <row r="533" spans="1:8">
      <c r="A533" s="3">
        <f t="shared" si="8"/>
        <v>384822.18840526306</v>
      </c>
      <c r="H533" s="5" t="str">
        <f>TEXT(Table34[[#This Row],[Value Date]],"mmmm")</f>
        <v>January</v>
      </c>
    </row>
    <row r="534" spans="1:8">
      <c r="A534" s="3">
        <f t="shared" si="8"/>
        <v>384822.18840526306</v>
      </c>
      <c r="H534" s="5" t="str">
        <f>TEXT(Table34[[#This Row],[Value Date]],"mmmm")</f>
        <v>January</v>
      </c>
    </row>
    <row r="535" spans="1:8">
      <c r="A535" s="3">
        <f t="shared" si="8"/>
        <v>384822.18840526306</v>
      </c>
      <c r="H535" s="5" t="str">
        <f>TEXT(Table34[[#This Row],[Value Date]],"mmmm")</f>
        <v>January</v>
      </c>
    </row>
    <row r="536" spans="1:8">
      <c r="A536" s="3">
        <f t="shared" si="8"/>
        <v>384822.18840526306</v>
      </c>
      <c r="H536" s="5" t="str">
        <f>TEXT(Table34[[#This Row],[Value Date]],"mmmm")</f>
        <v>January</v>
      </c>
    </row>
    <row r="537" spans="1:8">
      <c r="A537" s="3">
        <f t="shared" si="8"/>
        <v>384822.18840526306</v>
      </c>
      <c r="H537" s="5" t="str">
        <f>TEXT(Table34[[#This Row],[Value Date]],"mmmm")</f>
        <v>January</v>
      </c>
    </row>
    <row r="538" spans="1:8">
      <c r="A538" s="3">
        <f t="shared" si="8"/>
        <v>384822.18840526306</v>
      </c>
      <c r="H538" s="5" t="str">
        <f>TEXT(Table34[[#This Row],[Value Date]],"mmmm")</f>
        <v>January</v>
      </c>
    </row>
    <row r="539" spans="1:8">
      <c r="A539" s="3">
        <f t="shared" si="8"/>
        <v>384822.18840526306</v>
      </c>
      <c r="H539" s="5" t="str">
        <f>TEXT(Table34[[#This Row],[Value Date]],"mmmm")</f>
        <v>January</v>
      </c>
    </row>
    <row r="540" spans="1:8">
      <c r="A540" s="3">
        <f t="shared" si="8"/>
        <v>384822.18840526306</v>
      </c>
      <c r="H540" s="5" t="str">
        <f>TEXT(Table34[[#This Row],[Value Date]],"mmmm")</f>
        <v>January</v>
      </c>
    </row>
    <row r="541" spans="1:8">
      <c r="A541" s="3">
        <f t="shared" si="8"/>
        <v>384822.18840526306</v>
      </c>
      <c r="H541" s="5" t="str">
        <f>TEXT(Table34[[#This Row],[Value Date]],"mmmm")</f>
        <v>January</v>
      </c>
    </row>
    <row r="542" spans="1:8">
      <c r="A542" s="3">
        <f t="shared" si="8"/>
        <v>384822.18840526306</v>
      </c>
      <c r="H542" s="5" t="str">
        <f>TEXT(Table34[[#This Row],[Value Date]],"mmmm")</f>
        <v>January</v>
      </c>
    </row>
    <row r="543" spans="1:8">
      <c r="A543" s="3">
        <f t="shared" si="8"/>
        <v>384822.18840526306</v>
      </c>
      <c r="H543" s="5" t="str">
        <f>TEXT(Table34[[#This Row],[Value Date]],"mmmm")</f>
        <v>January</v>
      </c>
    </row>
    <row r="544" spans="1:8">
      <c r="A544" s="3">
        <f t="shared" si="8"/>
        <v>384822.18840526306</v>
      </c>
      <c r="H544" s="5" t="str">
        <f>TEXT(Table34[[#This Row],[Value Date]],"mmmm")</f>
        <v>January</v>
      </c>
    </row>
    <row r="545" spans="1:8">
      <c r="A545" s="3">
        <f t="shared" si="8"/>
        <v>384822.18840526306</v>
      </c>
      <c r="H545" s="5" t="str">
        <f>TEXT(Table34[[#This Row],[Value Date]],"mmmm")</f>
        <v>January</v>
      </c>
    </row>
    <row r="546" spans="1:8">
      <c r="A546" s="3">
        <f t="shared" si="8"/>
        <v>384822.18840526306</v>
      </c>
      <c r="H546" s="5" t="str">
        <f>TEXT(Table34[[#This Row],[Value Date]],"mmmm")</f>
        <v>January</v>
      </c>
    </row>
    <row r="547" spans="1:8">
      <c r="A547" s="3">
        <f t="shared" si="8"/>
        <v>384822.18840526306</v>
      </c>
      <c r="H547" s="5" t="str">
        <f>TEXT(Table34[[#This Row],[Value Date]],"mmmm")</f>
        <v>January</v>
      </c>
    </row>
    <row r="548" spans="1:8">
      <c r="A548" s="3">
        <f t="shared" si="8"/>
        <v>384822.18840526306</v>
      </c>
      <c r="H548" s="5" t="str">
        <f>TEXT(Table34[[#This Row],[Value Date]],"mmmm")</f>
        <v>January</v>
      </c>
    </row>
    <row r="549" spans="1:8">
      <c r="A549" s="3">
        <f t="shared" si="8"/>
        <v>384822.18840526306</v>
      </c>
      <c r="H549" s="5" t="str">
        <f>TEXT(Table34[[#This Row],[Value Date]],"mmmm")</f>
        <v>January</v>
      </c>
    </row>
    <row r="550" spans="1:8">
      <c r="A550" s="3">
        <f t="shared" si="8"/>
        <v>384822.18840526306</v>
      </c>
      <c r="H550" s="5" t="str">
        <f>TEXT(Table34[[#This Row],[Value Date]],"mmmm")</f>
        <v>January</v>
      </c>
    </row>
    <row r="551" spans="1:8">
      <c r="A551" s="3">
        <f t="shared" si="8"/>
        <v>384822.18840526306</v>
      </c>
      <c r="H551" s="5" t="str">
        <f>TEXT(Table34[[#This Row],[Value Date]],"mmmm")</f>
        <v>January</v>
      </c>
    </row>
    <row r="552" spans="1:8">
      <c r="A552" s="3">
        <f t="shared" si="8"/>
        <v>384822.18840526306</v>
      </c>
      <c r="H552" s="5" t="str">
        <f>TEXT(Table34[[#This Row],[Value Date]],"mmmm")</f>
        <v>January</v>
      </c>
    </row>
    <row r="553" spans="1:8">
      <c r="A553" s="3">
        <f t="shared" si="8"/>
        <v>384822.18840526306</v>
      </c>
      <c r="H553" s="5" t="str">
        <f>TEXT(Table34[[#This Row],[Value Date]],"mmmm")</f>
        <v>January</v>
      </c>
    </row>
    <row r="554" spans="1:8">
      <c r="A554" s="3">
        <f t="shared" si="8"/>
        <v>384822.18840526306</v>
      </c>
      <c r="H554" s="5" t="str">
        <f>TEXT(Table34[[#This Row],[Value Date]],"mmmm")</f>
        <v>January</v>
      </c>
    </row>
    <row r="555" spans="1:8">
      <c r="A555" s="3">
        <f t="shared" si="8"/>
        <v>384822.18840526306</v>
      </c>
      <c r="H555" s="5" t="str">
        <f>TEXT(Table34[[#This Row],[Value Date]],"mmmm")</f>
        <v>January</v>
      </c>
    </row>
    <row r="556" spans="1:8">
      <c r="A556" s="3">
        <f t="shared" si="8"/>
        <v>384822.18840526306</v>
      </c>
      <c r="H556" s="5" t="str">
        <f>TEXT(Table34[[#This Row],[Value Date]],"mmmm")</f>
        <v>January</v>
      </c>
    </row>
    <row r="557" spans="1:8">
      <c r="A557" s="3">
        <f t="shared" si="8"/>
        <v>384822.18840526306</v>
      </c>
      <c r="H557" s="5" t="str">
        <f>TEXT(Table34[[#This Row],[Value Date]],"mmmm")</f>
        <v>January</v>
      </c>
    </row>
    <row r="558" spans="1:8">
      <c r="A558" s="3">
        <f t="shared" si="8"/>
        <v>384822.18840526306</v>
      </c>
      <c r="H558" s="5" t="str">
        <f>TEXT(Table34[[#This Row],[Value Date]],"mmmm")</f>
        <v>January</v>
      </c>
    </row>
    <row r="559" spans="1:8">
      <c r="A559" s="3">
        <f t="shared" si="8"/>
        <v>384822.18840526306</v>
      </c>
      <c r="H559" s="5" t="str">
        <f>TEXT(Table34[[#This Row],[Value Date]],"mmmm")</f>
        <v>January</v>
      </c>
    </row>
    <row r="560" spans="1:8">
      <c r="A560" s="3">
        <f t="shared" si="8"/>
        <v>384822.18840526306</v>
      </c>
      <c r="H560" s="5" t="str">
        <f>TEXT(Table34[[#This Row],[Value Date]],"mmmm")</f>
        <v>January</v>
      </c>
    </row>
    <row r="561" spans="1:8">
      <c r="A561" s="3">
        <f t="shared" si="8"/>
        <v>384822.18840526306</v>
      </c>
      <c r="H561" s="5" t="str">
        <f>TEXT(Table34[[#This Row],[Value Date]],"mmmm")</f>
        <v>January</v>
      </c>
    </row>
    <row r="562" spans="1:8">
      <c r="A562" s="3">
        <f t="shared" si="8"/>
        <v>384822.18840526306</v>
      </c>
      <c r="H562" s="5" t="str">
        <f>TEXT(Table34[[#This Row],[Value Date]],"mmmm")</f>
        <v>January</v>
      </c>
    </row>
    <row r="563" spans="1:8">
      <c r="A563" s="3">
        <f t="shared" si="8"/>
        <v>384822.18840526306</v>
      </c>
      <c r="H563" s="5" t="str">
        <f>TEXT(Table34[[#This Row],[Value Date]],"mmmm")</f>
        <v>January</v>
      </c>
    </row>
    <row r="564" spans="1:8">
      <c r="A564" s="3">
        <f t="shared" si="8"/>
        <v>384822.18840526306</v>
      </c>
      <c r="H564" s="5" t="str">
        <f>TEXT(Table34[[#This Row],[Value Date]],"mmmm")</f>
        <v>January</v>
      </c>
    </row>
    <row r="565" spans="1:8">
      <c r="A565" s="3">
        <f t="shared" si="8"/>
        <v>384822.18840526306</v>
      </c>
      <c r="H565" s="5" t="str">
        <f>TEXT(Table34[[#This Row],[Value Date]],"mmmm")</f>
        <v>January</v>
      </c>
    </row>
    <row r="566" spans="1:8">
      <c r="A566" s="3">
        <f t="shared" si="8"/>
        <v>384822.18840526306</v>
      </c>
      <c r="H566" s="5" t="str">
        <f>TEXT(Table34[[#This Row],[Value Date]],"mmmm")</f>
        <v>January</v>
      </c>
    </row>
    <row r="567" spans="1:8">
      <c r="A567" s="3">
        <f t="shared" si="8"/>
        <v>384822.18840526306</v>
      </c>
      <c r="H567" s="5" t="str">
        <f>TEXT(Table34[[#This Row],[Value Date]],"mmmm")</f>
        <v>January</v>
      </c>
    </row>
    <row r="568" spans="1:8">
      <c r="A568" s="3">
        <f t="shared" si="8"/>
        <v>384822.18840526306</v>
      </c>
      <c r="H568" s="5" t="str">
        <f>TEXT(Table34[[#This Row],[Value Date]],"mmmm")</f>
        <v>January</v>
      </c>
    </row>
    <row r="569" spans="1:8">
      <c r="A569" s="3">
        <f t="shared" si="8"/>
        <v>384822.18840526306</v>
      </c>
      <c r="H569" s="5" t="str">
        <f>TEXT(Table34[[#This Row],[Value Date]],"mmmm")</f>
        <v>January</v>
      </c>
    </row>
    <row r="570" spans="1:8">
      <c r="A570" s="3">
        <f t="shared" si="8"/>
        <v>384822.18840526306</v>
      </c>
      <c r="H570" s="5" t="str">
        <f>TEXT(Table34[[#This Row],[Value Date]],"mmmm")</f>
        <v>January</v>
      </c>
    </row>
    <row r="571" spans="1:8">
      <c r="A571" s="3">
        <f t="shared" si="8"/>
        <v>384822.18840526306</v>
      </c>
      <c r="H571" s="5" t="str">
        <f>TEXT(Table34[[#This Row],[Value Date]],"mmmm")</f>
        <v>January</v>
      </c>
    </row>
    <row r="572" spans="1:8">
      <c r="A572" s="3">
        <f t="shared" si="8"/>
        <v>384822.18840526306</v>
      </c>
      <c r="H572" s="5" t="str">
        <f>TEXT(Table34[[#This Row],[Value Date]],"mmmm")</f>
        <v>January</v>
      </c>
    </row>
    <row r="573" spans="1:8">
      <c r="A573" s="3">
        <f t="shared" si="8"/>
        <v>384822.18840526306</v>
      </c>
      <c r="H573" s="5" t="str">
        <f>TEXT(Table34[[#This Row],[Value Date]],"mmmm")</f>
        <v>January</v>
      </c>
    </row>
    <row r="574" spans="1:8">
      <c r="A574" s="3">
        <f t="shared" si="8"/>
        <v>384822.18840526306</v>
      </c>
      <c r="H574" s="5" t="str">
        <f>TEXT(Table34[[#This Row],[Value Date]],"mmmm")</f>
        <v>January</v>
      </c>
    </row>
    <row r="575" spans="1:8">
      <c r="A575" s="3">
        <f t="shared" si="8"/>
        <v>384822.18840526306</v>
      </c>
      <c r="H575" s="5" t="str">
        <f>TEXT(Table34[[#This Row],[Value Date]],"mmmm")</f>
        <v>January</v>
      </c>
    </row>
    <row r="576" spans="1:8">
      <c r="A576" s="3">
        <f t="shared" si="8"/>
        <v>384822.18840526306</v>
      </c>
      <c r="H576" s="5" t="str">
        <f>TEXT(Table34[[#This Row],[Value Date]],"mmmm")</f>
        <v>January</v>
      </c>
    </row>
    <row r="577" spans="1:8">
      <c r="A577" s="3">
        <f t="shared" si="8"/>
        <v>384822.18840526306</v>
      </c>
      <c r="H577" s="5" t="str">
        <f>TEXT(Table34[[#This Row],[Value Date]],"mmmm")</f>
        <v>January</v>
      </c>
    </row>
    <row r="578" spans="1:8">
      <c r="A578" s="3">
        <f t="shared" si="8"/>
        <v>384822.18840526306</v>
      </c>
      <c r="H578" s="5" t="str">
        <f>TEXT(Table34[[#This Row],[Value Date]],"mmmm")</f>
        <v>January</v>
      </c>
    </row>
    <row r="579" spans="1:8">
      <c r="A579" s="3">
        <f t="shared" si="8"/>
        <v>384822.18840526306</v>
      </c>
      <c r="H579" s="5" t="str">
        <f>TEXT(Table34[[#This Row],[Value Date]],"mmmm")</f>
        <v>January</v>
      </c>
    </row>
    <row r="580" spans="1:8">
      <c r="A580" s="3">
        <f t="shared" si="8"/>
        <v>384822.18840526306</v>
      </c>
      <c r="H580" s="5" t="str">
        <f>TEXT(Table34[[#This Row],[Value Date]],"mmmm")</f>
        <v>January</v>
      </c>
    </row>
    <row r="581" spans="1:8">
      <c r="A581" s="3">
        <f t="shared" si="8"/>
        <v>384822.18840526306</v>
      </c>
      <c r="H581" s="5" t="str">
        <f>TEXT(Table34[[#This Row],[Value Date]],"mmmm")</f>
        <v>January</v>
      </c>
    </row>
    <row r="582" spans="1:8">
      <c r="A582" s="3">
        <f t="shared" ref="A582:A645" si="9">A581+B582-C582</f>
        <v>384822.18840526306</v>
      </c>
      <c r="H582" s="5" t="str">
        <f>TEXT(Table34[[#This Row],[Value Date]],"mmmm")</f>
        <v>January</v>
      </c>
    </row>
    <row r="583" spans="1:8">
      <c r="A583" s="3">
        <f t="shared" si="9"/>
        <v>384822.18840526306</v>
      </c>
      <c r="H583" s="5" t="str">
        <f>TEXT(Table34[[#This Row],[Value Date]],"mmmm")</f>
        <v>January</v>
      </c>
    </row>
    <row r="584" spans="1:8">
      <c r="A584" s="3">
        <f t="shared" si="9"/>
        <v>384822.18840526306</v>
      </c>
      <c r="H584" s="5" t="str">
        <f>TEXT(Table34[[#This Row],[Value Date]],"mmmm")</f>
        <v>January</v>
      </c>
    </row>
    <row r="585" spans="1:8">
      <c r="A585" s="3">
        <f t="shared" si="9"/>
        <v>384822.18840526306</v>
      </c>
      <c r="H585" s="5" t="str">
        <f>TEXT(Table34[[#This Row],[Value Date]],"mmmm")</f>
        <v>January</v>
      </c>
    </row>
    <row r="586" spans="1:8">
      <c r="A586" s="3">
        <f t="shared" si="9"/>
        <v>384822.18840526306</v>
      </c>
      <c r="H586" s="5" t="str">
        <f>TEXT(Table34[[#This Row],[Value Date]],"mmmm")</f>
        <v>January</v>
      </c>
    </row>
    <row r="587" spans="1:8">
      <c r="A587" s="3">
        <f t="shared" si="9"/>
        <v>384822.18840526306</v>
      </c>
      <c r="H587" s="5" t="str">
        <f>TEXT(Table34[[#This Row],[Value Date]],"mmmm")</f>
        <v>January</v>
      </c>
    </row>
    <row r="588" spans="1:8">
      <c r="A588" s="3">
        <f t="shared" si="9"/>
        <v>384822.18840526306</v>
      </c>
      <c r="H588" s="5" t="str">
        <f>TEXT(Table34[[#This Row],[Value Date]],"mmmm")</f>
        <v>January</v>
      </c>
    </row>
    <row r="589" spans="1:8">
      <c r="A589" s="3">
        <f t="shared" si="9"/>
        <v>384822.18840526306</v>
      </c>
      <c r="H589" s="5" t="str">
        <f>TEXT(Table34[[#This Row],[Value Date]],"mmmm")</f>
        <v>January</v>
      </c>
    </row>
    <row r="590" spans="1:8">
      <c r="A590" s="3">
        <f t="shared" si="9"/>
        <v>384822.18840526306</v>
      </c>
      <c r="H590" s="5" t="str">
        <f>TEXT(Table34[[#This Row],[Value Date]],"mmmm")</f>
        <v>January</v>
      </c>
    </row>
    <row r="591" spans="1:8">
      <c r="A591" s="3">
        <f t="shared" si="9"/>
        <v>384822.18840526306</v>
      </c>
      <c r="H591" s="5" t="str">
        <f>TEXT(Table34[[#This Row],[Value Date]],"mmmm")</f>
        <v>January</v>
      </c>
    </row>
    <row r="592" spans="1:8">
      <c r="A592" s="3">
        <f t="shared" si="9"/>
        <v>384822.18840526306</v>
      </c>
      <c r="H592" s="5" t="str">
        <f>TEXT(Table34[[#This Row],[Value Date]],"mmmm")</f>
        <v>January</v>
      </c>
    </row>
    <row r="593" spans="1:8">
      <c r="A593" s="3">
        <f t="shared" si="9"/>
        <v>384822.18840526306</v>
      </c>
      <c r="H593" s="5" t="str">
        <f>TEXT(Table34[[#This Row],[Value Date]],"mmmm")</f>
        <v>January</v>
      </c>
    </row>
    <row r="594" spans="1:8">
      <c r="A594" s="3">
        <f t="shared" si="9"/>
        <v>384822.18840526306</v>
      </c>
      <c r="H594" s="5" t="str">
        <f>TEXT(Table34[[#This Row],[Value Date]],"mmmm")</f>
        <v>January</v>
      </c>
    </row>
    <row r="595" spans="1:8">
      <c r="A595" s="3">
        <f t="shared" si="9"/>
        <v>384822.18840526306</v>
      </c>
      <c r="H595" s="5" t="str">
        <f>TEXT(Table34[[#This Row],[Value Date]],"mmmm")</f>
        <v>January</v>
      </c>
    </row>
    <row r="596" spans="1:8">
      <c r="A596" s="3">
        <f t="shared" si="9"/>
        <v>384822.18840526306</v>
      </c>
      <c r="H596" s="5" t="str">
        <f>TEXT(Table34[[#This Row],[Value Date]],"mmmm")</f>
        <v>January</v>
      </c>
    </row>
    <row r="597" spans="1:8">
      <c r="A597" s="3">
        <f t="shared" si="9"/>
        <v>384822.18840526306</v>
      </c>
      <c r="H597" s="5" t="str">
        <f>TEXT(Table34[[#This Row],[Value Date]],"mmmm")</f>
        <v>January</v>
      </c>
    </row>
    <row r="598" spans="1:8">
      <c r="A598" s="3">
        <f t="shared" si="9"/>
        <v>384822.18840526306</v>
      </c>
      <c r="H598" s="5" t="str">
        <f>TEXT(Table34[[#This Row],[Value Date]],"mmmm")</f>
        <v>January</v>
      </c>
    </row>
    <row r="599" spans="1:8">
      <c r="A599" s="3">
        <f t="shared" si="9"/>
        <v>384822.18840526306</v>
      </c>
      <c r="H599" s="5" t="str">
        <f>TEXT(Table34[[#This Row],[Value Date]],"mmmm")</f>
        <v>January</v>
      </c>
    </row>
    <row r="600" spans="1:8">
      <c r="A600" s="3">
        <f t="shared" si="9"/>
        <v>384822.18840526306</v>
      </c>
      <c r="H600" s="5" t="str">
        <f>TEXT(Table34[[#This Row],[Value Date]],"mmmm")</f>
        <v>January</v>
      </c>
    </row>
    <row r="601" spans="1:8">
      <c r="A601" s="3">
        <f t="shared" si="9"/>
        <v>384822.18840526306</v>
      </c>
      <c r="H601" s="5" t="str">
        <f>TEXT(Table34[[#This Row],[Value Date]],"mmmm")</f>
        <v>January</v>
      </c>
    </row>
    <row r="602" spans="1:8">
      <c r="A602" s="3">
        <f t="shared" si="9"/>
        <v>384822.18840526306</v>
      </c>
      <c r="H602" s="5" t="str">
        <f>TEXT(Table34[[#This Row],[Value Date]],"mmmm")</f>
        <v>January</v>
      </c>
    </row>
    <row r="603" spans="1:8">
      <c r="A603" s="3">
        <f t="shared" si="9"/>
        <v>384822.18840526306</v>
      </c>
      <c r="H603" s="5" t="str">
        <f>TEXT(Table34[[#This Row],[Value Date]],"mmmm")</f>
        <v>January</v>
      </c>
    </row>
    <row r="604" spans="1:8">
      <c r="A604" s="3">
        <f t="shared" si="9"/>
        <v>384822.18840526306</v>
      </c>
      <c r="H604" s="5" t="str">
        <f>TEXT(Table34[[#This Row],[Value Date]],"mmmm")</f>
        <v>January</v>
      </c>
    </row>
    <row r="605" spans="1:8">
      <c r="A605" s="3">
        <f t="shared" si="9"/>
        <v>384822.18840526306</v>
      </c>
      <c r="H605" s="5" t="str">
        <f>TEXT(Table34[[#This Row],[Value Date]],"mmmm")</f>
        <v>January</v>
      </c>
    </row>
    <row r="606" spans="1:8">
      <c r="A606" s="3">
        <f t="shared" si="9"/>
        <v>384822.18840526306</v>
      </c>
      <c r="H606" s="5" t="str">
        <f>TEXT(Table34[[#This Row],[Value Date]],"mmmm")</f>
        <v>January</v>
      </c>
    </row>
    <row r="607" spans="1:8">
      <c r="A607" s="3">
        <f t="shared" si="9"/>
        <v>384822.18840526306</v>
      </c>
      <c r="H607" s="5" t="str">
        <f>TEXT(Table34[[#This Row],[Value Date]],"mmmm")</f>
        <v>January</v>
      </c>
    </row>
    <row r="608" spans="1:8">
      <c r="A608" s="3">
        <f t="shared" si="9"/>
        <v>384822.18840526306</v>
      </c>
      <c r="H608" s="5" t="str">
        <f>TEXT(Table34[[#This Row],[Value Date]],"mmmm")</f>
        <v>January</v>
      </c>
    </row>
    <row r="609" spans="1:8">
      <c r="A609" s="3">
        <f t="shared" si="9"/>
        <v>384822.18840526306</v>
      </c>
      <c r="H609" s="5" t="str">
        <f>TEXT(Table34[[#This Row],[Value Date]],"mmmm")</f>
        <v>January</v>
      </c>
    </row>
    <row r="610" spans="1:8">
      <c r="A610" s="3">
        <f t="shared" si="9"/>
        <v>384822.18840526306</v>
      </c>
      <c r="H610" s="5" t="str">
        <f>TEXT(Table34[[#This Row],[Value Date]],"mmmm")</f>
        <v>January</v>
      </c>
    </row>
    <row r="611" spans="1:8">
      <c r="A611" s="3">
        <f t="shared" si="9"/>
        <v>384822.18840526306</v>
      </c>
      <c r="H611" s="5" t="str">
        <f>TEXT(Table34[[#This Row],[Value Date]],"mmmm")</f>
        <v>January</v>
      </c>
    </row>
    <row r="612" spans="1:8">
      <c r="A612" s="3">
        <f t="shared" si="9"/>
        <v>384822.18840526306</v>
      </c>
      <c r="H612" s="5" t="str">
        <f>TEXT(Table34[[#This Row],[Value Date]],"mmmm")</f>
        <v>January</v>
      </c>
    </row>
    <row r="613" spans="1:8">
      <c r="A613" s="3">
        <f t="shared" si="9"/>
        <v>384822.18840526306</v>
      </c>
      <c r="H613" s="5" t="str">
        <f>TEXT(Table34[[#This Row],[Value Date]],"mmmm")</f>
        <v>January</v>
      </c>
    </row>
    <row r="614" spans="1:8">
      <c r="A614" s="3">
        <f t="shared" si="9"/>
        <v>384822.18840526306</v>
      </c>
      <c r="H614" s="5" t="str">
        <f>TEXT(Table34[[#This Row],[Value Date]],"mmmm")</f>
        <v>January</v>
      </c>
    </row>
    <row r="615" spans="1:8">
      <c r="A615" s="3">
        <f t="shared" si="9"/>
        <v>384822.18840526306</v>
      </c>
      <c r="H615" s="5" t="str">
        <f>TEXT(Table34[[#This Row],[Value Date]],"mmmm")</f>
        <v>January</v>
      </c>
    </row>
    <row r="616" spans="1:8">
      <c r="A616" s="3">
        <f t="shared" si="9"/>
        <v>384822.18840526306</v>
      </c>
      <c r="H616" s="5" t="str">
        <f>TEXT(Table34[[#This Row],[Value Date]],"mmmm")</f>
        <v>January</v>
      </c>
    </row>
    <row r="617" spans="1:8">
      <c r="A617" s="3">
        <f t="shared" si="9"/>
        <v>384822.18840526306</v>
      </c>
      <c r="H617" s="5" t="str">
        <f>TEXT(Table34[[#This Row],[Value Date]],"mmmm")</f>
        <v>January</v>
      </c>
    </row>
    <row r="618" spans="1:8">
      <c r="A618" s="3">
        <f t="shared" si="9"/>
        <v>384822.18840526306</v>
      </c>
      <c r="H618" s="5" t="str">
        <f>TEXT(Table34[[#This Row],[Value Date]],"mmmm")</f>
        <v>January</v>
      </c>
    </row>
    <row r="619" spans="1:8">
      <c r="A619" s="3">
        <f t="shared" si="9"/>
        <v>384822.18840526306</v>
      </c>
      <c r="H619" s="5" t="str">
        <f>TEXT(Table34[[#This Row],[Value Date]],"mmmm")</f>
        <v>January</v>
      </c>
    </row>
    <row r="620" spans="1:8">
      <c r="A620" s="3">
        <f t="shared" si="9"/>
        <v>384822.18840526306</v>
      </c>
      <c r="H620" s="5" t="str">
        <f>TEXT(Table34[[#This Row],[Value Date]],"mmmm")</f>
        <v>January</v>
      </c>
    </row>
    <row r="621" spans="1:8">
      <c r="A621" s="3">
        <f t="shared" si="9"/>
        <v>384822.18840526306</v>
      </c>
      <c r="H621" s="5" t="str">
        <f>TEXT(Table34[[#This Row],[Value Date]],"mmmm")</f>
        <v>January</v>
      </c>
    </row>
    <row r="622" spans="1:8">
      <c r="A622" s="3">
        <f t="shared" si="9"/>
        <v>384822.18840526306</v>
      </c>
      <c r="H622" s="5" t="str">
        <f>TEXT(Table34[[#This Row],[Value Date]],"mmmm")</f>
        <v>January</v>
      </c>
    </row>
    <row r="623" spans="1:8">
      <c r="A623" s="3">
        <f t="shared" si="9"/>
        <v>384822.18840526306</v>
      </c>
      <c r="H623" s="5" t="str">
        <f>TEXT(Table34[[#This Row],[Value Date]],"mmmm")</f>
        <v>January</v>
      </c>
    </row>
    <row r="624" spans="1:8">
      <c r="A624" s="3">
        <f t="shared" si="9"/>
        <v>384822.18840526306</v>
      </c>
      <c r="H624" s="5" t="str">
        <f>TEXT(Table34[[#This Row],[Value Date]],"mmmm")</f>
        <v>January</v>
      </c>
    </row>
    <row r="625" spans="1:8">
      <c r="A625" s="3">
        <f t="shared" si="9"/>
        <v>384822.18840526306</v>
      </c>
      <c r="H625" s="5" t="str">
        <f>TEXT(Table34[[#This Row],[Value Date]],"mmmm")</f>
        <v>January</v>
      </c>
    </row>
    <row r="626" spans="1:8">
      <c r="A626" s="3">
        <f t="shared" si="9"/>
        <v>384822.18840526306</v>
      </c>
      <c r="H626" s="5" t="str">
        <f>TEXT(Table34[[#This Row],[Value Date]],"mmmm")</f>
        <v>January</v>
      </c>
    </row>
    <row r="627" spans="1:8">
      <c r="A627" s="3">
        <f t="shared" si="9"/>
        <v>384822.18840526306</v>
      </c>
      <c r="H627" s="5" t="str">
        <f>TEXT(Table34[[#This Row],[Value Date]],"mmmm")</f>
        <v>January</v>
      </c>
    </row>
    <row r="628" spans="1:8">
      <c r="A628" s="3">
        <f t="shared" si="9"/>
        <v>384822.18840526306</v>
      </c>
      <c r="H628" s="5" t="str">
        <f>TEXT(Table34[[#This Row],[Value Date]],"mmmm")</f>
        <v>January</v>
      </c>
    </row>
    <row r="629" spans="1:8">
      <c r="A629" s="3">
        <f t="shared" si="9"/>
        <v>384822.18840526306</v>
      </c>
      <c r="H629" s="5" t="str">
        <f>TEXT(Table34[[#This Row],[Value Date]],"mmmm")</f>
        <v>January</v>
      </c>
    </row>
    <row r="630" spans="1:8">
      <c r="A630" s="3">
        <f t="shared" si="9"/>
        <v>384822.18840526306</v>
      </c>
      <c r="H630" s="5" t="str">
        <f>TEXT(Table34[[#This Row],[Value Date]],"mmmm")</f>
        <v>January</v>
      </c>
    </row>
    <row r="631" spans="1:8">
      <c r="A631" s="3">
        <f t="shared" si="9"/>
        <v>384822.18840526306</v>
      </c>
      <c r="H631" s="5" t="str">
        <f>TEXT(Table34[[#This Row],[Value Date]],"mmmm")</f>
        <v>January</v>
      </c>
    </row>
    <row r="632" spans="1:8">
      <c r="A632" s="3">
        <f t="shared" si="9"/>
        <v>384822.18840526306</v>
      </c>
      <c r="H632" s="5" t="str">
        <f>TEXT(Table34[[#This Row],[Value Date]],"mmmm")</f>
        <v>January</v>
      </c>
    </row>
    <row r="633" spans="1:8">
      <c r="A633" s="3">
        <f t="shared" si="9"/>
        <v>384822.18840526306</v>
      </c>
      <c r="H633" s="5" t="str">
        <f>TEXT(Table34[[#This Row],[Value Date]],"mmmm")</f>
        <v>January</v>
      </c>
    </row>
    <row r="634" spans="1:8">
      <c r="A634" s="3">
        <f t="shared" si="9"/>
        <v>384822.18840526306</v>
      </c>
      <c r="H634" s="5" t="str">
        <f>TEXT(Table34[[#This Row],[Value Date]],"mmmm")</f>
        <v>January</v>
      </c>
    </row>
    <row r="635" spans="1:8">
      <c r="A635" s="3">
        <f t="shared" si="9"/>
        <v>384822.18840526306</v>
      </c>
      <c r="H635" s="5" t="str">
        <f>TEXT(Table34[[#This Row],[Value Date]],"mmmm")</f>
        <v>January</v>
      </c>
    </row>
    <row r="636" spans="1:8">
      <c r="A636" s="3">
        <f t="shared" si="9"/>
        <v>384822.18840526306</v>
      </c>
      <c r="H636" s="5" t="str">
        <f>TEXT(Table34[[#This Row],[Value Date]],"mmmm")</f>
        <v>January</v>
      </c>
    </row>
    <row r="637" spans="1:8">
      <c r="A637" s="3">
        <f t="shared" si="9"/>
        <v>384822.18840526306</v>
      </c>
      <c r="H637" s="5" t="str">
        <f>TEXT(Table34[[#This Row],[Value Date]],"mmmm")</f>
        <v>January</v>
      </c>
    </row>
    <row r="638" spans="1:8">
      <c r="A638" s="3">
        <f t="shared" si="9"/>
        <v>384822.18840526306</v>
      </c>
      <c r="H638" s="5" t="str">
        <f>TEXT(Table34[[#This Row],[Value Date]],"mmmm")</f>
        <v>January</v>
      </c>
    </row>
    <row r="639" spans="1:8">
      <c r="A639" s="3">
        <f t="shared" si="9"/>
        <v>384822.18840526306</v>
      </c>
      <c r="H639" s="5" t="str">
        <f>TEXT(Table34[[#This Row],[Value Date]],"mmmm")</f>
        <v>January</v>
      </c>
    </row>
    <row r="640" spans="1:8">
      <c r="A640" s="3">
        <f t="shared" si="9"/>
        <v>384822.18840526306</v>
      </c>
      <c r="H640" s="5" t="str">
        <f>TEXT(Table34[[#This Row],[Value Date]],"mmmm")</f>
        <v>January</v>
      </c>
    </row>
    <row r="641" spans="1:8">
      <c r="A641" s="3">
        <f t="shared" si="9"/>
        <v>384822.18840526306</v>
      </c>
      <c r="H641" s="5" t="str">
        <f>TEXT(Table34[[#This Row],[Value Date]],"mmmm")</f>
        <v>January</v>
      </c>
    </row>
    <row r="642" spans="1:8">
      <c r="A642" s="3">
        <f t="shared" si="9"/>
        <v>384822.18840526306</v>
      </c>
      <c r="H642" s="5" t="str">
        <f>TEXT(Table34[[#This Row],[Value Date]],"mmmm")</f>
        <v>January</v>
      </c>
    </row>
    <row r="643" spans="1:8">
      <c r="A643" s="3">
        <f t="shared" si="9"/>
        <v>384822.18840526306</v>
      </c>
      <c r="H643" s="5" t="str">
        <f>TEXT(Table34[[#This Row],[Value Date]],"mmmm")</f>
        <v>January</v>
      </c>
    </row>
    <row r="644" spans="1:8">
      <c r="A644" s="3">
        <f t="shared" si="9"/>
        <v>384822.18840526306</v>
      </c>
      <c r="H644" s="5" t="str">
        <f>TEXT(Table34[[#This Row],[Value Date]],"mmmm")</f>
        <v>January</v>
      </c>
    </row>
    <row r="645" spans="1:8">
      <c r="A645" s="3">
        <f t="shared" si="9"/>
        <v>384822.18840526306</v>
      </c>
      <c r="H645" s="5" t="str">
        <f>TEXT(Table34[[#This Row],[Value Date]],"mmmm")</f>
        <v>January</v>
      </c>
    </row>
    <row r="646" spans="1:8">
      <c r="A646" s="3">
        <f t="shared" ref="A646:A709" si="10">A645+B646-C646</f>
        <v>384822.18840526306</v>
      </c>
      <c r="H646" s="5" t="str">
        <f>TEXT(Table34[[#This Row],[Value Date]],"mmmm")</f>
        <v>January</v>
      </c>
    </row>
    <row r="647" spans="1:8">
      <c r="A647" s="3">
        <f t="shared" si="10"/>
        <v>384822.18840526306</v>
      </c>
      <c r="H647" s="5" t="str">
        <f>TEXT(Table34[[#This Row],[Value Date]],"mmmm")</f>
        <v>January</v>
      </c>
    </row>
    <row r="648" spans="1:8">
      <c r="A648" s="3">
        <f t="shared" si="10"/>
        <v>384822.18840526306</v>
      </c>
      <c r="H648" s="5" t="str">
        <f>TEXT(Table34[[#This Row],[Value Date]],"mmmm")</f>
        <v>January</v>
      </c>
    </row>
    <row r="649" spans="1:8">
      <c r="A649" s="3">
        <f t="shared" si="10"/>
        <v>384822.18840526306</v>
      </c>
      <c r="H649" s="5" t="str">
        <f>TEXT(Table34[[#This Row],[Value Date]],"mmmm")</f>
        <v>January</v>
      </c>
    </row>
    <row r="650" spans="1:8">
      <c r="A650" s="3">
        <f t="shared" si="10"/>
        <v>384822.18840526306</v>
      </c>
      <c r="H650" s="5" t="str">
        <f>TEXT(Table34[[#This Row],[Value Date]],"mmmm")</f>
        <v>January</v>
      </c>
    </row>
    <row r="651" spans="1:8">
      <c r="A651" s="3">
        <f t="shared" si="10"/>
        <v>384822.18840526306</v>
      </c>
      <c r="H651" s="5" t="str">
        <f>TEXT(Table34[[#This Row],[Value Date]],"mmmm")</f>
        <v>January</v>
      </c>
    </row>
    <row r="652" spans="1:8">
      <c r="A652" s="3">
        <f t="shared" si="10"/>
        <v>384822.18840526306</v>
      </c>
      <c r="H652" s="5" t="str">
        <f>TEXT(Table34[[#This Row],[Value Date]],"mmmm")</f>
        <v>January</v>
      </c>
    </row>
    <row r="653" spans="1:8">
      <c r="A653" s="3">
        <f t="shared" si="10"/>
        <v>384822.18840526306</v>
      </c>
      <c r="H653" s="5" t="str">
        <f>TEXT(Table34[[#This Row],[Value Date]],"mmmm")</f>
        <v>January</v>
      </c>
    </row>
    <row r="654" spans="1:8">
      <c r="A654" s="3">
        <f t="shared" si="10"/>
        <v>384822.18840526306</v>
      </c>
      <c r="H654" s="5" t="str">
        <f>TEXT(Table34[[#This Row],[Value Date]],"mmmm")</f>
        <v>January</v>
      </c>
    </row>
    <row r="655" spans="1:8">
      <c r="A655" s="3">
        <f t="shared" si="10"/>
        <v>384822.18840526306</v>
      </c>
      <c r="H655" s="5" t="str">
        <f>TEXT(Table34[[#This Row],[Value Date]],"mmmm")</f>
        <v>January</v>
      </c>
    </row>
    <row r="656" spans="1:8">
      <c r="A656" s="3">
        <f t="shared" si="10"/>
        <v>384822.18840526306</v>
      </c>
      <c r="H656" s="5" t="str">
        <f>TEXT(Table34[[#This Row],[Value Date]],"mmmm")</f>
        <v>January</v>
      </c>
    </row>
    <row r="657" spans="1:8">
      <c r="A657" s="3">
        <f t="shared" si="10"/>
        <v>384822.18840526306</v>
      </c>
      <c r="H657" s="5" t="str">
        <f>TEXT(Table34[[#This Row],[Value Date]],"mmmm")</f>
        <v>January</v>
      </c>
    </row>
    <row r="658" spans="1:8">
      <c r="A658" s="3">
        <f t="shared" si="10"/>
        <v>384822.18840526306</v>
      </c>
      <c r="H658" s="5" t="str">
        <f>TEXT(Table34[[#This Row],[Value Date]],"mmmm")</f>
        <v>January</v>
      </c>
    </row>
    <row r="659" spans="1:8">
      <c r="A659" s="3">
        <f t="shared" si="10"/>
        <v>384822.18840526306</v>
      </c>
      <c r="H659" s="5" t="str">
        <f>TEXT(Table34[[#This Row],[Value Date]],"mmmm")</f>
        <v>January</v>
      </c>
    </row>
    <row r="660" spans="1:8">
      <c r="A660" s="3">
        <f t="shared" si="10"/>
        <v>384822.18840526306</v>
      </c>
      <c r="H660" s="5" t="str">
        <f>TEXT(Table34[[#This Row],[Value Date]],"mmmm")</f>
        <v>January</v>
      </c>
    </row>
    <row r="661" spans="1:8">
      <c r="A661" s="3">
        <f t="shared" si="10"/>
        <v>384822.18840526306</v>
      </c>
      <c r="H661" s="5" t="str">
        <f>TEXT(Table34[[#This Row],[Value Date]],"mmmm")</f>
        <v>January</v>
      </c>
    </row>
    <row r="662" spans="1:8">
      <c r="A662" s="3">
        <f t="shared" si="10"/>
        <v>384822.18840526306</v>
      </c>
      <c r="H662" s="5" t="str">
        <f>TEXT(Table34[[#This Row],[Value Date]],"mmmm")</f>
        <v>January</v>
      </c>
    </row>
    <row r="663" spans="1:8">
      <c r="A663" s="3">
        <f t="shared" si="10"/>
        <v>384822.18840526306</v>
      </c>
      <c r="H663" s="5" t="str">
        <f>TEXT(Table34[[#This Row],[Value Date]],"mmmm")</f>
        <v>January</v>
      </c>
    </row>
    <row r="664" spans="1:8">
      <c r="A664" s="3">
        <f t="shared" si="10"/>
        <v>384822.18840526306</v>
      </c>
      <c r="H664" s="5" t="str">
        <f>TEXT(Table34[[#This Row],[Value Date]],"mmmm")</f>
        <v>January</v>
      </c>
    </row>
    <row r="665" spans="1:8">
      <c r="A665" s="3">
        <f t="shared" si="10"/>
        <v>384822.18840526306</v>
      </c>
      <c r="H665" s="5" t="str">
        <f>TEXT(Table34[[#This Row],[Value Date]],"mmmm")</f>
        <v>January</v>
      </c>
    </row>
    <row r="666" spans="1:8">
      <c r="A666" s="3">
        <f t="shared" si="10"/>
        <v>384822.18840526306</v>
      </c>
      <c r="H666" s="5" t="str">
        <f>TEXT(Table34[[#This Row],[Value Date]],"mmmm")</f>
        <v>January</v>
      </c>
    </row>
    <row r="667" spans="1:8">
      <c r="A667" s="3">
        <f t="shared" si="10"/>
        <v>384822.18840526306</v>
      </c>
      <c r="H667" s="5" t="str">
        <f>TEXT(Table34[[#This Row],[Value Date]],"mmmm")</f>
        <v>January</v>
      </c>
    </row>
    <row r="668" spans="1:8">
      <c r="A668" s="3">
        <f t="shared" si="10"/>
        <v>384822.18840526306</v>
      </c>
      <c r="H668" s="5" t="str">
        <f>TEXT(Table34[[#This Row],[Value Date]],"mmmm")</f>
        <v>January</v>
      </c>
    </row>
    <row r="669" spans="1:8">
      <c r="A669" s="3">
        <f t="shared" si="10"/>
        <v>384822.18840526306</v>
      </c>
      <c r="H669" s="5" t="str">
        <f>TEXT(Table34[[#This Row],[Value Date]],"mmmm")</f>
        <v>January</v>
      </c>
    </row>
    <row r="670" spans="1:8">
      <c r="A670" s="3">
        <f t="shared" si="10"/>
        <v>384822.18840526306</v>
      </c>
      <c r="H670" s="5" t="str">
        <f>TEXT(Table34[[#This Row],[Value Date]],"mmmm")</f>
        <v>January</v>
      </c>
    </row>
    <row r="671" spans="1:8">
      <c r="A671" s="3">
        <f t="shared" si="10"/>
        <v>384822.18840526306</v>
      </c>
      <c r="H671" s="5" t="str">
        <f>TEXT(Table34[[#This Row],[Value Date]],"mmmm")</f>
        <v>January</v>
      </c>
    </row>
    <row r="672" spans="1:8">
      <c r="A672" s="3">
        <f t="shared" si="10"/>
        <v>384822.18840526306</v>
      </c>
      <c r="H672" s="5" t="str">
        <f>TEXT(Table34[[#This Row],[Value Date]],"mmmm")</f>
        <v>January</v>
      </c>
    </row>
    <row r="673" spans="1:8">
      <c r="A673" s="3">
        <f t="shared" si="10"/>
        <v>384822.18840526306</v>
      </c>
      <c r="H673" s="5" t="str">
        <f>TEXT(Table34[[#This Row],[Value Date]],"mmmm")</f>
        <v>January</v>
      </c>
    </row>
    <row r="674" spans="1:8">
      <c r="A674" s="3">
        <f t="shared" si="10"/>
        <v>384822.18840526306</v>
      </c>
      <c r="H674" s="5" t="str">
        <f>TEXT(Table34[[#This Row],[Value Date]],"mmmm")</f>
        <v>January</v>
      </c>
    </row>
    <row r="675" spans="1:8">
      <c r="A675" s="3">
        <f t="shared" si="10"/>
        <v>384822.18840526306</v>
      </c>
      <c r="H675" s="5" t="str">
        <f>TEXT(Table34[[#This Row],[Value Date]],"mmmm")</f>
        <v>January</v>
      </c>
    </row>
    <row r="676" spans="1:8">
      <c r="A676" s="3">
        <f t="shared" si="10"/>
        <v>384822.18840526306</v>
      </c>
      <c r="H676" s="5" t="str">
        <f>TEXT(Table34[[#This Row],[Value Date]],"mmmm")</f>
        <v>January</v>
      </c>
    </row>
    <row r="677" spans="1:8">
      <c r="A677" s="3">
        <f t="shared" si="10"/>
        <v>384822.18840526306</v>
      </c>
      <c r="H677" s="5" t="str">
        <f>TEXT(Table34[[#This Row],[Value Date]],"mmmm")</f>
        <v>January</v>
      </c>
    </row>
    <row r="678" spans="1:8">
      <c r="A678" s="3">
        <f t="shared" si="10"/>
        <v>384822.18840526306</v>
      </c>
      <c r="H678" s="5" t="str">
        <f>TEXT(Table34[[#This Row],[Value Date]],"mmmm")</f>
        <v>January</v>
      </c>
    </row>
    <row r="679" spans="1:8">
      <c r="A679" s="3">
        <f t="shared" si="10"/>
        <v>384822.18840526306</v>
      </c>
      <c r="H679" s="5" t="str">
        <f>TEXT(Table34[[#This Row],[Value Date]],"mmmm")</f>
        <v>January</v>
      </c>
    </row>
    <row r="680" spans="1:8">
      <c r="A680" s="3">
        <f t="shared" si="10"/>
        <v>384822.18840526306</v>
      </c>
      <c r="H680" s="5" t="str">
        <f>TEXT(Table34[[#This Row],[Value Date]],"mmmm")</f>
        <v>January</v>
      </c>
    </row>
    <row r="681" spans="1:8">
      <c r="A681" s="3">
        <f t="shared" si="10"/>
        <v>384822.18840526306</v>
      </c>
      <c r="H681" s="5" t="str">
        <f>TEXT(Table34[[#This Row],[Value Date]],"mmmm")</f>
        <v>January</v>
      </c>
    </row>
    <row r="682" spans="1:8">
      <c r="A682" s="3">
        <f t="shared" si="10"/>
        <v>384822.18840526306</v>
      </c>
      <c r="H682" s="5" t="str">
        <f>TEXT(Table34[[#This Row],[Value Date]],"mmmm")</f>
        <v>January</v>
      </c>
    </row>
    <row r="683" spans="1:8">
      <c r="A683" s="3">
        <f t="shared" si="10"/>
        <v>384822.18840526306</v>
      </c>
      <c r="H683" s="5" t="str">
        <f>TEXT(Table34[[#This Row],[Value Date]],"mmmm")</f>
        <v>January</v>
      </c>
    </row>
    <row r="684" spans="1:8">
      <c r="A684" s="3">
        <f t="shared" si="10"/>
        <v>384822.18840526306</v>
      </c>
      <c r="H684" s="5" t="str">
        <f>TEXT(Table34[[#This Row],[Value Date]],"mmmm")</f>
        <v>January</v>
      </c>
    </row>
    <row r="685" spans="1:8">
      <c r="A685" s="3">
        <f t="shared" si="10"/>
        <v>384822.18840526306</v>
      </c>
      <c r="H685" s="5" t="str">
        <f>TEXT(Table34[[#This Row],[Value Date]],"mmmm")</f>
        <v>January</v>
      </c>
    </row>
    <row r="686" spans="1:8">
      <c r="A686" s="3">
        <f t="shared" si="10"/>
        <v>384822.18840526306</v>
      </c>
      <c r="H686" s="5" t="str">
        <f>TEXT(Table34[[#This Row],[Value Date]],"mmmm")</f>
        <v>January</v>
      </c>
    </row>
    <row r="687" spans="1:8">
      <c r="A687" s="3">
        <f t="shared" si="10"/>
        <v>384822.18840526306</v>
      </c>
      <c r="H687" s="5" t="str">
        <f>TEXT(Table34[[#This Row],[Value Date]],"mmmm")</f>
        <v>January</v>
      </c>
    </row>
    <row r="688" spans="1:8">
      <c r="A688" s="3">
        <f t="shared" si="10"/>
        <v>384822.18840526306</v>
      </c>
      <c r="H688" s="5" t="str">
        <f>TEXT(Table34[[#This Row],[Value Date]],"mmmm")</f>
        <v>January</v>
      </c>
    </row>
    <row r="689" spans="1:8">
      <c r="A689" s="3">
        <f t="shared" si="10"/>
        <v>384822.18840526306</v>
      </c>
      <c r="H689" s="5" t="str">
        <f>TEXT(Table34[[#This Row],[Value Date]],"mmmm")</f>
        <v>January</v>
      </c>
    </row>
    <row r="690" spans="1:8">
      <c r="A690" s="3">
        <f t="shared" si="10"/>
        <v>384822.18840526306</v>
      </c>
      <c r="H690" s="5" t="str">
        <f>TEXT(Table34[[#This Row],[Value Date]],"mmmm")</f>
        <v>January</v>
      </c>
    </row>
    <row r="691" spans="1:8">
      <c r="A691" s="3">
        <f t="shared" si="10"/>
        <v>384822.18840526306</v>
      </c>
      <c r="H691" s="5" t="str">
        <f>TEXT(Table34[[#This Row],[Value Date]],"mmmm")</f>
        <v>January</v>
      </c>
    </row>
    <row r="692" spans="1:8">
      <c r="A692" s="3">
        <f t="shared" si="10"/>
        <v>384822.18840526306</v>
      </c>
      <c r="H692" s="5" t="str">
        <f>TEXT(Table34[[#This Row],[Value Date]],"mmmm")</f>
        <v>January</v>
      </c>
    </row>
    <row r="693" spans="1:8">
      <c r="A693" s="3">
        <f t="shared" si="10"/>
        <v>384822.18840526306</v>
      </c>
      <c r="H693" s="5" t="str">
        <f>TEXT(Table34[[#This Row],[Value Date]],"mmmm")</f>
        <v>January</v>
      </c>
    </row>
    <row r="694" spans="1:8">
      <c r="A694" s="3">
        <f t="shared" si="10"/>
        <v>384822.18840526306</v>
      </c>
      <c r="H694" s="5" t="str">
        <f>TEXT(Table34[[#This Row],[Value Date]],"mmmm")</f>
        <v>January</v>
      </c>
    </row>
    <row r="695" spans="1:8">
      <c r="A695" s="3">
        <f t="shared" si="10"/>
        <v>384822.18840526306</v>
      </c>
      <c r="H695" s="5" t="str">
        <f>TEXT(Table34[[#This Row],[Value Date]],"mmmm")</f>
        <v>January</v>
      </c>
    </row>
    <row r="696" spans="1:8">
      <c r="A696" s="3">
        <f t="shared" si="10"/>
        <v>384822.18840526306</v>
      </c>
      <c r="H696" s="5" t="str">
        <f>TEXT(Table34[[#This Row],[Value Date]],"mmmm")</f>
        <v>January</v>
      </c>
    </row>
    <row r="697" spans="1:8">
      <c r="A697" s="3">
        <f t="shared" si="10"/>
        <v>384822.18840526306</v>
      </c>
      <c r="H697" s="5" t="str">
        <f>TEXT(Table34[[#This Row],[Value Date]],"mmmm")</f>
        <v>January</v>
      </c>
    </row>
    <row r="698" spans="1:8">
      <c r="A698" s="3">
        <f t="shared" si="10"/>
        <v>384822.18840526306</v>
      </c>
      <c r="H698" s="5" t="str">
        <f>TEXT(Table34[[#This Row],[Value Date]],"mmmm")</f>
        <v>January</v>
      </c>
    </row>
    <row r="699" spans="1:8">
      <c r="A699" s="3">
        <f t="shared" si="10"/>
        <v>384822.18840526306</v>
      </c>
      <c r="H699" s="5" t="str">
        <f>TEXT(Table34[[#This Row],[Value Date]],"mmmm")</f>
        <v>January</v>
      </c>
    </row>
    <row r="700" spans="1:8">
      <c r="A700" s="3">
        <f t="shared" si="10"/>
        <v>384822.18840526306</v>
      </c>
      <c r="H700" s="5" t="str">
        <f>TEXT(Table34[[#This Row],[Value Date]],"mmmm")</f>
        <v>January</v>
      </c>
    </row>
    <row r="701" spans="1:8">
      <c r="A701" s="3">
        <f t="shared" si="10"/>
        <v>384822.18840526306</v>
      </c>
      <c r="H701" s="5" t="str">
        <f>TEXT(Table34[[#This Row],[Value Date]],"mmmm")</f>
        <v>January</v>
      </c>
    </row>
    <row r="702" spans="1:8">
      <c r="A702" s="3">
        <f t="shared" si="10"/>
        <v>384822.18840526306</v>
      </c>
      <c r="H702" s="5" t="str">
        <f>TEXT(Table34[[#This Row],[Value Date]],"mmmm")</f>
        <v>January</v>
      </c>
    </row>
    <row r="703" spans="1:8">
      <c r="A703" s="3">
        <f t="shared" si="10"/>
        <v>384822.18840526306</v>
      </c>
      <c r="H703" s="5" t="str">
        <f>TEXT(Table34[[#This Row],[Value Date]],"mmmm")</f>
        <v>January</v>
      </c>
    </row>
    <row r="704" spans="1:8">
      <c r="A704" s="3">
        <f t="shared" si="10"/>
        <v>384822.18840526306</v>
      </c>
      <c r="H704" s="5" t="str">
        <f>TEXT(Table34[[#This Row],[Value Date]],"mmmm")</f>
        <v>January</v>
      </c>
    </row>
    <row r="705" spans="1:8">
      <c r="A705" s="3">
        <f t="shared" si="10"/>
        <v>384822.18840526306</v>
      </c>
      <c r="H705" s="5" t="str">
        <f>TEXT(Table34[[#This Row],[Value Date]],"mmmm")</f>
        <v>January</v>
      </c>
    </row>
    <row r="706" spans="1:8">
      <c r="A706" s="3">
        <f t="shared" si="10"/>
        <v>384822.18840526306</v>
      </c>
      <c r="H706" s="5" t="str">
        <f>TEXT(Table34[[#This Row],[Value Date]],"mmmm")</f>
        <v>January</v>
      </c>
    </row>
    <row r="707" spans="1:8">
      <c r="A707" s="3">
        <f t="shared" si="10"/>
        <v>384822.18840526306</v>
      </c>
      <c r="H707" s="5" t="str">
        <f>TEXT(Table34[[#This Row],[Value Date]],"mmmm")</f>
        <v>January</v>
      </c>
    </row>
    <row r="708" spans="1:8">
      <c r="A708" s="3">
        <f t="shared" si="10"/>
        <v>384822.18840526306</v>
      </c>
      <c r="H708" s="5" t="str">
        <f>TEXT(Table34[[#This Row],[Value Date]],"mmmm")</f>
        <v>January</v>
      </c>
    </row>
    <row r="709" spans="1:8">
      <c r="A709" s="3">
        <f t="shared" si="10"/>
        <v>384822.18840526306</v>
      </c>
      <c r="H709" s="5" t="str">
        <f>TEXT(Table34[[#This Row],[Value Date]],"mmmm")</f>
        <v>January</v>
      </c>
    </row>
    <row r="710" spans="1:8">
      <c r="A710" s="3">
        <f t="shared" ref="A710:A773" si="11">A709+B710-C710</f>
        <v>384822.18840526306</v>
      </c>
      <c r="H710" s="5" t="str">
        <f>TEXT(Table34[[#This Row],[Value Date]],"mmmm")</f>
        <v>January</v>
      </c>
    </row>
    <row r="711" spans="1:8">
      <c r="A711" s="3">
        <f t="shared" si="11"/>
        <v>384822.18840526306</v>
      </c>
      <c r="H711" s="5" t="str">
        <f>TEXT(Table34[[#This Row],[Value Date]],"mmmm")</f>
        <v>January</v>
      </c>
    </row>
    <row r="712" spans="1:8">
      <c r="A712" s="3">
        <f t="shared" si="11"/>
        <v>384822.18840526306</v>
      </c>
      <c r="H712" s="5" t="str">
        <f>TEXT(Table34[[#This Row],[Value Date]],"mmmm")</f>
        <v>January</v>
      </c>
    </row>
    <row r="713" spans="1:8">
      <c r="A713" s="3">
        <f t="shared" si="11"/>
        <v>384822.18840526306</v>
      </c>
      <c r="H713" s="5" t="str">
        <f>TEXT(Table34[[#This Row],[Value Date]],"mmmm")</f>
        <v>January</v>
      </c>
    </row>
    <row r="714" spans="1:8">
      <c r="A714" s="3">
        <f t="shared" si="11"/>
        <v>384822.18840526306</v>
      </c>
      <c r="H714" s="5" t="str">
        <f>TEXT(Table34[[#This Row],[Value Date]],"mmmm")</f>
        <v>January</v>
      </c>
    </row>
    <row r="715" spans="1:8">
      <c r="A715" s="3">
        <f t="shared" si="11"/>
        <v>384822.18840526306</v>
      </c>
      <c r="H715" s="5" t="str">
        <f>TEXT(Table34[[#This Row],[Value Date]],"mmmm")</f>
        <v>January</v>
      </c>
    </row>
    <row r="716" spans="1:8">
      <c r="A716" s="3">
        <f t="shared" si="11"/>
        <v>384822.18840526306</v>
      </c>
      <c r="H716" s="5" t="str">
        <f>TEXT(Table34[[#This Row],[Value Date]],"mmmm")</f>
        <v>January</v>
      </c>
    </row>
    <row r="717" spans="1:8">
      <c r="A717" s="3">
        <f t="shared" si="11"/>
        <v>384822.18840526306</v>
      </c>
      <c r="H717" s="5" t="str">
        <f>TEXT(Table34[[#This Row],[Value Date]],"mmmm")</f>
        <v>January</v>
      </c>
    </row>
    <row r="718" spans="1:8">
      <c r="A718" s="3">
        <f t="shared" si="11"/>
        <v>384822.18840526306</v>
      </c>
      <c r="H718" s="5" t="str">
        <f>TEXT(Table34[[#This Row],[Value Date]],"mmmm")</f>
        <v>January</v>
      </c>
    </row>
    <row r="719" spans="1:8">
      <c r="A719" s="3">
        <f t="shared" si="11"/>
        <v>384822.18840526306</v>
      </c>
      <c r="H719" s="5" t="str">
        <f>TEXT(Table34[[#This Row],[Value Date]],"mmmm")</f>
        <v>January</v>
      </c>
    </row>
    <row r="720" spans="1:8">
      <c r="A720" s="3">
        <f t="shared" si="11"/>
        <v>384822.18840526306</v>
      </c>
      <c r="H720" s="5" t="str">
        <f>TEXT(Table34[[#This Row],[Value Date]],"mmmm")</f>
        <v>January</v>
      </c>
    </row>
    <row r="721" spans="1:8">
      <c r="A721" s="3">
        <f t="shared" si="11"/>
        <v>384822.18840526306</v>
      </c>
      <c r="H721" s="5" t="str">
        <f>TEXT(Table34[[#This Row],[Value Date]],"mmmm")</f>
        <v>January</v>
      </c>
    </row>
    <row r="722" spans="1:8">
      <c r="A722" s="3">
        <f t="shared" si="11"/>
        <v>384822.18840526306</v>
      </c>
      <c r="H722" s="5" t="str">
        <f>TEXT(Table34[[#This Row],[Value Date]],"mmmm")</f>
        <v>January</v>
      </c>
    </row>
    <row r="723" spans="1:8">
      <c r="A723" s="3">
        <f t="shared" si="11"/>
        <v>384822.18840526306</v>
      </c>
      <c r="H723" s="5" t="str">
        <f>TEXT(Table34[[#This Row],[Value Date]],"mmmm")</f>
        <v>January</v>
      </c>
    </row>
    <row r="724" spans="1:8">
      <c r="A724" s="3">
        <f t="shared" si="11"/>
        <v>384822.18840526306</v>
      </c>
      <c r="H724" s="5" t="str">
        <f>TEXT(Table34[[#This Row],[Value Date]],"mmmm")</f>
        <v>January</v>
      </c>
    </row>
    <row r="725" spans="1:8">
      <c r="A725" s="3">
        <f t="shared" si="11"/>
        <v>384822.18840526306</v>
      </c>
      <c r="H725" s="5" t="str">
        <f>TEXT(Table34[[#This Row],[Value Date]],"mmmm")</f>
        <v>January</v>
      </c>
    </row>
    <row r="726" spans="1:8">
      <c r="A726" s="3">
        <f t="shared" si="11"/>
        <v>384822.18840526306</v>
      </c>
      <c r="H726" s="5" t="str">
        <f>TEXT(Table34[[#This Row],[Value Date]],"mmmm")</f>
        <v>January</v>
      </c>
    </row>
    <row r="727" spans="1:8">
      <c r="A727" s="3">
        <f t="shared" si="11"/>
        <v>384822.18840526306</v>
      </c>
      <c r="H727" s="5" t="str">
        <f>TEXT(Table34[[#This Row],[Value Date]],"mmmm")</f>
        <v>January</v>
      </c>
    </row>
    <row r="728" spans="1:8">
      <c r="A728" s="3">
        <f t="shared" si="11"/>
        <v>384822.18840526306</v>
      </c>
      <c r="H728" s="5" t="str">
        <f>TEXT(Table34[[#This Row],[Value Date]],"mmmm")</f>
        <v>January</v>
      </c>
    </row>
    <row r="729" spans="1:8">
      <c r="A729" s="3">
        <f t="shared" si="11"/>
        <v>384822.18840526306</v>
      </c>
      <c r="H729" s="5" t="str">
        <f>TEXT(Table34[[#This Row],[Value Date]],"mmmm")</f>
        <v>January</v>
      </c>
    </row>
    <row r="730" spans="1:8">
      <c r="A730" s="3">
        <f t="shared" si="11"/>
        <v>384822.18840526306</v>
      </c>
      <c r="H730" s="5" t="str">
        <f>TEXT(Table34[[#This Row],[Value Date]],"mmmm")</f>
        <v>January</v>
      </c>
    </row>
    <row r="731" spans="1:8">
      <c r="A731" s="3">
        <f t="shared" si="11"/>
        <v>384822.18840526306</v>
      </c>
      <c r="H731" s="5" t="str">
        <f>TEXT(Table34[[#This Row],[Value Date]],"mmmm")</f>
        <v>January</v>
      </c>
    </row>
    <row r="732" spans="1:8">
      <c r="A732" s="3">
        <f t="shared" si="11"/>
        <v>384822.18840526306</v>
      </c>
      <c r="H732" s="5" t="str">
        <f>TEXT(Table34[[#This Row],[Value Date]],"mmmm")</f>
        <v>January</v>
      </c>
    </row>
    <row r="733" spans="1:8">
      <c r="A733" s="3">
        <f t="shared" si="11"/>
        <v>384822.18840526306</v>
      </c>
      <c r="H733" s="5" t="str">
        <f>TEXT(Table34[[#This Row],[Value Date]],"mmmm")</f>
        <v>January</v>
      </c>
    </row>
    <row r="734" spans="1:8">
      <c r="A734" s="3">
        <f t="shared" si="11"/>
        <v>384822.18840526306</v>
      </c>
      <c r="H734" s="5" t="str">
        <f>TEXT(Table34[[#This Row],[Value Date]],"mmmm")</f>
        <v>January</v>
      </c>
    </row>
    <row r="735" spans="1:8">
      <c r="A735" s="3">
        <f t="shared" si="11"/>
        <v>384822.18840526306</v>
      </c>
      <c r="H735" s="5" t="str">
        <f>TEXT(Table34[[#This Row],[Value Date]],"mmmm")</f>
        <v>January</v>
      </c>
    </row>
    <row r="736" spans="1:8">
      <c r="A736" s="3">
        <f t="shared" si="11"/>
        <v>384822.18840526306</v>
      </c>
      <c r="H736" s="5" t="str">
        <f>TEXT(Table34[[#This Row],[Value Date]],"mmmm")</f>
        <v>January</v>
      </c>
    </row>
    <row r="737" spans="1:8">
      <c r="A737" s="3">
        <f t="shared" si="11"/>
        <v>384822.18840526306</v>
      </c>
      <c r="H737" s="5" t="str">
        <f>TEXT(Table34[[#This Row],[Value Date]],"mmmm")</f>
        <v>January</v>
      </c>
    </row>
    <row r="738" spans="1:8">
      <c r="A738" s="3">
        <f t="shared" si="11"/>
        <v>384822.18840526306</v>
      </c>
      <c r="H738" s="5" t="str">
        <f>TEXT(Table34[[#This Row],[Value Date]],"mmmm")</f>
        <v>January</v>
      </c>
    </row>
    <row r="739" spans="1:8">
      <c r="A739" s="3">
        <f t="shared" si="11"/>
        <v>384822.18840526306</v>
      </c>
      <c r="H739" s="5" t="str">
        <f>TEXT(Table34[[#This Row],[Value Date]],"mmmm")</f>
        <v>January</v>
      </c>
    </row>
    <row r="740" spans="1:8">
      <c r="A740" s="3">
        <f t="shared" si="11"/>
        <v>384822.18840526306</v>
      </c>
      <c r="H740" s="5" t="str">
        <f>TEXT(Table34[[#This Row],[Value Date]],"mmmm")</f>
        <v>January</v>
      </c>
    </row>
    <row r="741" spans="1:8">
      <c r="A741" s="3">
        <f t="shared" si="11"/>
        <v>384822.18840526306</v>
      </c>
      <c r="H741" s="5" t="str">
        <f>TEXT(Table34[[#This Row],[Value Date]],"mmmm")</f>
        <v>January</v>
      </c>
    </row>
    <row r="742" spans="1:8">
      <c r="A742" s="3">
        <f t="shared" si="11"/>
        <v>384822.18840526306</v>
      </c>
      <c r="H742" s="5" t="str">
        <f>TEXT(Table34[[#This Row],[Value Date]],"mmmm")</f>
        <v>January</v>
      </c>
    </row>
    <row r="743" spans="1:8">
      <c r="A743" s="3">
        <f t="shared" si="11"/>
        <v>384822.18840526306</v>
      </c>
      <c r="H743" s="5" t="str">
        <f>TEXT(Table34[[#This Row],[Value Date]],"mmmm")</f>
        <v>January</v>
      </c>
    </row>
    <row r="744" spans="1:8">
      <c r="A744" s="3">
        <f t="shared" si="11"/>
        <v>384822.18840526306</v>
      </c>
      <c r="H744" s="5" t="str">
        <f>TEXT(Table34[[#This Row],[Value Date]],"mmmm")</f>
        <v>January</v>
      </c>
    </row>
    <row r="745" spans="1:8">
      <c r="A745" s="3">
        <f t="shared" si="11"/>
        <v>384822.18840526306</v>
      </c>
      <c r="H745" s="5" t="str">
        <f>TEXT(Table34[[#This Row],[Value Date]],"mmmm")</f>
        <v>January</v>
      </c>
    </row>
    <row r="746" spans="1:8">
      <c r="A746" s="3">
        <f t="shared" si="11"/>
        <v>384822.18840526306</v>
      </c>
      <c r="H746" s="5" t="str">
        <f>TEXT(Table34[[#This Row],[Value Date]],"mmmm")</f>
        <v>January</v>
      </c>
    </row>
    <row r="747" spans="1:8">
      <c r="A747" s="3">
        <f t="shared" si="11"/>
        <v>384822.18840526306</v>
      </c>
      <c r="H747" s="5" t="str">
        <f>TEXT(Table34[[#This Row],[Value Date]],"mmmm")</f>
        <v>January</v>
      </c>
    </row>
    <row r="748" spans="1:8">
      <c r="A748" s="3">
        <f t="shared" si="11"/>
        <v>384822.18840526306</v>
      </c>
      <c r="H748" s="5" t="str">
        <f>TEXT(Table34[[#This Row],[Value Date]],"mmmm")</f>
        <v>January</v>
      </c>
    </row>
    <row r="749" spans="1:8">
      <c r="A749" s="3">
        <f t="shared" si="11"/>
        <v>384822.18840526306</v>
      </c>
      <c r="H749" s="5" t="str">
        <f>TEXT(Table34[[#This Row],[Value Date]],"mmmm")</f>
        <v>January</v>
      </c>
    </row>
    <row r="750" spans="1:8">
      <c r="A750" s="3">
        <f t="shared" si="11"/>
        <v>384822.18840526306</v>
      </c>
      <c r="H750" s="5" t="str">
        <f>TEXT(Table34[[#This Row],[Value Date]],"mmmm")</f>
        <v>January</v>
      </c>
    </row>
    <row r="751" spans="1:8">
      <c r="A751" s="3">
        <f t="shared" si="11"/>
        <v>384822.18840526306</v>
      </c>
      <c r="H751" s="5" t="str">
        <f>TEXT(Table34[[#This Row],[Value Date]],"mmmm")</f>
        <v>January</v>
      </c>
    </row>
    <row r="752" spans="1:8">
      <c r="A752" s="3">
        <f t="shared" si="11"/>
        <v>384822.18840526306</v>
      </c>
      <c r="H752" s="5" t="str">
        <f>TEXT(Table34[[#This Row],[Value Date]],"mmmm")</f>
        <v>January</v>
      </c>
    </row>
    <row r="753" spans="1:8">
      <c r="A753" s="3">
        <f t="shared" si="11"/>
        <v>384822.18840526306</v>
      </c>
      <c r="H753" s="5" t="str">
        <f>TEXT(Table34[[#This Row],[Value Date]],"mmmm")</f>
        <v>January</v>
      </c>
    </row>
    <row r="754" spans="1:8">
      <c r="A754" s="3">
        <f t="shared" si="11"/>
        <v>384822.18840526306</v>
      </c>
      <c r="H754" s="5" t="str">
        <f>TEXT(Table34[[#This Row],[Value Date]],"mmmm")</f>
        <v>January</v>
      </c>
    </row>
    <row r="755" spans="1:8">
      <c r="A755" s="3">
        <f t="shared" si="11"/>
        <v>384822.18840526306</v>
      </c>
      <c r="H755" s="5" t="str">
        <f>TEXT(Table34[[#This Row],[Value Date]],"mmmm")</f>
        <v>January</v>
      </c>
    </row>
    <row r="756" spans="1:8">
      <c r="A756" s="3">
        <f t="shared" si="11"/>
        <v>384822.18840526306</v>
      </c>
      <c r="H756" s="5" t="str">
        <f>TEXT(Table34[[#This Row],[Value Date]],"mmmm")</f>
        <v>January</v>
      </c>
    </row>
    <row r="757" spans="1:8">
      <c r="A757" s="3">
        <f t="shared" si="11"/>
        <v>384822.18840526306</v>
      </c>
      <c r="H757" s="5" t="str">
        <f>TEXT(Table34[[#This Row],[Value Date]],"mmmm")</f>
        <v>January</v>
      </c>
    </row>
    <row r="758" spans="1:8">
      <c r="A758" s="3">
        <f t="shared" si="11"/>
        <v>384822.18840526306</v>
      </c>
      <c r="H758" s="5" t="str">
        <f>TEXT(Table34[[#This Row],[Value Date]],"mmmm")</f>
        <v>January</v>
      </c>
    </row>
    <row r="759" spans="1:8">
      <c r="A759" s="3">
        <f t="shared" si="11"/>
        <v>384822.18840526306</v>
      </c>
      <c r="H759" s="5" t="str">
        <f>TEXT(Table34[[#This Row],[Value Date]],"mmmm")</f>
        <v>January</v>
      </c>
    </row>
    <row r="760" spans="1:8">
      <c r="A760" s="3">
        <f t="shared" si="11"/>
        <v>384822.18840526306</v>
      </c>
      <c r="H760" s="5" t="str">
        <f>TEXT(Table34[[#This Row],[Value Date]],"mmmm")</f>
        <v>January</v>
      </c>
    </row>
    <row r="761" spans="1:8">
      <c r="A761" s="3">
        <f t="shared" si="11"/>
        <v>384822.18840526306</v>
      </c>
      <c r="H761" s="5" t="str">
        <f>TEXT(Table34[[#This Row],[Value Date]],"mmmm")</f>
        <v>January</v>
      </c>
    </row>
    <row r="762" spans="1:8">
      <c r="A762" s="3">
        <f t="shared" si="11"/>
        <v>384822.18840526306</v>
      </c>
      <c r="H762" s="5" t="str">
        <f>TEXT(Table34[[#This Row],[Value Date]],"mmmm")</f>
        <v>January</v>
      </c>
    </row>
    <row r="763" spans="1:8">
      <c r="A763" s="3">
        <f t="shared" si="11"/>
        <v>384822.18840526306</v>
      </c>
      <c r="H763" s="5" t="str">
        <f>TEXT(Table34[[#This Row],[Value Date]],"mmmm")</f>
        <v>January</v>
      </c>
    </row>
    <row r="764" spans="1:8">
      <c r="A764" s="3">
        <f t="shared" si="11"/>
        <v>384822.18840526306</v>
      </c>
      <c r="H764" s="5" t="str">
        <f>TEXT(Table34[[#This Row],[Value Date]],"mmmm")</f>
        <v>January</v>
      </c>
    </row>
    <row r="765" spans="1:8">
      <c r="A765" s="3">
        <f t="shared" si="11"/>
        <v>384822.18840526306</v>
      </c>
      <c r="H765" s="5" t="str">
        <f>TEXT(Table34[[#This Row],[Value Date]],"mmmm")</f>
        <v>January</v>
      </c>
    </row>
    <row r="766" spans="1:8">
      <c r="A766" s="3">
        <f t="shared" si="11"/>
        <v>384822.18840526306</v>
      </c>
      <c r="H766" s="5" t="str">
        <f>TEXT(Table34[[#This Row],[Value Date]],"mmmm")</f>
        <v>January</v>
      </c>
    </row>
    <row r="767" spans="1:8">
      <c r="A767" s="3">
        <f t="shared" si="11"/>
        <v>384822.18840526306</v>
      </c>
      <c r="H767" s="5" t="str">
        <f>TEXT(Table34[[#This Row],[Value Date]],"mmmm")</f>
        <v>January</v>
      </c>
    </row>
    <row r="768" spans="1:8">
      <c r="A768" s="3">
        <f t="shared" si="11"/>
        <v>384822.18840526306</v>
      </c>
      <c r="H768" s="5" t="str">
        <f>TEXT(Table34[[#This Row],[Value Date]],"mmmm")</f>
        <v>January</v>
      </c>
    </row>
    <row r="769" spans="1:8">
      <c r="A769" s="3">
        <f t="shared" si="11"/>
        <v>384822.18840526306</v>
      </c>
      <c r="H769" s="5" t="str">
        <f>TEXT(Table34[[#This Row],[Value Date]],"mmmm")</f>
        <v>January</v>
      </c>
    </row>
    <row r="770" spans="1:8">
      <c r="A770" s="3">
        <f t="shared" si="11"/>
        <v>384822.18840526306</v>
      </c>
      <c r="H770" s="5" t="str">
        <f>TEXT(Table34[[#This Row],[Value Date]],"mmmm")</f>
        <v>January</v>
      </c>
    </row>
    <row r="771" spans="1:8">
      <c r="A771" s="3">
        <f t="shared" si="11"/>
        <v>384822.18840526306</v>
      </c>
      <c r="H771" s="5" t="str">
        <f>TEXT(Table34[[#This Row],[Value Date]],"mmmm")</f>
        <v>January</v>
      </c>
    </row>
    <row r="772" spans="1:8">
      <c r="A772" s="3">
        <f t="shared" si="11"/>
        <v>384822.18840526306</v>
      </c>
      <c r="H772" s="5" t="str">
        <f>TEXT(Table34[[#This Row],[Value Date]],"mmmm")</f>
        <v>January</v>
      </c>
    </row>
    <row r="773" spans="1:8">
      <c r="A773" s="3">
        <f t="shared" si="11"/>
        <v>384822.18840526306</v>
      </c>
      <c r="H773" s="5" t="str">
        <f>TEXT(Table34[[#This Row],[Value Date]],"mmmm")</f>
        <v>January</v>
      </c>
    </row>
    <row r="774" spans="1:8">
      <c r="A774" s="3">
        <f t="shared" ref="A774:A837" si="12">A773+B774-C774</f>
        <v>384822.18840526306</v>
      </c>
      <c r="H774" s="5" t="str">
        <f>TEXT(Table34[[#This Row],[Value Date]],"mmmm")</f>
        <v>January</v>
      </c>
    </row>
    <row r="775" spans="1:8">
      <c r="A775" s="3">
        <f t="shared" si="12"/>
        <v>384822.18840526306</v>
      </c>
      <c r="H775" s="5" t="str">
        <f>TEXT(Table34[[#This Row],[Value Date]],"mmmm")</f>
        <v>January</v>
      </c>
    </row>
    <row r="776" spans="1:8">
      <c r="A776" s="3">
        <f t="shared" si="12"/>
        <v>384822.18840526306</v>
      </c>
      <c r="H776" s="5" t="str">
        <f>TEXT(Table34[[#This Row],[Value Date]],"mmmm")</f>
        <v>January</v>
      </c>
    </row>
    <row r="777" spans="1:8">
      <c r="A777" s="3">
        <f t="shared" si="12"/>
        <v>384822.18840526306</v>
      </c>
      <c r="H777" s="5" t="str">
        <f>TEXT(Table34[[#This Row],[Value Date]],"mmmm")</f>
        <v>January</v>
      </c>
    </row>
    <row r="778" spans="1:8">
      <c r="A778" s="3">
        <f t="shared" si="12"/>
        <v>384822.18840526306</v>
      </c>
      <c r="H778" s="5" t="str">
        <f>TEXT(Table34[[#This Row],[Value Date]],"mmmm")</f>
        <v>January</v>
      </c>
    </row>
    <row r="779" spans="1:8">
      <c r="A779" s="3">
        <f t="shared" si="12"/>
        <v>384822.18840526306</v>
      </c>
      <c r="H779" s="5" t="str">
        <f>TEXT(Table34[[#This Row],[Value Date]],"mmmm")</f>
        <v>January</v>
      </c>
    </row>
    <row r="780" spans="1:8">
      <c r="A780" s="3">
        <f t="shared" si="12"/>
        <v>384822.18840526306</v>
      </c>
      <c r="H780" s="5" t="str">
        <f>TEXT(Table34[[#This Row],[Value Date]],"mmmm")</f>
        <v>January</v>
      </c>
    </row>
    <row r="781" spans="1:8">
      <c r="A781" s="3">
        <f t="shared" si="12"/>
        <v>384822.18840526306</v>
      </c>
      <c r="H781" s="5" t="str">
        <f>TEXT(Table34[[#This Row],[Value Date]],"mmmm")</f>
        <v>January</v>
      </c>
    </row>
    <row r="782" spans="1:8">
      <c r="A782" s="3">
        <f t="shared" si="12"/>
        <v>384822.18840526306</v>
      </c>
      <c r="H782" s="5" t="str">
        <f>TEXT(Table34[[#This Row],[Value Date]],"mmmm")</f>
        <v>January</v>
      </c>
    </row>
    <row r="783" spans="1:8">
      <c r="A783" s="3">
        <f t="shared" si="12"/>
        <v>384822.18840526306</v>
      </c>
      <c r="H783" s="5" t="str">
        <f>TEXT(Table34[[#This Row],[Value Date]],"mmmm")</f>
        <v>January</v>
      </c>
    </row>
    <row r="784" spans="1:8">
      <c r="A784" s="3">
        <f t="shared" si="12"/>
        <v>384822.18840526306</v>
      </c>
      <c r="H784" s="5" t="str">
        <f>TEXT(Table34[[#This Row],[Value Date]],"mmmm")</f>
        <v>January</v>
      </c>
    </row>
    <row r="785" spans="1:8">
      <c r="A785" s="3">
        <f t="shared" si="12"/>
        <v>384822.18840526306</v>
      </c>
      <c r="H785" s="5" t="str">
        <f>TEXT(Table34[[#This Row],[Value Date]],"mmmm")</f>
        <v>January</v>
      </c>
    </row>
    <row r="786" spans="1:8">
      <c r="A786" s="3">
        <f t="shared" si="12"/>
        <v>384822.18840526306</v>
      </c>
      <c r="H786" s="5" t="str">
        <f>TEXT(Table34[[#This Row],[Value Date]],"mmmm")</f>
        <v>January</v>
      </c>
    </row>
    <row r="787" spans="1:8">
      <c r="A787" s="3">
        <f t="shared" si="12"/>
        <v>384822.18840526306</v>
      </c>
      <c r="H787" s="5" t="str">
        <f>TEXT(Table34[[#This Row],[Value Date]],"mmmm")</f>
        <v>January</v>
      </c>
    </row>
    <row r="788" spans="1:8">
      <c r="A788" s="3">
        <f t="shared" si="12"/>
        <v>384822.18840526306</v>
      </c>
      <c r="H788" s="5" t="str">
        <f>TEXT(Table34[[#This Row],[Value Date]],"mmmm")</f>
        <v>January</v>
      </c>
    </row>
    <row r="789" spans="1:8">
      <c r="A789" s="3">
        <f t="shared" si="12"/>
        <v>384822.18840526306</v>
      </c>
      <c r="H789" s="5" t="str">
        <f>TEXT(Table34[[#This Row],[Value Date]],"mmmm")</f>
        <v>January</v>
      </c>
    </row>
    <row r="790" spans="1:8">
      <c r="A790" s="3">
        <f t="shared" si="12"/>
        <v>384822.18840526306</v>
      </c>
      <c r="H790" s="5" t="str">
        <f>TEXT(Table34[[#This Row],[Value Date]],"mmmm")</f>
        <v>January</v>
      </c>
    </row>
    <row r="791" spans="1:8">
      <c r="A791" s="3">
        <f t="shared" si="12"/>
        <v>384822.18840526306</v>
      </c>
      <c r="H791" s="5" t="str">
        <f>TEXT(Table34[[#This Row],[Value Date]],"mmmm")</f>
        <v>January</v>
      </c>
    </row>
    <row r="792" spans="1:8">
      <c r="A792" s="3">
        <f t="shared" si="12"/>
        <v>384822.18840526306</v>
      </c>
      <c r="H792" s="5" t="str">
        <f>TEXT(Table34[[#This Row],[Value Date]],"mmmm")</f>
        <v>January</v>
      </c>
    </row>
    <row r="793" spans="1:8">
      <c r="A793" s="3">
        <f t="shared" si="12"/>
        <v>384822.18840526306</v>
      </c>
      <c r="H793" s="5" t="str">
        <f>TEXT(Table34[[#This Row],[Value Date]],"mmmm")</f>
        <v>January</v>
      </c>
    </row>
    <row r="794" spans="1:8">
      <c r="A794" s="3">
        <f t="shared" si="12"/>
        <v>384822.18840526306</v>
      </c>
      <c r="H794" s="5" t="str">
        <f>TEXT(Table34[[#This Row],[Value Date]],"mmmm")</f>
        <v>January</v>
      </c>
    </row>
    <row r="795" spans="1:8">
      <c r="A795" s="3">
        <f t="shared" si="12"/>
        <v>384822.18840526306</v>
      </c>
      <c r="H795" s="5" t="str">
        <f>TEXT(Table34[[#This Row],[Value Date]],"mmmm")</f>
        <v>January</v>
      </c>
    </row>
    <row r="796" spans="1:8">
      <c r="A796" s="3">
        <f t="shared" si="12"/>
        <v>384822.18840526306</v>
      </c>
      <c r="H796" s="5" t="str">
        <f>TEXT(Table34[[#This Row],[Value Date]],"mmmm")</f>
        <v>January</v>
      </c>
    </row>
    <row r="797" spans="1:8">
      <c r="A797" s="3">
        <f t="shared" si="12"/>
        <v>384822.18840526306</v>
      </c>
      <c r="H797" s="5" t="str">
        <f>TEXT(Table34[[#This Row],[Value Date]],"mmmm")</f>
        <v>January</v>
      </c>
    </row>
    <row r="798" spans="1:8">
      <c r="A798" s="3">
        <f t="shared" si="12"/>
        <v>384822.18840526306</v>
      </c>
      <c r="H798" s="5" t="str">
        <f>TEXT(Table34[[#This Row],[Value Date]],"mmmm")</f>
        <v>January</v>
      </c>
    </row>
    <row r="799" spans="1:8">
      <c r="A799" s="3">
        <f t="shared" si="12"/>
        <v>384822.18840526306</v>
      </c>
      <c r="H799" s="5" t="str">
        <f>TEXT(Table34[[#This Row],[Value Date]],"mmmm")</f>
        <v>January</v>
      </c>
    </row>
    <row r="800" spans="1:8">
      <c r="A800" s="3">
        <f t="shared" si="12"/>
        <v>384822.18840526306</v>
      </c>
      <c r="H800" s="5" t="str">
        <f>TEXT(Table34[[#This Row],[Value Date]],"mmmm")</f>
        <v>January</v>
      </c>
    </row>
    <row r="801" spans="1:8">
      <c r="A801" s="3">
        <f t="shared" si="12"/>
        <v>384822.18840526306</v>
      </c>
      <c r="H801" s="5" t="str">
        <f>TEXT(Table34[[#This Row],[Value Date]],"mmmm")</f>
        <v>January</v>
      </c>
    </row>
    <row r="802" spans="1:8">
      <c r="A802" s="3">
        <f t="shared" si="12"/>
        <v>384822.18840526306</v>
      </c>
      <c r="H802" s="5" t="str">
        <f>TEXT(Table34[[#This Row],[Value Date]],"mmmm")</f>
        <v>January</v>
      </c>
    </row>
    <row r="803" spans="1:8">
      <c r="A803" s="3">
        <f t="shared" si="12"/>
        <v>384822.18840526306</v>
      </c>
      <c r="H803" s="5" t="str">
        <f>TEXT(Table34[[#This Row],[Value Date]],"mmmm")</f>
        <v>January</v>
      </c>
    </row>
    <row r="804" spans="1:8">
      <c r="A804" s="3">
        <f t="shared" si="12"/>
        <v>384822.18840526306</v>
      </c>
      <c r="H804" s="5" t="str">
        <f>TEXT(Table34[[#This Row],[Value Date]],"mmmm")</f>
        <v>January</v>
      </c>
    </row>
    <row r="805" spans="1:8">
      <c r="A805" s="3">
        <f t="shared" si="12"/>
        <v>384822.18840526306</v>
      </c>
      <c r="H805" s="5" t="str">
        <f>TEXT(Table34[[#This Row],[Value Date]],"mmmm")</f>
        <v>January</v>
      </c>
    </row>
    <row r="806" spans="1:8">
      <c r="A806" s="3">
        <f t="shared" si="12"/>
        <v>384822.18840526306</v>
      </c>
      <c r="H806" s="5" t="str">
        <f>TEXT(Table34[[#This Row],[Value Date]],"mmmm")</f>
        <v>January</v>
      </c>
    </row>
    <row r="807" spans="1:8">
      <c r="A807" s="3">
        <f t="shared" si="12"/>
        <v>384822.18840526306</v>
      </c>
      <c r="H807" s="5" t="str">
        <f>TEXT(Table34[[#This Row],[Value Date]],"mmmm")</f>
        <v>January</v>
      </c>
    </row>
    <row r="808" spans="1:8">
      <c r="A808" s="3">
        <f t="shared" si="12"/>
        <v>384822.18840526306</v>
      </c>
      <c r="H808" s="5" t="str">
        <f>TEXT(Table34[[#This Row],[Value Date]],"mmmm")</f>
        <v>January</v>
      </c>
    </row>
    <row r="809" spans="1:8">
      <c r="A809" s="3">
        <f t="shared" si="12"/>
        <v>384822.18840526306</v>
      </c>
      <c r="H809" s="5" t="str">
        <f>TEXT(Table34[[#This Row],[Value Date]],"mmmm")</f>
        <v>January</v>
      </c>
    </row>
    <row r="810" spans="1:8">
      <c r="A810" s="3">
        <f t="shared" si="12"/>
        <v>384822.18840526306</v>
      </c>
      <c r="H810" s="5" t="str">
        <f>TEXT(Table34[[#This Row],[Value Date]],"mmmm")</f>
        <v>January</v>
      </c>
    </row>
    <row r="811" spans="1:8">
      <c r="A811" s="3">
        <f t="shared" si="12"/>
        <v>384822.18840526306</v>
      </c>
      <c r="H811" s="5" t="str">
        <f>TEXT(Table34[[#This Row],[Value Date]],"mmmm")</f>
        <v>January</v>
      </c>
    </row>
    <row r="812" spans="1:8">
      <c r="A812" s="3">
        <f t="shared" si="12"/>
        <v>384822.18840526306</v>
      </c>
      <c r="H812" s="5" t="str">
        <f>TEXT(Table34[[#This Row],[Value Date]],"mmmm")</f>
        <v>January</v>
      </c>
    </row>
    <row r="813" spans="1:8">
      <c r="A813" s="3">
        <f t="shared" si="12"/>
        <v>384822.18840526306</v>
      </c>
      <c r="H813" s="5" t="str">
        <f>TEXT(Table34[[#This Row],[Value Date]],"mmmm")</f>
        <v>January</v>
      </c>
    </row>
    <row r="814" spans="1:8">
      <c r="A814" s="3">
        <f t="shared" si="12"/>
        <v>384822.18840526306</v>
      </c>
      <c r="H814" s="5" t="str">
        <f>TEXT(Table34[[#This Row],[Value Date]],"mmmm")</f>
        <v>January</v>
      </c>
    </row>
    <row r="815" spans="1:8">
      <c r="A815" s="3">
        <f t="shared" si="12"/>
        <v>384822.18840526306</v>
      </c>
      <c r="H815" s="5" t="str">
        <f>TEXT(Table34[[#This Row],[Value Date]],"mmmm")</f>
        <v>January</v>
      </c>
    </row>
    <row r="816" spans="1:8">
      <c r="A816" s="3">
        <f t="shared" si="12"/>
        <v>384822.18840526306</v>
      </c>
      <c r="H816" s="5" t="str">
        <f>TEXT(Table34[[#This Row],[Value Date]],"mmmm")</f>
        <v>January</v>
      </c>
    </row>
    <row r="817" spans="1:8">
      <c r="A817" s="3">
        <f t="shared" si="12"/>
        <v>384822.18840526306</v>
      </c>
      <c r="H817" s="5" t="str">
        <f>TEXT(Table34[[#This Row],[Value Date]],"mmmm")</f>
        <v>January</v>
      </c>
    </row>
    <row r="818" spans="1:8">
      <c r="A818" s="3">
        <f t="shared" si="12"/>
        <v>384822.18840526306</v>
      </c>
      <c r="H818" s="5" t="str">
        <f>TEXT(Table34[[#This Row],[Value Date]],"mmmm")</f>
        <v>January</v>
      </c>
    </row>
    <row r="819" spans="1:8">
      <c r="A819" s="3">
        <f t="shared" si="12"/>
        <v>384822.18840526306</v>
      </c>
      <c r="H819" s="5" t="str">
        <f>TEXT(Table34[[#This Row],[Value Date]],"mmmm")</f>
        <v>January</v>
      </c>
    </row>
    <row r="820" spans="1:8">
      <c r="A820" s="3">
        <f t="shared" si="12"/>
        <v>384822.18840526306</v>
      </c>
      <c r="H820" s="5" t="str">
        <f>TEXT(Table34[[#This Row],[Value Date]],"mmmm")</f>
        <v>January</v>
      </c>
    </row>
    <row r="821" spans="1:8">
      <c r="A821" s="3">
        <f t="shared" si="12"/>
        <v>384822.18840526306</v>
      </c>
      <c r="H821" s="5" t="str">
        <f>TEXT(Table34[[#This Row],[Value Date]],"mmmm")</f>
        <v>January</v>
      </c>
    </row>
    <row r="822" spans="1:8">
      <c r="A822" s="3">
        <f t="shared" si="12"/>
        <v>384822.18840526306</v>
      </c>
      <c r="H822" s="5" t="str">
        <f>TEXT(Table34[[#This Row],[Value Date]],"mmmm")</f>
        <v>January</v>
      </c>
    </row>
    <row r="823" spans="1:8">
      <c r="A823" s="3">
        <f t="shared" si="12"/>
        <v>384822.18840526306</v>
      </c>
      <c r="H823" s="5" t="str">
        <f>TEXT(Table34[[#This Row],[Value Date]],"mmmm")</f>
        <v>January</v>
      </c>
    </row>
    <row r="824" spans="1:8">
      <c r="A824" s="3">
        <f t="shared" si="12"/>
        <v>384822.18840526306</v>
      </c>
      <c r="H824" s="5" t="str">
        <f>TEXT(Table34[[#This Row],[Value Date]],"mmmm")</f>
        <v>January</v>
      </c>
    </row>
    <row r="825" spans="1:8">
      <c r="A825" s="3">
        <f t="shared" si="12"/>
        <v>384822.18840526306</v>
      </c>
      <c r="H825" s="5" t="str">
        <f>TEXT(Table34[[#This Row],[Value Date]],"mmmm")</f>
        <v>January</v>
      </c>
    </row>
    <row r="826" spans="1:8">
      <c r="A826" s="3">
        <f t="shared" si="12"/>
        <v>384822.18840526306</v>
      </c>
      <c r="H826" s="5" t="str">
        <f>TEXT(Table34[[#This Row],[Value Date]],"mmmm")</f>
        <v>January</v>
      </c>
    </row>
    <row r="827" spans="1:8">
      <c r="A827" s="3">
        <f t="shared" si="12"/>
        <v>384822.18840526306</v>
      </c>
      <c r="H827" s="5" t="str">
        <f>TEXT(Table34[[#This Row],[Value Date]],"mmmm")</f>
        <v>January</v>
      </c>
    </row>
    <row r="828" spans="1:8">
      <c r="A828" s="3">
        <f t="shared" si="12"/>
        <v>384822.18840526306</v>
      </c>
      <c r="H828" s="5" t="str">
        <f>TEXT(Table34[[#This Row],[Value Date]],"mmmm")</f>
        <v>January</v>
      </c>
    </row>
    <row r="829" spans="1:8">
      <c r="A829" s="3">
        <f t="shared" si="12"/>
        <v>384822.18840526306</v>
      </c>
      <c r="H829" s="5" t="str">
        <f>TEXT(Table34[[#This Row],[Value Date]],"mmmm")</f>
        <v>January</v>
      </c>
    </row>
    <row r="830" spans="1:8">
      <c r="A830" s="3">
        <f t="shared" si="12"/>
        <v>384822.18840526306</v>
      </c>
      <c r="H830" s="5" t="str">
        <f>TEXT(Table34[[#This Row],[Value Date]],"mmmm")</f>
        <v>January</v>
      </c>
    </row>
    <row r="831" spans="1:8">
      <c r="A831" s="3">
        <f t="shared" si="12"/>
        <v>384822.18840526306</v>
      </c>
      <c r="H831" s="5" t="str">
        <f>TEXT(Table34[[#This Row],[Value Date]],"mmmm")</f>
        <v>January</v>
      </c>
    </row>
    <row r="832" spans="1:8">
      <c r="A832" s="3">
        <f t="shared" si="12"/>
        <v>384822.18840526306</v>
      </c>
      <c r="H832" s="5" t="str">
        <f>TEXT(Table34[[#This Row],[Value Date]],"mmmm")</f>
        <v>January</v>
      </c>
    </row>
    <row r="833" spans="1:8">
      <c r="A833" s="3">
        <f t="shared" si="12"/>
        <v>384822.18840526306</v>
      </c>
      <c r="H833" s="5" t="str">
        <f>TEXT(Table34[[#This Row],[Value Date]],"mmmm")</f>
        <v>January</v>
      </c>
    </row>
    <row r="834" spans="1:8">
      <c r="A834" s="3">
        <f t="shared" si="12"/>
        <v>384822.18840526306</v>
      </c>
      <c r="H834" s="5" t="str">
        <f>TEXT(Table34[[#This Row],[Value Date]],"mmmm")</f>
        <v>January</v>
      </c>
    </row>
    <row r="835" spans="1:8">
      <c r="A835" s="3">
        <f t="shared" si="12"/>
        <v>384822.18840526306</v>
      </c>
      <c r="H835" s="5" t="str">
        <f>TEXT(Table34[[#This Row],[Value Date]],"mmmm")</f>
        <v>January</v>
      </c>
    </row>
    <row r="836" spans="1:8">
      <c r="A836" s="3">
        <f t="shared" si="12"/>
        <v>384822.18840526306</v>
      </c>
      <c r="H836" s="5" t="str">
        <f>TEXT(Table34[[#This Row],[Value Date]],"mmmm")</f>
        <v>January</v>
      </c>
    </row>
    <row r="837" spans="1:8">
      <c r="A837" s="3">
        <f t="shared" si="12"/>
        <v>384822.18840526306</v>
      </c>
      <c r="H837" s="5" t="str">
        <f>TEXT(Table34[[#This Row],[Value Date]],"mmmm")</f>
        <v>January</v>
      </c>
    </row>
    <row r="838" spans="1:8">
      <c r="A838" s="3">
        <f t="shared" ref="A838:A854" si="13">A837+B838-C838</f>
        <v>384822.18840526306</v>
      </c>
      <c r="H838" s="5" t="str">
        <f>TEXT(Table34[[#This Row],[Value Date]],"mmmm")</f>
        <v>January</v>
      </c>
    </row>
    <row r="839" spans="1:8">
      <c r="A839" s="3">
        <f t="shared" si="13"/>
        <v>384822.18840526306</v>
      </c>
      <c r="H839" s="5" t="str">
        <f>TEXT(Table34[[#This Row],[Value Date]],"mmmm")</f>
        <v>January</v>
      </c>
    </row>
    <row r="840" spans="1:8">
      <c r="A840" s="3">
        <f t="shared" si="13"/>
        <v>384822.18840526306</v>
      </c>
      <c r="H840" s="5" t="str">
        <f>TEXT(Table34[[#This Row],[Value Date]],"mmmm")</f>
        <v>January</v>
      </c>
    </row>
    <row r="841" spans="1:8">
      <c r="A841" s="3">
        <f t="shared" si="13"/>
        <v>384822.18840526306</v>
      </c>
      <c r="H841" s="5" t="str">
        <f>TEXT(Table34[[#This Row],[Value Date]],"mmmm")</f>
        <v>January</v>
      </c>
    </row>
    <row r="842" spans="1:8">
      <c r="A842" s="3">
        <f t="shared" si="13"/>
        <v>384822.18840526306</v>
      </c>
      <c r="H842" s="5" t="str">
        <f>TEXT(Table34[[#This Row],[Value Date]],"mmmm")</f>
        <v>January</v>
      </c>
    </row>
    <row r="843" spans="1:8">
      <c r="A843" s="3">
        <f t="shared" si="13"/>
        <v>384822.18840526306</v>
      </c>
      <c r="H843" s="5" t="str">
        <f>TEXT(Table34[[#This Row],[Value Date]],"mmmm")</f>
        <v>January</v>
      </c>
    </row>
    <row r="844" spans="1:8">
      <c r="A844" s="3">
        <f t="shared" si="13"/>
        <v>384822.18840526306</v>
      </c>
      <c r="H844" s="5" t="str">
        <f>TEXT(Table34[[#This Row],[Value Date]],"mmmm")</f>
        <v>January</v>
      </c>
    </row>
    <row r="845" spans="1:8">
      <c r="A845" s="3">
        <f t="shared" si="13"/>
        <v>384822.18840526306</v>
      </c>
      <c r="H845" s="5" t="str">
        <f>TEXT(Table34[[#This Row],[Value Date]],"mmmm")</f>
        <v>January</v>
      </c>
    </row>
    <row r="846" spans="1:8">
      <c r="A846" s="3">
        <f t="shared" si="13"/>
        <v>384822.18840526306</v>
      </c>
      <c r="H846" s="5" t="str">
        <f>TEXT(Table34[[#This Row],[Value Date]],"mmmm")</f>
        <v>January</v>
      </c>
    </row>
    <row r="847" spans="1:8">
      <c r="A847" s="3">
        <f t="shared" si="13"/>
        <v>384822.18840526306</v>
      </c>
      <c r="H847" s="5" t="str">
        <f>TEXT(Table34[[#This Row],[Value Date]],"mmmm")</f>
        <v>January</v>
      </c>
    </row>
    <row r="848" spans="1:8">
      <c r="A848" s="3">
        <f t="shared" si="13"/>
        <v>384822.18840526306</v>
      </c>
      <c r="H848" s="5" t="str">
        <f>TEXT(Table34[[#This Row],[Value Date]],"mmmm")</f>
        <v>January</v>
      </c>
    </row>
    <row r="849" spans="1:12">
      <c r="A849" s="3">
        <f t="shared" si="13"/>
        <v>384822.18840526306</v>
      </c>
      <c r="H849" s="5" t="str">
        <f>TEXT(Table34[[#This Row],[Value Date]],"mmmm")</f>
        <v>January</v>
      </c>
    </row>
    <row r="850" spans="1:12">
      <c r="A850" s="3">
        <f t="shared" si="13"/>
        <v>384822.18840526306</v>
      </c>
      <c r="H850" s="5" t="str">
        <f>TEXT(Table34[[#This Row],[Value Date]],"mmmm")</f>
        <v>January</v>
      </c>
    </row>
    <row r="851" spans="1:12">
      <c r="A851" s="3">
        <f t="shared" si="13"/>
        <v>384822.18840526306</v>
      </c>
      <c r="H851" s="5" t="str">
        <f>TEXT(Table34[[#This Row],[Value Date]],"mmmm")</f>
        <v>January</v>
      </c>
    </row>
    <row r="852" spans="1:12">
      <c r="A852" s="3">
        <f t="shared" si="13"/>
        <v>384822.18840526306</v>
      </c>
      <c r="H852" s="5" t="str">
        <f>TEXT(Table34[[#This Row],[Value Date]],"mmmm")</f>
        <v>January</v>
      </c>
    </row>
    <row r="853" spans="1:12">
      <c r="A853" s="3">
        <f t="shared" si="13"/>
        <v>384822.18840526306</v>
      </c>
      <c r="H853" s="5" t="str">
        <f>TEXT(Table34[[#This Row],[Value Date]],"mmmm")</f>
        <v>January</v>
      </c>
    </row>
    <row r="854" spans="1:12">
      <c r="A854" s="3">
        <f t="shared" si="13"/>
        <v>384822.18840526306</v>
      </c>
      <c r="B854" s="12"/>
      <c r="C854" s="12"/>
      <c r="D854" s="13"/>
      <c r="E854" s="13"/>
      <c r="F854" s="13"/>
      <c r="G854" s="14" t="s">
        <v>33</v>
      </c>
      <c r="H854" s="14" t="str">
        <f>TEXT(Table34[[#This Row],[Value Date]],"mmmm")</f>
        <v>January</v>
      </c>
      <c r="I854" s="13"/>
      <c r="J854" s="13"/>
      <c r="K854" s="15"/>
      <c r="L854" s="15"/>
    </row>
    <row r="856" spans="1:12" s="15" customFormat="1">
      <c r="A856" s="3"/>
      <c r="B856" s="3"/>
      <c r="C856" s="3"/>
      <c r="D856" s="4"/>
      <c r="E856" s="4"/>
      <c r="F856" s="4"/>
      <c r="G856" s="5"/>
      <c r="H856" s="5"/>
      <c r="I856" s="4"/>
      <c r="J856" s="4"/>
      <c r="K856" s="4"/>
      <c r="L856" s="4"/>
    </row>
  </sheetData>
  <phoneticPr fontId="14" type="noConversion"/>
  <pageMargins left="0.7" right="0.7" top="0.75" bottom="0.75" header="0.3" footer="0.3"/>
  <pageSetup paperSize="9" scale="23" orientation="portrait" r:id="rId1"/>
  <rowBreaks count="2" manualBreakCount="2">
    <brk id="239" max="9" man="1"/>
    <brk id="365" max="9" man="1"/>
  </rowBreak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A55DE-B628-41F2-8655-4EF517B99AEE}">
  <sheetPr codeName="Sheet21"/>
  <dimension ref="A1:K440"/>
  <sheetViews>
    <sheetView workbookViewId="0"/>
  </sheetViews>
  <sheetFormatPr defaultRowHeight="22.5"/>
  <cols>
    <col min="1" max="1" width="25.5703125" style="3" bestFit="1" customWidth="1"/>
    <col min="2" max="2" width="19.28515625" style="3" bestFit="1" customWidth="1"/>
    <col min="3" max="3" width="22.28515625" style="3" bestFit="1" customWidth="1"/>
    <col min="4" max="4" width="17.140625" style="4" bestFit="1" customWidth="1"/>
    <col min="5" max="5" width="24.5703125" style="4" bestFit="1" customWidth="1"/>
    <col min="6" max="6" width="23" style="4" bestFit="1" customWidth="1"/>
    <col min="7" max="7" width="163" style="5" customWidth="1"/>
    <col min="8" max="8" width="20.5703125" style="5" customWidth="1"/>
    <col min="9" max="9" width="39.85546875" style="4" bestFit="1" customWidth="1"/>
    <col min="10" max="10" width="16.42578125" style="4" bestFit="1" customWidth="1"/>
    <col min="11" max="16384" width="9.140625" style="4"/>
  </cols>
  <sheetData>
    <row r="1" spans="1:11" ht="97.5" customHeight="1">
      <c r="A1" s="215">
        <f>A439</f>
        <v>153740</v>
      </c>
    </row>
    <row r="2" spans="1:11" ht="38.25" customHeight="1">
      <c r="A2" s="6" t="s">
        <v>15</v>
      </c>
      <c r="B2" s="6" t="s">
        <v>16</v>
      </c>
      <c r="C2" s="6" t="s">
        <v>17</v>
      </c>
      <c r="D2" s="7" t="s">
        <v>18</v>
      </c>
      <c r="E2" s="7" t="s">
        <v>19</v>
      </c>
      <c r="F2" s="7" t="s">
        <v>20</v>
      </c>
      <c r="G2" s="7" t="s">
        <v>21</v>
      </c>
      <c r="H2" s="7"/>
      <c r="I2" s="7"/>
      <c r="J2" s="8"/>
    </row>
    <row r="3" spans="1:11" ht="38.25" customHeight="1">
      <c r="A3" s="6" t="s">
        <v>22</v>
      </c>
      <c r="B3" s="6" t="s">
        <v>23</v>
      </c>
      <c r="C3" s="6" t="s">
        <v>24</v>
      </c>
      <c r="D3" s="7" t="s">
        <v>25</v>
      </c>
      <c r="E3" s="7" t="s">
        <v>26</v>
      </c>
      <c r="F3" s="7" t="s">
        <v>27</v>
      </c>
      <c r="G3" s="7" t="s">
        <v>28</v>
      </c>
      <c r="H3" s="7" t="s">
        <v>1</v>
      </c>
      <c r="I3" s="7" t="s">
        <v>29</v>
      </c>
      <c r="J3" s="7" t="s">
        <v>30</v>
      </c>
      <c r="K3" s="9" t="s">
        <v>31</v>
      </c>
    </row>
    <row r="4" spans="1:11">
      <c r="A4" s="3">
        <f>B4</f>
        <v>0</v>
      </c>
      <c r="B4" s="3">
        <v>0</v>
      </c>
      <c r="G4" s="5" t="s">
        <v>303</v>
      </c>
      <c r="H4" s="5" t="str">
        <f>TEXT(Table316[[#This Row],[Value Date]],"mmmm")</f>
        <v>January</v>
      </c>
      <c r="I4" s="4" t="s">
        <v>303</v>
      </c>
      <c r="J4" s="4" t="s">
        <v>303</v>
      </c>
    </row>
    <row r="5" spans="1:11">
      <c r="A5" s="3">
        <f>A4+B5-C5</f>
        <v>5000</v>
      </c>
      <c r="B5" s="3">
        <v>5000</v>
      </c>
      <c r="C5" s="216"/>
      <c r="F5" s="185"/>
      <c r="H5" s="5" t="str">
        <f>TEXT(Table316[[#This Row],[Value Date]],"mmmm")</f>
        <v>January</v>
      </c>
      <c r="I5" s="4" t="s">
        <v>306</v>
      </c>
      <c r="J5" s="4" t="s">
        <v>307</v>
      </c>
    </row>
    <row r="6" spans="1:11">
      <c r="A6" s="3">
        <f t="shared" ref="A6:A70" si="0">A5+B6-C6</f>
        <v>4980</v>
      </c>
      <c r="C6" s="217">
        <v>20</v>
      </c>
      <c r="H6" s="5" t="str">
        <f>TEXT(Table316[[#This Row],[Value Date]],"mmmm")</f>
        <v>January</v>
      </c>
    </row>
    <row r="7" spans="1:11">
      <c r="A7" s="3">
        <f t="shared" si="0"/>
        <v>4960</v>
      </c>
      <c r="B7" s="217"/>
      <c r="C7" s="3">
        <v>20</v>
      </c>
      <c r="H7" s="5" t="str">
        <f>TEXT(Table316[[#This Row],[Value Date]],"mmmm")</f>
        <v>January</v>
      </c>
    </row>
    <row r="8" spans="1:11">
      <c r="A8" s="3">
        <f t="shared" si="0"/>
        <v>4940</v>
      </c>
      <c r="C8" s="217">
        <v>20</v>
      </c>
      <c r="H8" s="5" t="str">
        <f>TEXT(Table316[[#This Row],[Value Date]],"mmmm")</f>
        <v>January</v>
      </c>
    </row>
    <row r="9" spans="1:11">
      <c r="A9" s="3">
        <f t="shared" si="0"/>
        <v>4820</v>
      </c>
      <c r="B9" s="217"/>
      <c r="C9" s="3">
        <v>120</v>
      </c>
      <c r="H9" s="5" t="str">
        <f>TEXT(Table316[[#This Row],[Value Date]],"mmmm")</f>
        <v>January</v>
      </c>
    </row>
    <row r="10" spans="1:11">
      <c r="A10" s="3">
        <f t="shared" si="0"/>
        <v>4360</v>
      </c>
      <c r="C10" s="217">
        <v>460</v>
      </c>
      <c r="H10" s="5" t="str">
        <f>TEXT(Table316[[#This Row],[Value Date]],"mmmm")</f>
        <v>January</v>
      </c>
    </row>
    <row r="11" spans="1:11">
      <c r="A11" s="3">
        <f t="shared" si="0"/>
        <v>5360</v>
      </c>
      <c r="B11" s="3">
        <v>1000</v>
      </c>
      <c r="C11" s="217"/>
      <c r="H11" s="5" t="str">
        <f>TEXT(Table316[[#This Row],[Value Date]],"mmmm")</f>
        <v>January</v>
      </c>
    </row>
    <row r="12" spans="1:11">
      <c r="A12" s="3">
        <f t="shared" si="0"/>
        <v>104345</v>
      </c>
      <c r="B12" s="3">
        <v>98985</v>
      </c>
      <c r="C12" s="217"/>
      <c r="H12" s="5" t="str">
        <f>TEXT(Table316[[#This Row],[Value Date]],"mmmm")</f>
        <v>January</v>
      </c>
    </row>
    <row r="13" spans="1:11">
      <c r="A13" s="3">
        <f t="shared" si="0"/>
        <v>103970</v>
      </c>
      <c r="B13" s="217"/>
      <c r="C13" s="3">
        <v>375</v>
      </c>
      <c r="H13" s="5" t="str">
        <f>TEXT(Table316[[#This Row],[Value Date]],"mmmm")</f>
        <v>January</v>
      </c>
    </row>
    <row r="14" spans="1:11">
      <c r="A14" s="3">
        <f t="shared" si="0"/>
        <v>103950</v>
      </c>
      <c r="C14" s="217">
        <v>20</v>
      </c>
      <c r="H14" s="5" t="str">
        <f>TEXT(Table316[[#This Row],[Value Date]],"mmmm")</f>
        <v>January</v>
      </c>
    </row>
    <row r="15" spans="1:11">
      <c r="A15" s="3">
        <f t="shared" si="0"/>
        <v>103875</v>
      </c>
      <c r="B15" s="205"/>
      <c r="C15" s="205">
        <v>75</v>
      </c>
      <c r="H15" s="5" t="str">
        <f>TEXT(Table316[[#This Row],[Value Date]],"mmmm")</f>
        <v>January</v>
      </c>
    </row>
    <row r="16" spans="1:11">
      <c r="A16" s="3">
        <f t="shared" si="0"/>
        <v>203875</v>
      </c>
      <c r="B16" s="3">
        <v>100000</v>
      </c>
      <c r="C16" s="217"/>
      <c r="H16" s="5" t="str">
        <f>TEXT(Table316[[#This Row],[Value Date]],"mmmm")</f>
        <v>January</v>
      </c>
    </row>
    <row r="17" spans="1:8">
      <c r="A17" s="3">
        <f t="shared" si="0"/>
        <v>403875</v>
      </c>
      <c r="B17" s="217">
        <v>200000</v>
      </c>
      <c r="H17" s="5" t="str">
        <f>TEXT(Table316[[#This Row],[Value Date]],"mmmm")</f>
        <v>January</v>
      </c>
    </row>
    <row r="18" spans="1:8">
      <c r="A18" s="3">
        <f t="shared" si="0"/>
        <v>203875</v>
      </c>
      <c r="C18" s="217">
        <v>200000</v>
      </c>
      <c r="H18" s="5" t="str">
        <f>TEXT(Table316[[#This Row],[Value Date]],"mmmm")</f>
        <v>January</v>
      </c>
    </row>
    <row r="19" spans="1:8">
      <c r="A19" s="3">
        <f t="shared" si="0"/>
        <v>3875</v>
      </c>
      <c r="C19" s="217">
        <v>200000</v>
      </c>
      <c r="H19" s="5" t="str">
        <f>TEXT(Table316[[#This Row],[Value Date]],"mmmm")</f>
        <v>January</v>
      </c>
    </row>
    <row r="20" spans="1:8">
      <c r="A20" s="3">
        <f t="shared" si="0"/>
        <v>3855</v>
      </c>
      <c r="C20" s="217">
        <v>20</v>
      </c>
      <c r="H20" s="5" t="str">
        <f>TEXT(Table316[[#This Row],[Value Date]],"mmmm")</f>
        <v>January</v>
      </c>
    </row>
    <row r="21" spans="1:8">
      <c r="A21" s="3">
        <f t="shared" si="0"/>
        <v>3815</v>
      </c>
      <c r="C21" s="217">
        <v>40</v>
      </c>
      <c r="H21" s="5" t="str">
        <f>TEXT(Table316[[#This Row],[Value Date]],"mmmm")</f>
        <v>January</v>
      </c>
    </row>
    <row r="22" spans="1:8">
      <c r="A22" s="3">
        <f t="shared" si="0"/>
        <v>3740</v>
      </c>
      <c r="C22" s="3">
        <v>75</v>
      </c>
      <c r="H22" s="5" t="str">
        <f>TEXT(Table316[[#This Row],[Value Date]],"mmmm")</f>
        <v>January</v>
      </c>
    </row>
    <row r="23" spans="1:8">
      <c r="A23" s="3">
        <f t="shared" si="0"/>
        <v>253740</v>
      </c>
      <c r="B23" s="3">
        <v>250000</v>
      </c>
      <c r="C23" s="217"/>
      <c r="H23" s="5" t="str">
        <f>TEXT(Table316[[#This Row],[Value Date]],"mmmm")</f>
        <v>January</v>
      </c>
    </row>
    <row r="24" spans="1:8">
      <c r="A24" s="3">
        <f t="shared" si="0"/>
        <v>403740</v>
      </c>
      <c r="B24" s="217">
        <v>150000</v>
      </c>
      <c r="H24" s="5" t="str">
        <f>TEXT(Table316[[#This Row],[Value Date]],"mmmm")</f>
        <v>January</v>
      </c>
    </row>
    <row r="25" spans="1:8">
      <c r="A25" s="3">
        <f t="shared" si="0"/>
        <v>153740</v>
      </c>
      <c r="C25" s="217">
        <v>250000</v>
      </c>
      <c r="H25" s="5" t="str">
        <f>TEXT(Table316[[#This Row],[Value Date]],"mmmm")</f>
        <v>January</v>
      </c>
    </row>
    <row r="26" spans="1:8">
      <c r="A26" s="3">
        <f t="shared" si="0"/>
        <v>153740</v>
      </c>
      <c r="C26" s="217"/>
      <c r="H26" s="5" t="str">
        <f>TEXT(Table316[[#This Row],[Value Date]],"mmmm")</f>
        <v>January</v>
      </c>
    </row>
    <row r="27" spans="1:8">
      <c r="A27" s="3">
        <f t="shared" si="0"/>
        <v>153740</v>
      </c>
      <c r="C27" s="216"/>
      <c r="H27" s="5" t="str">
        <f>TEXT(Table316[[#This Row],[Value Date]],"mmmm")</f>
        <v>January</v>
      </c>
    </row>
    <row r="28" spans="1:8">
      <c r="A28" s="3">
        <f t="shared" si="0"/>
        <v>153740</v>
      </c>
      <c r="B28" s="217"/>
      <c r="H28" s="5" t="str">
        <f>TEXT(Table316[[#This Row],[Value Date]],"mmmm")</f>
        <v>January</v>
      </c>
    </row>
    <row r="29" spans="1:8">
      <c r="A29" s="3">
        <f t="shared" si="0"/>
        <v>153740</v>
      </c>
      <c r="C29" s="217"/>
      <c r="H29" s="5" t="str">
        <f>TEXT(Table316[[#This Row],[Value Date]],"mmmm")</f>
        <v>January</v>
      </c>
    </row>
    <row r="30" spans="1:8">
      <c r="A30" s="3">
        <f t="shared" si="0"/>
        <v>153740</v>
      </c>
      <c r="C30" s="217"/>
      <c r="H30" s="5" t="str">
        <f>TEXT(Table316[[#This Row],[Value Date]],"mmmm")</f>
        <v>January</v>
      </c>
    </row>
    <row r="31" spans="1:8">
      <c r="A31" s="3">
        <f t="shared" si="0"/>
        <v>153740</v>
      </c>
      <c r="B31" s="217"/>
      <c r="H31" s="5" t="str">
        <f>TEXT(Table316[[#This Row],[Value Date]],"mmmm")</f>
        <v>January</v>
      </c>
    </row>
    <row r="32" spans="1:8">
      <c r="A32" s="3">
        <f t="shared" si="0"/>
        <v>153740</v>
      </c>
      <c r="B32" s="217"/>
      <c r="H32" s="5" t="str">
        <f>TEXT(Table316[[#This Row],[Value Date]],"mmmm")</f>
        <v>January</v>
      </c>
    </row>
    <row r="33" spans="1:8">
      <c r="A33" s="3">
        <f t="shared" si="0"/>
        <v>153740</v>
      </c>
      <c r="C33" s="217"/>
      <c r="H33" s="5" t="str">
        <f>TEXT(Table316[[#This Row],[Value Date]],"mmmm")</f>
        <v>January</v>
      </c>
    </row>
    <row r="34" spans="1:8">
      <c r="A34" s="3">
        <f t="shared" si="0"/>
        <v>153740</v>
      </c>
      <c r="C34" s="217"/>
      <c r="H34" s="5" t="str">
        <f>TEXT(Table316[[#This Row],[Value Date]],"mmmm")</f>
        <v>January</v>
      </c>
    </row>
    <row r="35" spans="1:8">
      <c r="A35" s="3">
        <f t="shared" si="0"/>
        <v>153740</v>
      </c>
      <c r="C35" s="217"/>
      <c r="H35" s="5" t="str">
        <f>TEXT(Table316[[#This Row],[Value Date]],"mmmm")</f>
        <v>January</v>
      </c>
    </row>
    <row r="36" spans="1:8">
      <c r="A36" s="3">
        <f t="shared" si="0"/>
        <v>153740</v>
      </c>
      <c r="C36" s="217"/>
      <c r="H36" s="5" t="str">
        <f>TEXT(Table316[[#This Row],[Value Date]],"mmmm")</f>
        <v>January</v>
      </c>
    </row>
    <row r="37" spans="1:8">
      <c r="A37" s="3">
        <f t="shared" si="0"/>
        <v>153740</v>
      </c>
      <c r="C37" s="217"/>
      <c r="H37" s="5" t="str">
        <f>TEXT(Table316[[#This Row],[Value Date]],"mmmm")</f>
        <v>January</v>
      </c>
    </row>
    <row r="38" spans="1:8">
      <c r="A38" s="3">
        <f t="shared" si="0"/>
        <v>153740</v>
      </c>
      <c r="C38" s="217"/>
      <c r="H38" s="5" t="str">
        <f>TEXT(Table316[[#This Row],[Value Date]],"mmmm")</f>
        <v>January</v>
      </c>
    </row>
    <row r="39" spans="1:8">
      <c r="A39" s="3">
        <f t="shared" si="0"/>
        <v>153740</v>
      </c>
      <c r="C39" s="217"/>
      <c r="H39" s="5" t="str">
        <f>TEXT(Table316[[#This Row],[Value Date]],"mmmm")</f>
        <v>January</v>
      </c>
    </row>
    <row r="40" spans="1:8">
      <c r="A40" s="3">
        <f t="shared" si="0"/>
        <v>153740</v>
      </c>
      <c r="C40" s="217"/>
      <c r="H40" s="5" t="str">
        <f>TEXT(Table316[[#This Row],[Value Date]],"mmmm")</f>
        <v>January</v>
      </c>
    </row>
    <row r="41" spans="1:8">
      <c r="A41" s="3">
        <f t="shared" si="0"/>
        <v>153740</v>
      </c>
      <c r="C41" s="217"/>
      <c r="H41" s="5" t="str">
        <f>TEXT(Table316[[#This Row],[Value Date]],"mmmm")</f>
        <v>January</v>
      </c>
    </row>
    <row r="42" spans="1:8">
      <c r="A42" s="3">
        <f t="shared" si="0"/>
        <v>153740</v>
      </c>
      <c r="C42" s="217"/>
      <c r="H42" s="5" t="str">
        <f>TEXT(Table316[[#This Row],[Value Date]],"mmmm")</f>
        <v>January</v>
      </c>
    </row>
    <row r="43" spans="1:8">
      <c r="A43" s="3">
        <f t="shared" si="0"/>
        <v>153740</v>
      </c>
      <c r="C43" s="216"/>
      <c r="H43" s="5" t="str">
        <f>TEXT(Table316[[#This Row],[Value Date]],"mmmm")</f>
        <v>January</v>
      </c>
    </row>
    <row r="44" spans="1:8">
      <c r="A44" s="3">
        <f t="shared" si="0"/>
        <v>153740</v>
      </c>
      <c r="C44" s="216"/>
      <c r="H44" s="5" t="str">
        <f>TEXT(Table316[[#This Row],[Value Date]],"mmmm")</f>
        <v>January</v>
      </c>
    </row>
    <row r="45" spans="1:8">
      <c r="A45" s="3">
        <f t="shared" si="0"/>
        <v>153740</v>
      </c>
      <c r="C45" s="216"/>
      <c r="H45" s="5" t="str">
        <f>TEXT(Table316[[#This Row],[Value Date]],"mmmm")</f>
        <v>January</v>
      </c>
    </row>
    <row r="46" spans="1:8">
      <c r="A46" s="3">
        <f t="shared" si="0"/>
        <v>153740</v>
      </c>
      <c r="C46" s="216"/>
      <c r="H46" s="5" t="str">
        <f>TEXT(Table316[[#This Row],[Value Date]],"mmmm")</f>
        <v>January</v>
      </c>
    </row>
    <row r="47" spans="1:8">
      <c r="A47" s="3">
        <f t="shared" si="0"/>
        <v>153740</v>
      </c>
      <c r="C47" s="217"/>
      <c r="H47" s="5" t="str">
        <f>TEXT(Table316[[#This Row],[Value Date]],"mmmm")</f>
        <v>January</v>
      </c>
    </row>
    <row r="48" spans="1:8">
      <c r="A48" s="3">
        <f t="shared" si="0"/>
        <v>153740</v>
      </c>
      <c r="H48" s="5" t="str">
        <f>TEXT(Table316[[#This Row],[Value Date]],"mmmm")</f>
        <v>January</v>
      </c>
    </row>
    <row r="49" spans="1:8">
      <c r="A49" s="3">
        <f t="shared" si="0"/>
        <v>153740</v>
      </c>
      <c r="B49" s="217"/>
      <c r="H49" s="5" t="str">
        <f>TEXT(Table316[[#This Row],[Value Date]],"mmmm")</f>
        <v>January</v>
      </c>
    </row>
    <row r="50" spans="1:8">
      <c r="A50" s="3">
        <f t="shared" si="0"/>
        <v>153740</v>
      </c>
      <c r="B50" s="217"/>
      <c r="H50" s="5" t="str">
        <f>TEXT(Table316[[#This Row],[Value Date]],"mmmm")</f>
        <v>January</v>
      </c>
    </row>
    <row r="51" spans="1:8">
      <c r="A51" s="3">
        <f t="shared" si="0"/>
        <v>153740</v>
      </c>
      <c r="C51" s="217"/>
      <c r="H51" s="5" t="str">
        <f>TEXT(Table316[[#This Row],[Value Date]],"mmmm")</f>
        <v>January</v>
      </c>
    </row>
    <row r="52" spans="1:8">
      <c r="A52" s="3">
        <f t="shared" si="0"/>
        <v>153740</v>
      </c>
      <c r="C52" s="217"/>
      <c r="H52" s="5" t="str">
        <f>TEXT(Table316[[#This Row],[Value Date]],"mmmm")</f>
        <v>January</v>
      </c>
    </row>
    <row r="53" spans="1:8">
      <c r="A53" s="3">
        <f t="shared" si="0"/>
        <v>153740</v>
      </c>
      <c r="B53" s="217"/>
      <c r="H53" s="5" t="str">
        <f>TEXT(Table316[[#This Row],[Value Date]],"mmmm")</f>
        <v>January</v>
      </c>
    </row>
    <row r="54" spans="1:8">
      <c r="A54" s="3">
        <f t="shared" si="0"/>
        <v>153740</v>
      </c>
      <c r="C54" s="217"/>
      <c r="H54" s="5" t="str">
        <f>TEXT(Table316[[#This Row],[Value Date]],"mmmm")</f>
        <v>January</v>
      </c>
    </row>
    <row r="55" spans="1:8">
      <c r="A55" s="3">
        <f t="shared" si="0"/>
        <v>153740</v>
      </c>
      <c r="C55" s="217"/>
      <c r="H55" s="5" t="str">
        <f>TEXT(Table316[[#This Row],[Value Date]],"mmmm")</f>
        <v>January</v>
      </c>
    </row>
    <row r="56" spans="1:8">
      <c r="A56" s="3">
        <f t="shared" si="0"/>
        <v>153740</v>
      </c>
      <c r="C56" s="217"/>
      <c r="H56" s="5" t="str">
        <f>TEXT(Table316[[#This Row],[Value Date]],"mmmm")</f>
        <v>January</v>
      </c>
    </row>
    <row r="57" spans="1:8">
      <c r="A57" s="3">
        <f t="shared" si="0"/>
        <v>153740</v>
      </c>
      <c r="C57" s="217"/>
      <c r="H57" s="5" t="str">
        <f>TEXT(Table316[[#This Row],[Value Date]],"mmmm")</f>
        <v>January</v>
      </c>
    </row>
    <row r="58" spans="1:8" s="224" customFormat="1">
      <c r="A58" s="3">
        <f t="shared" si="0"/>
        <v>153740</v>
      </c>
      <c r="B58" s="223"/>
      <c r="C58" s="254"/>
      <c r="G58" s="225"/>
      <c r="H58" s="225" t="str">
        <f>TEXT(Table316[[#This Row],[Value Date]],"mmmm")</f>
        <v>January</v>
      </c>
    </row>
    <row r="59" spans="1:8">
      <c r="A59" s="3">
        <f t="shared" si="0"/>
        <v>153740</v>
      </c>
      <c r="C59" s="217"/>
      <c r="H59" s="5" t="str">
        <f>TEXT(Table316[[#This Row],[Value Date]],"mmmm")</f>
        <v>January</v>
      </c>
    </row>
    <row r="60" spans="1:8">
      <c r="A60" s="3">
        <f t="shared" si="0"/>
        <v>153740</v>
      </c>
      <c r="C60" s="217"/>
      <c r="H60" s="5" t="str">
        <f>TEXT(Table316[[#This Row],[Value Date]],"mmmm")</f>
        <v>January</v>
      </c>
    </row>
    <row r="61" spans="1:8">
      <c r="A61" s="3">
        <f t="shared" si="0"/>
        <v>153740</v>
      </c>
      <c r="C61" s="217"/>
      <c r="H61" s="5" t="str">
        <f>TEXT(Table316[[#This Row],[Value Date]],"mmmm")</f>
        <v>January</v>
      </c>
    </row>
    <row r="62" spans="1:8">
      <c r="A62" s="3">
        <f t="shared" si="0"/>
        <v>153740</v>
      </c>
      <c r="C62" s="217"/>
      <c r="H62" s="5" t="str">
        <f>TEXT(Table316[[#This Row],[Value Date]],"mmmm")</f>
        <v>January</v>
      </c>
    </row>
    <row r="63" spans="1:8">
      <c r="A63" s="3">
        <f t="shared" si="0"/>
        <v>153740</v>
      </c>
      <c r="C63" s="217"/>
      <c r="H63" s="5" t="str">
        <f>TEXT(Table316[[#This Row],[Value Date]],"mmmm")</f>
        <v>January</v>
      </c>
    </row>
    <row r="64" spans="1:8">
      <c r="A64" s="3">
        <f t="shared" si="0"/>
        <v>153740</v>
      </c>
      <c r="B64" s="217"/>
      <c r="H64" s="5" t="str">
        <f>TEXT(Table316[[#This Row],[Value Date]],"mmmm")</f>
        <v>January</v>
      </c>
    </row>
    <row r="65" spans="1:8">
      <c r="A65" s="3">
        <f t="shared" si="0"/>
        <v>153740</v>
      </c>
      <c r="C65" s="217"/>
      <c r="H65" s="5" t="str">
        <f>TEXT(Table316[[#This Row],[Value Date]],"mmmm")</f>
        <v>January</v>
      </c>
    </row>
    <row r="66" spans="1:8">
      <c r="A66" s="3">
        <f t="shared" si="0"/>
        <v>153740</v>
      </c>
      <c r="C66" s="217"/>
      <c r="H66" s="5" t="str">
        <f>TEXT(Table316[[#This Row],[Value Date]],"mmmm")</f>
        <v>January</v>
      </c>
    </row>
    <row r="67" spans="1:8">
      <c r="A67" s="3">
        <f t="shared" si="0"/>
        <v>153740</v>
      </c>
      <c r="C67" s="217"/>
      <c r="H67" s="5" t="str">
        <f>TEXT(Table316[[#This Row],[Value Date]],"mmmm")</f>
        <v>January</v>
      </c>
    </row>
    <row r="68" spans="1:8">
      <c r="A68" s="3">
        <f t="shared" si="0"/>
        <v>153740</v>
      </c>
      <c r="C68" s="217"/>
      <c r="H68" s="5" t="str">
        <f>TEXT(Table316[[#This Row],[Value Date]],"mmmm")</f>
        <v>January</v>
      </c>
    </row>
    <row r="69" spans="1:8">
      <c r="A69" s="3">
        <f t="shared" si="0"/>
        <v>153740</v>
      </c>
      <c r="C69" s="217"/>
      <c r="H69" s="5" t="str">
        <f>TEXT(Table316[[#This Row],[Value Date]],"mmmm")</f>
        <v>January</v>
      </c>
    </row>
    <row r="70" spans="1:8">
      <c r="A70" s="3">
        <f t="shared" si="0"/>
        <v>153740</v>
      </c>
      <c r="C70" s="217"/>
      <c r="H70" s="5" t="str">
        <f>TEXT(Table316[[#This Row],[Value Date]],"mmmm")</f>
        <v>January</v>
      </c>
    </row>
    <row r="71" spans="1:8">
      <c r="A71" s="3">
        <f t="shared" ref="A71:A134" si="1">A70+B71-C71</f>
        <v>153740</v>
      </c>
      <c r="C71" s="217"/>
      <c r="F71" s="158"/>
      <c r="H71" s="5" t="str">
        <f>TEXT(Table316[[#This Row],[Value Date]],"mmmm")</f>
        <v>January</v>
      </c>
    </row>
    <row r="72" spans="1:8">
      <c r="A72" s="3">
        <f t="shared" si="1"/>
        <v>153740</v>
      </c>
      <c r="C72" s="217"/>
      <c r="F72" s="158"/>
      <c r="H72" s="5" t="str">
        <f>TEXT(Table316[[#This Row],[Value Date]],"mmmm")</f>
        <v>January</v>
      </c>
    </row>
    <row r="73" spans="1:8">
      <c r="A73" s="3">
        <f t="shared" si="1"/>
        <v>153740</v>
      </c>
      <c r="B73" s="217"/>
      <c r="H73" s="5" t="str">
        <f>TEXT(Table316[[#This Row],[Value Date]],"mmmm")</f>
        <v>January</v>
      </c>
    </row>
    <row r="74" spans="1:8">
      <c r="A74" s="3">
        <f t="shared" si="1"/>
        <v>153740</v>
      </c>
      <c r="C74" s="217"/>
      <c r="H74" s="5" t="str">
        <f>TEXT(Table316[[#This Row],[Value Date]],"mmmm")</f>
        <v>January</v>
      </c>
    </row>
    <row r="75" spans="1:8">
      <c r="A75" s="3">
        <f t="shared" si="1"/>
        <v>153740</v>
      </c>
      <c r="C75" s="217"/>
      <c r="H75" s="5" t="str">
        <f>TEXT(Table316[[#This Row],[Value Date]],"mmmm")</f>
        <v>January</v>
      </c>
    </row>
    <row r="76" spans="1:8">
      <c r="A76" s="3">
        <f t="shared" si="1"/>
        <v>153740</v>
      </c>
      <c r="C76" s="217"/>
      <c r="H76" s="5" t="str">
        <f>TEXT(Table316[[#This Row],[Value Date]],"mmmm")</f>
        <v>January</v>
      </c>
    </row>
    <row r="77" spans="1:8">
      <c r="A77" s="3">
        <f t="shared" si="1"/>
        <v>153740</v>
      </c>
      <c r="C77" s="217"/>
      <c r="H77" s="5" t="str">
        <f>TEXT(Table316[[#This Row],[Value Date]],"mmmm")</f>
        <v>January</v>
      </c>
    </row>
    <row r="78" spans="1:8">
      <c r="A78" s="3">
        <f t="shared" si="1"/>
        <v>153740</v>
      </c>
      <c r="B78" s="217"/>
      <c r="H78" s="5" t="str">
        <f>TEXT(Table316[[#This Row],[Value Date]],"mmmm")</f>
        <v>January</v>
      </c>
    </row>
    <row r="79" spans="1:8">
      <c r="A79" s="3">
        <f t="shared" si="1"/>
        <v>153740</v>
      </c>
      <c r="B79" s="217"/>
      <c r="H79" s="5" t="str">
        <f>TEXT(Table316[[#This Row],[Value Date]],"mmmm")</f>
        <v>January</v>
      </c>
    </row>
    <row r="80" spans="1:8">
      <c r="A80" s="3">
        <f t="shared" si="1"/>
        <v>153740</v>
      </c>
      <c r="B80" s="217"/>
      <c r="H80" s="5" t="str">
        <f>TEXT(Table316[[#This Row],[Value Date]],"mmmm")</f>
        <v>January</v>
      </c>
    </row>
    <row r="81" spans="1:8">
      <c r="A81" s="3">
        <f t="shared" si="1"/>
        <v>153740</v>
      </c>
      <c r="C81" s="217"/>
      <c r="H81" s="5" t="str">
        <f>TEXT(Table316[[#This Row],[Value Date]],"mmmm")</f>
        <v>January</v>
      </c>
    </row>
    <row r="82" spans="1:8">
      <c r="A82" s="3">
        <f t="shared" si="1"/>
        <v>153740</v>
      </c>
      <c r="C82" s="217"/>
      <c r="H82" s="5" t="str">
        <f>TEXT(Table316[[#This Row],[Value Date]],"mmmm")</f>
        <v>January</v>
      </c>
    </row>
    <row r="83" spans="1:8">
      <c r="A83" s="3">
        <f t="shared" si="1"/>
        <v>153740</v>
      </c>
      <c r="C83" s="217"/>
      <c r="H83" s="5" t="str">
        <f>TEXT(Table316[[#This Row],[Value Date]],"mmmm")</f>
        <v>January</v>
      </c>
    </row>
    <row r="84" spans="1:8">
      <c r="A84" s="3">
        <f t="shared" si="1"/>
        <v>153740</v>
      </c>
      <c r="C84" s="217"/>
      <c r="H84" s="5" t="str">
        <f>TEXT(Table316[[#This Row],[Value Date]],"mmmm")</f>
        <v>January</v>
      </c>
    </row>
    <row r="85" spans="1:8">
      <c r="A85" s="3">
        <f t="shared" si="1"/>
        <v>153740</v>
      </c>
      <c r="B85" s="217"/>
      <c r="H85" s="5" t="str">
        <f>TEXT(Table316[[#This Row],[Value Date]],"mmmm")</f>
        <v>January</v>
      </c>
    </row>
    <row r="86" spans="1:8">
      <c r="A86" s="3">
        <f t="shared" si="1"/>
        <v>153740</v>
      </c>
      <c r="C86" s="217"/>
      <c r="H86" s="5" t="str">
        <f>TEXT(Table316[[#This Row],[Value Date]],"mmmm")</f>
        <v>January</v>
      </c>
    </row>
    <row r="87" spans="1:8">
      <c r="A87" s="3">
        <f t="shared" si="1"/>
        <v>153740</v>
      </c>
      <c r="C87" s="217"/>
      <c r="H87" s="5" t="str">
        <f>TEXT(Table316[[#This Row],[Value Date]],"mmmm")</f>
        <v>January</v>
      </c>
    </row>
    <row r="88" spans="1:8">
      <c r="A88" s="3">
        <f t="shared" si="1"/>
        <v>153740</v>
      </c>
      <c r="C88" s="217"/>
      <c r="H88" s="5" t="str">
        <f>TEXT(Table316[[#This Row],[Value Date]],"mmmm")</f>
        <v>January</v>
      </c>
    </row>
    <row r="89" spans="1:8">
      <c r="A89" s="3">
        <f t="shared" si="1"/>
        <v>153740</v>
      </c>
      <c r="B89" s="217"/>
      <c r="H89" s="5" t="str">
        <f>TEXT(Table316[[#This Row],[Value Date]],"mmmm")</f>
        <v>January</v>
      </c>
    </row>
    <row r="90" spans="1:8">
      <c r="A90" s="3">
        <f t="shared" si="1"/>
        <v>153740</v>
      </c>
      <c r="C90" s="217"/>
      <c r="H90" s="5" t="str">
        <f>TEXT(Table316[[#This Row],[Value Date]],"mmmm")</f>
        <v>January</v>
      </c>
    </row>
    <row r="91" spans="1:8">
      <c r="A91" s="3">
        <f t="shared" si="1"/>
        <v>153740</v>
      </c>
      <c r="C91" s="217"/>
      <c r="H91" s="5" t="str">
        <f>TEXT(Table316[[#This Row],[Value Date]],"mmmm")</f>
        <v>January</v>
      </c>
    </row>
    <row r="92" spans="1:8">
      <c r="A92" s="3">
        <f t="shared" si="1"/>
        <v>153740</v>
      </c>
      <c r="C92" s="217"/>
      <c r="H92" s="5" t="str">
        <f>TEXT(Table316[[#This Row],[Value Date]],"mmmm")</f>
        <v>January</v>
      </c>
    </row>
    <row r="93" spans="1:8">
      <c r="A93" s="3">
        <f t="shared" si="1"/>
        <v>153740</v>
      </c>
      <c r="C93" s="217"/>
      <c r="H93" s="5" t="str">
        <f>TEXT(Table316[[#This Row],[Value Date]],"mmmm")</f>
        <v>January</v>
      </c>
    </row>
    <row r="94" spans="1:8">
      <c r="A94" s="3">
        <f t="shared" si="1"/>
        <v>153740</v>
      </c>
      <c r="B94" s="217"/>
      <c r="H94" s="5" t="str">
        <f>TEXT(Table316[[#This Row],[Value Date]],"mmmm")</f>
        <v>January</v>
      </c>
    </row>
    <row r="95" spans="1:8">
      <c r="A95" s="3">
        <f t="shared" si="1"/>
        <v>153740</v>
      </c>
      <c r="C95" s="217"/>
      <c r="H95" s="5" t="str">
        <f>TEXT(Table316[[#This Row],[Value Date]],"mmmm")</f>
        <v>January</v>
      </c>
    </row>
    <row r="96" spans="1:8">
      <c r="A96" s="3">
        <f t="shared" si="1"/>
        <v>153740</v>
      </c>
      <c r="C96" s="217"/>
      <c r="H96" s="5" t="str">
        <f>TEXT(Table316[[#This Row],[Value Date]],"mmmm")</f>
        <v>January</v>
      </c>
    </row>
    <row r="97" spans="1:8">
      <c r="A97" s="3">
        <f t="shared" si="1"/>
        <v>153740</v>
      </c>
      <c r="C97" s="217"/>
      <c r="H97" s="5" t="str">
        <f>TEXT(Table316[[#This Row],[Value Date]],"mmmm")</f>
        <v>January</v>
      </c>
    </row>
    <row r="98" spans="1:8" s="224" customFormat="1">
      <c r="A98" s="3">
        <f t="shared" si="1"/>
        <v>153740</v>
      </c>
      <c r="B98" s="223"/>
      <c r="C98" s="254"/>
      <c r="G98" s="225"/>
      <c r="H98" s="225" t="str">
        <f>TEXT(Table316[[#This Row],[Value Date]],"mmmm")</f>
        <v>January</v>
      </c>
    </row>
    <row r="99" spans="1:8">
      <c r="A99" s="3">
        <f t="shared" si="1"/>
        <v>153740</v>
      </c>
      <c r="C99" s="216"/>
      <c r="H99" s="5" t="str">
        <f>TEXT(Table316[[#This Row],[Value Date]],"mmmm")</f>
        <v>January</v>
      </c>
    </row>
    <row r="100" spans="1:8">
      <c r="A100" s="3">
        <f t="shared" si="1"/>
        <v>153740</v>
      </c>
      <c r="C100" s="216"/>
      <c r="H100" s="5" t="str">
        <f>TEXT(Table316[[#This Row],[Value Date]],"mmmm")</f>
        <v>January</v>
      </c>
    </row>
    <row r="101" spans="1:8">
      <c r="A101" s="3">
        <f t="shared" si="1"/>
        <v>153740</v>
      </c>
      <c r="B101" s="217"/>
      <c r="H101" s="5" t="str">
        <f>TEXT(Table316[[#This Row],[Value Date]],"mmmm")</f>
        <v>January</v>
      </c>
    </row>
    <row r="102" spans="1:8">
      <c r="A102" s="3">
        <f t="shared" si="1"/>
        <v>153740</v>
      </c>
      <c r="C102" s="217"/>
      <c r="H102" s="5" t="str">
        <f>TEXT(Table316[[#This Row],[Value Date]],"mmmm")</f>
        <v>January</v>
      </c>
    </row>
    <row r="103" spans="1:8">
      <c r="A103" s="3">
        <f t="shared" si="1"/>
        <v>153740</v>
      </c>
      <c r="B103" s="217"/>
      <c r="H103" s="5" t="str">
        <f>TEXT(Table316[[#This Row],[Value Date]],"mmmm")</f>
        <v>January</v>
      </c>
    </row>
    <row r="104" spans="1:8">
      <c r="A104" s="3">
        <f t="shared" si="1"/>
        <v>153740</v>
      </c>
      <c r="C104" s="217"/>
      <c r="H104" s="5" t="str">
        <f>TEXT(Table316[[#This Row],[Value Date]],"mmmm")</f>
        <v>January</v>
      </c>
    </row>
    <row r="105" spans="1:8">
      <c r="A105" s="3">
        <f t="shared" si="1"/>
        <v>153740</v>
      </c>
      <c r="C105" s="217"/>
      <c r="H105" s="5" t="str">
        <f>TEXT(Table316[[#This Row],[Value Date]],"mmmm")</f>
        <v>January</v>
      </c>
    </row>
    <row r="106" spans="1:8">
      <c r="A106" s="3">
        <f t="shared" si="1"/>
        <v>153740</v>
      </c>
      <c r="C106" s="217"/>
      <c r="H106" s="5" t="str">
        <f>TEXT(Table316[[#This Row],[Value Date]],"mmmm")</f>
        <v>January</v>
      </c>
    </row>
    <row r="107" spans="1:8">
      <c r="A107" s="3">
        <f t="shared" si="1"/>
        <v>153740</v>
      </c>
      <c r="C107" s="217"/>
      <c r="H107" s="5" t="str">
        <f>TEXT(Table316[[#This Row],[Value Date]],"mmmm")</f>
        <v>January</v>
      </c>
    </row>
    <row r="108" spans="1:8">
      <c r="A108" s="3">
        <f t="shared" si="1"/>
        <v>153740</v>
      </c>
      <c r="C108" s="217"/>
      <c r="H108" s="5" t="str">
        <f>TEXT(Table316[[#This Row],[Value Date]],"mmmm")</f>
        <v>January</v>
      </c>
    </row>
    <row r="109" spans="1:8">
      <c r="A109" s="3">
        <f t="shared" si="1"/>
        <v>153740</v>
      </c>
      <c r="C109" s="217"/>
      <c r="H109" s="5" t="str">
        <f>TEXT(Table316[[#This Row],[Value Date]],"mmmm")</f>
        <v>January</v>
      </c>
    </row>
    <row r="110" spans="1:8">
      <c r="A110" s="3">
        <f t="shared" si="1"/>
        <v>153740</v>
      </c>
      <c r="C110" s="217"/>
      <c r="H110" s="5" t="str">
        <f>TEXT(Table316[[#This Row],[Value Date]],"mmmm")</f>
        <v>January</v>
      </c>
    </row>
    <row r="111" spans="1:8">
      <c r="A111" s="3">
        <f t="shared" si="1"/>
        <v>153740</v>
      </c>
      <c r="B111" s="217"/>
      <c r="H111" s="5" t="str">
        <f>TEXT(Table316[[#This Row],[Value Date]],"mmmm")</f>
        <v>January</v>
      </c>
    </row>
    <row r="112" spans="1:8">
      <c r="A112" s="3">
        <f t="shared" si="1"/>
        <v>153740</v>
      </c>
      <c r="B112" s="217"/>
      <c r="H112" s="5" t="str">
        <f>TEXT(Table316[[#This Row],[Value Date]],"mmmm")</f>
        <v>January</v>
      </c>
    </row>
    <row r="113" spans="1:8">
      <c r="A113" s="3">
        <f t="shared" si="1"/>
        <v>153740</v>
      </c>
      <c r="C113" s="217"/>
      <c r="H113" s="5" t="str">
        <f>TEXT(Table316[[#This Row],[Value Date]],"mmmm")</f>
        <v>January</v>
      </c>
    </row>
    <row r="114" spans="1:8">
      <c r="A114" s="3">
        <f t="shared" si="1"/>
        <v>153740</v>
      </c>
      <c r="C114" s="217"/>
      <c r="H114" s="5" t="str">
        <f>TEXT(Table316[[#This Row],[Value Date]],"mmmm")</f>
        <v>January</v>
      </c>
    </row>
    <row r="115" spans="1:8">
      <c r="A115" s="3">
        <f t="shared" si="1"/>
        <v>153740</v>
      </c>
      <c r="C115" s="217"/>
      <c r="H115" s="5" t="str">
        <f>TEXT(Table316[[#This Row],[Value Date]],"mmmm")</f>
        <v>January</v>
      </c>
    </row>
    <row r="116" spans="1:8">
      <c r="A116" s="3">
        <f t="shared" si="1"/>
        <v>153740</v>
      </c>
      <c r="C116" s="217"/>
      <c r="H116" s="5" t="str">
        <f>TEXT(Table316[[#This Row],[Value Date]],"mmmm")</f>
        <v>January</v>
      </c>
    </row>
    <row r="117" spans="1:8">
      <c r="A117" s="3">
        <f t="shared" si="1"/>
        <v>153740</v>
      </c>
      <c r="C117" s="217"/>
      <c r="H117" s="5" t="str">
        <f>TEXT(Table316[[#This Row],[Value Date]],"mmmm")</f>
        <v>January</v>
      </c>
    </row>
    <row r="118" spans="1:8">
      <c r="A118" s="3">
        <f t="shared" si="1"/>
        <v>153740</v>
      </c>
      <c r="C118" s="217"/>
      <c r="H118" s="5" t="str">
        <f>TEXT(Table316[[#This Row],[Value Date]],"mmmm")</f>
        <v>January</v>
      </c>
    </row>
    <row r="119" spans="1:8">
      <c r="A119" s="3">
        <f t="shared" si="1"/>
        <v>153740</v>
      </c>
      <c r="B119" s="217"/>
      <c r="H119" s="5" t="str">
        <f>TEXT(Table316[[#This Row],[Value Date]],"mmmm")</f>
        <v>January</v>
      </c>
    </row>
    <row r="120" spans="1:8">
      <c r="A120" s="3">
        <f t="shared" si="1"/>
        <v>153740</v>
      </c>
      <c r="B120" s="217"/>
      <c r="H120" s="5" t="str">
        <f>TEXT(Table316[[#This Row],[Value Date]],"mmmm")</f>
        <v>January</v>
      </c>
    </row>
    <row r="121" spans="1:8">
      <c r="A121" s="3">
        <f t="shared" si="1"/>
        <v>153740</v>
      </c>
      <c r="C121" s="216"/>
      <c r="H121" s="5" t="str">
        <f>TEXT(Table316[[#This Row],[Value Date]],"mmmm")</f>
        <v>January</v>
      </c>
    </row>
    <row r="122" spans="1:8">
      <c r="A122" s="3">
        <f t="shared" si="1"/>
        <v>153740</v>
      </c>
      <c r="C122" s="217"/>
      <c r="H122" s="5" t="str">
        <f>TEXT(Table316[[#This Row],[Value Date]],"mmmm")</f>
        <v>January</v>
      </c>
    </row>
    <row r="123" spans="1:8">
      <c r="A123" s="3">
        <f t="shared" si="1"/>
        <v>153740</v>
      </c>
      <c r="C123" s="217"/>
      <c r="H123" s="5" t="str">
        <f>TEXT(Table316[[#This Row],[Value Date]],"mmmm")</f>
        <v>January</v>
      </c>
    </row>
    <row r="124" spans="1:8">
      <c r="A124" s="3">
        <f t="shared" si="1"/>
        <v>153740</v>
      </c>
      <c r="C124" s="217"/>
      <c r="H124" s="5" t="str">
        <f>TEXT(Table316[[#This Row],[Value Date]],"mmmm")</f>
        <v>January</v>
      </c>
    </row>
    <row r="125" spans="1:8">
      <c r="A125" s="3">
        <f t="shared" si="1"/>
        <v>153740</v>
      </c>
      <c r="C125" s="217"/>
      <c r="H125" s="5" t="str">
        <f>TEXT(Table316[[#This Row],[Value Date]],"mmmm")</f>
        <v>January</v>
      </c>
    </row>
    <row r="126" spans="1:8">
      <c r="A126" s="3">
        <f t="shared" si="1"/>
        <v>153740</v>
      </c>
      <c r="C126" s="217"/>
      <c r="H126" s="5" t="str">
        <f>TEXT(Table316[[#This Row],[Value Date]],"mmmm")</f>
        <v>January</v>
      </c>
    </row>
    <row r="127" spans="1:8">
      <c r="A127" s="3">
        <f t="shared" si="1"/>
        <v>153740</v>
      </c>
      <c r="C127" s="217"/>
      <c r="H127" s="5" t="str">
        <f>TEXT(Table316[[#This Row],[Value Date]],"mmmm")</f>
        <v>January</v>
      </c>
    </row>
    <row r="128" spans="1:8">
      <c r="A128" s="3">
        <f t="shared" si="1"/>
        <v>153740</v>
      </c>
      <c r="B128" s="217"/>
      <c r="H128" s="5" t="str">
        <f>TEXT(Table316[[#This Row],[Value Date]],"mmmm")</f>
        <v>January</v>
      </c>
    </row>
    <row r="129" spans="1:8">
      <c r="A129" s="3">
        <f t="shared" si="1"/>
        <v>153740</v>
      </c>
      <c r="C129" s="217"/>
      <c r="H129" s="5" t="str">
        <f>TEXT(Table316[[#This Row],[Value Date]],"mmmm")</f>
        <v>January</v>
      </c>
    </row>
    <row r="130" spans="1:8">
      <c r="A130" s="3">
        <f t="shared" si="1"/>
        <v>153740</v>
      </c>
      <c r="B130" s="217"/>
      <c r="H130" s="5" t="str">
        <f>TEXT(Table316[[#This Row],[Value Date]],"mmmm")</f>
        <v>January</v>
      </c>
    </row>
    <row r="131" spans="1:8">
      <c r="A131" s="3">
        <f t="shared" si="1"/>
        <v>153740</v>
      </c>
      <c r="C131" s="217"/>
      <c r="H131" s="5" t="str">
        <f>TEXT(Table316[[#This Row],[Value Date]],"mmmm")</f>
        <v>January</v>
      </c>
    </row>
    <row r="132" spans="1:8">
      <c r="A132" s="3">
        <f t="shared" si="1"/>
        <v>153740</v>
      </c>
      <c r="C132" s="217"/>
      <c r="H132" s="5" t="str">
        <f>TEXT(Table316[[#This Row],[Value Date]],"mmmm")</f>
        <v>January</v>
      </c>
    </row>
    <row r="133" spans="1:8">
      <c r="A133" s="3">
        <f t="shared" si="1"/>
        <v>153740</v>
      </c>
      <c r="C133" s="217"/>
      <c r="H133" s="5" t="str">
        <f>TEXT(Table316[[#This Row],[Value Date]],"mmmm")</f>
        <v>January</v>
      </c>
    </row>
    <row r="134" spans="1:8">
      <c r="A134" s="3">
        <f t="shared" si="1"/>
        <v>153740</v>
      </c>
      <c r="C134" s="217"/>
      <c r="H134" s="5" t="str">
        <f>TEXT(Table316[[#This Row],[Value Date]],"mmmm")</f>
        <v>January</v>
      </c>
    </row>
    <row r="135" spans="1:8">
      <c r="A135" s="3">
        <f t="shared" ref="A135:A198" si="2">A134+B135-C135</f>
        <v>153740</v>
      </c>
      <c r="C135" s="217"/>
      <c r="H135" s="5" t="str">
        <f>TEXT(Table316[[#This Row],[Value Date]],"mmmm")</f>
        <v>January</v>
      </c>
    </row>
    <row r="136" spans="1:8">
      <c r="A136" s="3">
        <f t="shared" si="2"/>
        <v>153740</v>
      </c>
      <c r="B136" s="217"/>
      <c r="H136" s="5" t="str">
        <f>TEXT(Table316[[#This Row],[Value Date]],"mmmm")</f>
        <v>January</v>
      </c>
    </row>
    <row r="137" spans="1:8">
      <c r="A137" s="3">
        <f t="shared" si="2"/>
        <v>153740</v>
      </c>
      <c r="C137" s="217"/>
      <c r="H137" s="5" t="str">
        <f>TEXT(Table316[[#This Row],[Value Date]],"mmmm")</f>
        <v>January</v>
      </c>
    </row>
    <row r="138" spans="1:8">
      <c r="A138" s="3">
        <f t="shared" si="2"/>
        <v>153740</v>
      </c>
      <c r="C138" s="217"/>
      <c r="H138" s="5" t="str">
        <f>TEXT(Table316[[#This Row],[Value Date]],"mmmm")</f>
        <v>January</v>
      </c>
    </row>
    <row r="139" spans="1:8">
      <c r="A139" s="3">
        <f t="shared" si="2"/>
        <v>153740</v>
      </c>
      <c r="C139" s="217"/>
      <c r="H139" s="5" t="str">
        <f>TEXT(Table316[[#This Row],[Value Date]],"mmmm")</f>
        <v>January</v>
      </c>
    </row>
    <row r="140" spans="1:8">
      <c r="A140" s="3">
        <f t="shared" si="2"/>
        <v>153740</v>
      </c>
      <c r="C140" s="217"/>
      <c r="H140" s="5" t="str">
        <f>TEXT(Table316[[#This Row],[Value Date]],"mmmm")</f>
        <v>January</v>
      </c>
    </row>
    <row r="141" spans="1:8">
      <c r="A141" s="3">
        <f t="shared" si="2"/>
        <v>153740</v>
      </c>
      <c r="C141" s="217"/>
      <c r="H141" s="5" t="str">
        <f>TEXT(Table316[[#This Row],[Value Date]],"mmmm")</f>
        <v>January</v>
      </c>
    </row>
    <row r="142" spans="1:8">
      <c r="A142" s="3">
        <f t="shared" si="2"/>
        <v>153740</v>
      </c>
      <c r="C142" s="217"/>
      <c r="H142" s="5" t="str">
        <f>TEXT(Table316[[#This Row],[Value Date]],"mmmm")</f>
        <v>January</v>
      </c>
    </row>
    <row r="143" spans="1:8">
      <c r="A143" s="3">
        <f t="shared" si="2"/>
        <v>153740</v>
      </c>
      <c r="B143" s="217"/>
      <c r="H143" s="5" t="str">
        <f>TEXT(Table316[[#This Row],[Value Date]],"mmmm")</f>
        <v>January</v>
      </c>
    </row>
    <row r="144" spans="1:8">
      <c r="A144" s="3">
        <f t="shared" si="2"/>
        <v>153740</v>
      </c>
      <c r="C144" s="217"/>
      <c r="H144" s="5" t="str">
        <f>TEXT(Table316[[#This Row],[Value Date]],"mmmm")</f>
        <v>January</v>
      </c>
    </row>
    <row r="145" spans="1:8">
      <c r="A145" s="3">
        <f t="shared" si="2"/>
        <v>153740</v>
      </c>
      <c r="C145" s="217"/>
      <c r="H145" s="5" t="str">
        <f>TEXT(Table316[[#This Row],[Value Date]],"mmmm")</f>
        <v>January</v>
      </c>
    </row>
    <row r="146" spans="1:8">
      <c r="A146" s="3">
        <f t="shared" si="2"/>
        <v>153740</v>
      </c>
      <c r="C146" s="217"/>
      <c r="H146" s="5" t="str">
        <f>TEXT(Table316[[#This Row],[Value Date]],"mmmm")</f>
        <v>January</v>
      </c>
    </row>
    <row r="147" spans="1:8">
      <c r="A147" s="3">
        <f t="shared" si="2"/>
        <v>153740</v>
      </c>
      <c r="C147" s="217"/>
      <c r="H147" s="5" t="str">
        <f>TEXT(Table316[[#This Row],[Value Date]],"mmmm")</f>
        <v>January</v>
      </c>
    </row>
    <row r="148" spans="1:8">
      <c r="A148" s="3">
        <f t="shared" si="2"/>
        <v>153740</v>
      </c>
      <c r="C148" s="217"/>
      <c r="H148" s="5" t="str">
        <f>TEXT(Table316[[#This Row],[Value Date]],"mmmm")</f>
        <v>January</v>
      </c>
    </row>
    <row r="149" spans="1:8">
      <c r="A149" s="3">
        <f t="shared" si="2"/>
        <v>153740</v>
      </c>
      <c r="C149" s="217"/>
      <c r="H149" s="5" t="str">
        <f>TEXT(Table316[[#This Row],[Value Date]],"mmmm")</f>
        <v>January</v>
      </c>
    </row>
    <row r="150" spans="1:8">
      <c r="A150" s="3">
        <f t="shared" si="2"/>
        <v>153740</v>
      </c>
      <c r="C150" s="217"/>
      <c r="H150" s="5" t="str">
        <f>TEXT(Table316[[#This Row],[Value Date]],"mmmm")</f>
        <v>January</v>
      </c>
    </row>
    <row r="151" spans="1:8">
      <c r="A151" s="3">
        <f t="shared" si="2"/>
        <v>153740</v>
      </c>
      <c r="C151" s="217"/>
      <c r="H151" s="5" t="str">
        <f>TEXT(Table316[[#This Row],[Value Date]],"mmmm")</f>
        <v>January</v>
      </c>
    </row>
    <row r="152" spans="1:8">
      <c r="A152" s="3">
        <f t="shared" si="2"/>
        <v>153740</v>
      </c>
      <c r="C152" s="217"/>
      <c r="H152" s="5" t="str">
        <f>TEXT(Table316[[#This Row],[Value Date]],"mmmm")</f>
        <v>January</v>
      </c>
    </row>
    <row r="153" spans="1:8">
      <c r="A153" s="3">
        <f t="shared" si="2"/>
        <v>153740</v>
      </c>
      <c r="B153" s="217"/>
      <c r="H153" s="5" t="str">
        <f>TEXT(Table316[[#This Row],[Value Date]],"mmmm")</f>
        <v>January</v>
      </c>
    </row>
    <row r="154" spans="1:8">
      <c r="A154" s="3">
        <f t="shared" si="2"/>
        <v>153740</v>
      </c>
      <c r="C154" s="216"/>
      <c r="H154" s="5" t="str">
        <f>TEXT(Table316[[#This Row],[Value Date]],"mmmm")</f>
        <v>January</v>
      </c>
    </row>
    <row r="155" spans="1:8">
      <c r="A155" s="3">
        <f t="shared" si="2"/>
        <v>153740</v>
      </c>
      <c r="C155" s="216"/>
      <c r="H155" s="5" t="str">
        <f>TEXT(Table316[[#This Row],[Value Date]],"mmmm")</f>
        <v>January</v>
      </c>
    </row>
    <row r="156" spans="1:8" s="224" customFormat="1">
      <c r="A156" s="3">
        <f t="shared" si="2"/>
        <v>153740</v>
      </c>
      <c r="B156" s="223"/>
      <c r="C156" s="274"/>
      <c r="G156" s="225"/>
      <c r="H156" s="225" t="str">
        <f>TEXT(Table316[[#This Row],[Value Date]],"mmmm")</f>
        <v>January</v>
      </c>
    </row>
    <row r="157" spans="1:8">
      <c r="A157" s="3">
        <f t="shared" si="2"/>
        <v>153740</v>
      </c>
      <c r="C157" s="217"/>
      <c r="H157" s="5" t="str">
        <f>TEXT(Table316[[#This Row],[Value Date]],"mmmm")</f>
        <v>January</v>
      </c>
    </row>
    <row r="158" spans="1:8">
      <c r="A158" s="3">
        <f t="shared" si="2"/>
        <v>153740</v>
      </c>
      <c r="C158" s="217"/>
      <c r="H158" s="5" t="str">
        <f>TEXT(Table316[[#This Row],[Value Date]],"mmmm")</f>
        <v>January</v>
      </c>
    </row>
    <row r="159" spans="1:8">
      <c r="A159" s="3">
        <f t="shared" si="2"/>
        <v>153740</v>
      </c>
      <c r="B159" s="217"/>
      <c r="H159" s="5" t="str">
        <f>TEXT(Table316[[#This Row],[Value Date]],"mmmm")</f>
        <v>January</v>
      </c>
    </row>
    <row r="160" spans="1:8">
      <c r="A160" s="3">
        <f t="shared" si="2"/>
        <v>153740</v>
      </c>
      <c r="B160" s="205"/>
      <c r="C160" s="272"/>
      <c r="H160" s="5" t="str">
        <f>TEXT(Table316[[#This Row],[Value Date]],"mmmm")</f>
        <v>January</v>
      </c>
    </row>
    <row r="161" spans="1:8">
      <c r="A161" s="3">
        <f t="shared" si="2"/>
        <v>153740</v>
      </c>
      <c r="C161" s="217"/>
      <c r="H161" s="5" t="str">
        <f>TEXT(Table316[[#This Row],[Value Date]],"mmmm")</f>
        <v>January</v>
      </c>
    </row>
    <row r="162" spans="1:8">
      <c r="A162" s="3">
        <f t="shared" si="2"/>
        <v>153740</v>
      </c>
      <c r="C162" s="217"/>
      <c r="H162" s="5" t="str">
        <f>TEXT(Table316[[#This Row],[Value Date]],"mmmm")</f>
        <v>January</v>
      </c>
    </row>
    <row r="163" spans="1:8">
      <c r="A163" s="3">
        <f t="shared" si="2"/>
        <v>153740</v>
      </c>
      <c r="C163" s="217"/>
      <c r="H163" s="5" t="str">
        <f>TEXT(Table316[[#This Row],[Value Date]],"mmmm")</f>
        <v>January</v>
      </c>
    </row>
    <row r="164" spans="1:8">
      <c r="A164" s="3">
        <f t="shared" si="2"/>
        <v>153740</v>
      </c>
      <c r="C164" s="217"/>
      <c r="H164" s="5" t="str">
        <f>TEXT(Table316[[#This Row],[Value Date]],"mmmm")</f>
        <v>January</v>
      </c>
    </row>
    <row r="165" spans="1:8">
      <c r="A165" s="3">
        <f t="shared" si="2"/>
        <v>153740</v>
      </c>
      <c r="C165" s="217"/>
      <c r="H165" s="5" t="str">
        <f>TEXT(Table316[[#This Row],[Value Date]],"mmmm")</f>
        <v>January</v>
      </c>
    </row>
    <row r="166" spans="1:8">
      <c r="A166" s="3">
        <f t="shared" si="2"/>
        <v>153740</v>
      </c>
      <c r="B166" s="217"/>
      <c r="H166" s="5" t="str">
        <f>TEXT(Table316[[#This Row],[Value Date]],"mmmm")</f>
        <v>January</v>
      </c>
    </row>
    <row r="167" spans="1:8">
      <c r="A167" s="3">
        <f t="shared" si="2"/>
        <v>153740</v>
      </c>
      <c r="C167" s="217"/>
      <c r="H167" s="5" t="str">
        <f>TEXT(Table316[[#This Row],[Value Date]],"mmmm")</f>
        <v>January</v>
      </c>
    </row>
    <row r="168" spans="1:8">
      <c r="A168" s="3">
        <f t="shared" si="2"/>
        <v>153740</v>
      </c>
      <c r="C168" s="217"/>
      <c r="H168" s="5" t="str">
        <f>TEXT(Table316[[#This Row],[Value Date]],"mmmm")</f>
        <v>January</v>
      </c>
    </row>
    <row r="169" spans="1:8">
      <c r="A169" s="3">
        <f t="shared" si="2"/>
        <v>153740</v>
      </c>
      <c r="C169" s="217"/>
      <c r="H169" s="5" t="str">
        <f>TEXT(Table316[[#This Row],[Value Date]],"mmmm")</f>
        <v>January</v>
      </c>
    </row>
    <row r="170" spans="1:8">
      <c r="A170" s="3">
        <f t="shared" si="2"/>
        <v>153740</v>
      </c>
      <c r="C170" s="217"/>
      <c r="H170" s="5" t="str">
        <f>TEXT(Table316[[#This Row],[Value Date]],"mmmm")</f>
        <v>January</v>
      </c>
    </row>
    <row r="171" spans="1:8">
      <c r="A171" s="3">
        <f t="shared" si="2"/>
        <v>153740</v>
      </c>
      <c r="C171" s="217"/>
      <c r="H171" s="5" t="str">
        <f>TEXT(Table316[[#This Row],[Value Date]],"mmmm")</f>
        <v>January</v>
      </c>
    </row>
    <row r="172" spans="1:8">
      <c r="A172" s="3">
        <f t="shared" si="2"/>
        <v>153740</v>
      </c>
      <c r="C172" s="217"/>
      <c r="H172" s="5" t="str">
        <f>TEXT(Table316[[#This Row],[Value Date]],"mmmm")</f>
        <v>January</v>
      </c>
    </row>
    <row r="173" spans="1:8">
      <c r="A173" s="3">
        <f t="shared" si="2"/>
        <v>153740</v>
      </c>
      <c r="B173" s="217"/>
      <c r="H173" s="5" t="str">
        <f>TEXT(Table316[[#This Row],[Value Date]],"mmmm")</f>
        <v>January</v>
      </c>
    </row>
    <row r="174" spans="1:8">
      <c r="A174" s="3">
        <f t="shared" si="2"/>
        <v>153740</v>
      </c>
      <c r="C174" s="217"/>
      <c r="H174" s="5" t="str">
        <f>TEXT(Table316[[#This Row],[Value Date]],"mmmm")</f>
        <v>January</v>
      </c>
    </row>
    <row r="175" spans="1:8">
      <c r="A175" s="3">
        <f t="shared" si="2"/>
        <v>153740</v>
      </c>
      <c r="C175" s="217"/>
      <c r="H175" s="5" t="str">
        <f>TEXT(Table316[[#This Row],[Value Date]],"mmmm")</f>
        <v>January</v>
      </c>
    </row>
    <row r="176" spans="1:8">
      <c r="A176" s="3">
        <f t="shared" si="2"/>
        <v>153740</v>
      </c>
      <c r="C176" s="217"/>
      <c r="H176" s="5" t="str">
        <f>TEXT(Table316[[#This Row],[Value Date]],"mmmm")</f>
        <v>January</v>
      </c>
    </row>
    <row r="177" spans="1:8">
      <c r="A177" s="3">
        <f t="shared" si="2"/>
        <v>153740</v>
      </c>
      <c r="C177" s="217"/>
      <c r="H177" s="5" t="str">
        <f>TEXT(Table316[[#This Row],[Value Date]],"mmmm")</f>
        <v>January</v>
      </c>
    </row>
    <row r="178" spans="1:8">
      <c r="A178" s="3">
        <f t="shared" si="2"/>
        <v>153740</v>
      </c>
      <c r="C178" s="217"/>
      <c r="H178" s="5" t="str">
        <f>TEXT(Table316[[#This Row],[Value Date]],"mmmm")</f>
        <v>January</v>
      </c>
    </row>
    <row r="179" spans="1:8">
      <c r="A179" s="3">
        <f t="shared" si="2"/>
        <v>153740</v>
      </c>
      <c r="B179" s="217"/>
      <c r="H179" s="5" t="str">
        <f>TEXT(Table316[[#This Row],[Value Date]],"mmmm")</f>
        <v>January</v>
      </c>
    </row>
    <row r="180" spans="1:8">
      <c r="A180" s="3">
        <f t="shared" si="2"/>
        <v>153740</v>
      </c>
      <c r="C180" s="217"/>
      <c r="H180" s="5" t="str">
        <f>TEXT(Table316[[#This Row],[Value Date]],"mmmm")</f>
        <v>January</v>
      </c>
    </row>
    <row r="181" spans="1:8">
      <c r="A181" s="3">
        <f t="shared" si="2"/>
        <v>153740</v>
      </c>
      <c r="C181" s="217"/>
      <c r="H181" s="5" t="str">
        <f>TEXT(Table316[[#This Row],[Value Date]],"mmmm")</f>
        <v>January</v>
      </c>
    </row>
    <row r="182" spans="1:8">
      <c r="A182" s="3">
        <f t="shared" si="2"/>
        <v>153740</v>
      </c>
      <c r="C182" s="217"/>
      <c r="H182" s="5" t="str">
        <f>TEXT(Table316[[#This Row],[Value Date]],"mmmm")</f>
        <v>January</v>
      </c>
    </row>
    <row r="183" spans="1:8">
      <c r="A183" s="3">
        <f t="shared" si="2"/>
        <v>153740</v>
      </c>
      <c r="C183" s="217"/>
      <c r="H183" s="5" t="str">
        <f>TEXT(Table316[[#This Row],[Value Date]],"mmmm")</f>
        <v>January</v>
      </c>
    </row>
    <row r="184" spans="1:8">
      <c r="A184" s="3">
        <f t="shared" si="2"/>
        <v>153740</v>
      </c>
      <c r="B184" s="217"/>
      <c r="H184" s="5" t="str">
        <f>TEXT(Table316[[#This Row],[Value Date]],"mmmm")</f>
        <v>January</v>
      </c>
    </row>
    <row r="185" spans="1:8">
      <c r="A185" s="3">
        <f t="shared" si="2"/>
        <v>153740</v>
      </c>
      <c r="B185" s="217"/>
      <c r="H185" s="5" t="str">
        <f>TEXT(Table316[[#This Row],[Value Date]],"mmmm")</f>
        <v>January</v>
      </c>
    </row>
    <row r="186" spans="1:8">
      <c r="A186" s="3">
        <f t="shared" si="2"/>
        <v>153740</v>
      </c>
      <c r="C186" s="217"/>
      <c r="H186" s="5" t="str">
        <f>TEXT(Table316[[#This Row],[Value Date]],"mmmm")</f>
        <v>January</v>
      </c>
    </row>
    <row r="187" spans="1:8">
      <c r="A187" s="3">
        <f t="shared" si="2"/>
        <v>153740</v>
      </c>
      <c r="B187" s="217"/>
      <c r="H187" s="5" t="str">
        <f>TEXT(Table316[[#This Row],[Value Date]],"mmmm")</f>
        <v>January</v>
      </c>
    </row>
    <row r="188" spans="1:8">
      <c r="A188" s="3">
        <f t="shared" si="2"/>
        <v>153740</v>
      </c>
      <c r="B188" s="217"/>
      <c r="H188" s="5" t="str">
        <f>TEXT(Table316[[#This Row],[Value Date]],"mmmm")</f>
        <v>January</v>
      </c>
    </row>
    <row r="189" spans="1:8">
      <c r="A189" s="3">
        <f t="shared" si="2"/>
        <v>153740</v>
      </c>
      <c r="C189" s="217"/>
      <c r="H189" s="5" t="str">
        <f>TEXT(Table316[[#This Row],[Value Date]],"mmmm")</f>
        <v>January</v>
      </c>
    </row>
    <row r="190" spans="1:8">
      <c r="A190" s="3">
        <f t="shared" si="2"/>
        <v>153740</v>
      </c>
      <c r="C190" s="217"/>
      <c r="H190" s="5" t="str">
        <f>TEXT(Table316[[#This Row],[Value Date]],"mmmm")</f>
        <v>January</v>
      </c>
    </row>
    <row r="191" spans="1:8">
      <c r="A191" s="3">
        <f t="shared" si="2"/>
        <v>153740</v>
      </c>
      <c r="C191" s="216"/>
      <c r="H191" s="5" t="str">
        <f>TEXT(Table316[[#This Row],[Value Date]],"mmmm")</f>
        <v>January</v>
      </c>
    </row>
    <row r="192" spans="1:8">
      <c r="A192" s="3">
        <f t="shared" si="2"/>
        <v>153740</v>
      </c>
      <c r="C192" s="217"/>
      <c r="H192" s="5" t="str">
        <f>TEXT(Table316[[#This Row],[Value Date]],"mmmm")</f>
        <v>January</v>
      </c>
    </row>
    <row r="193" spans="1:8">
      <c r="A193" s="3">
        <f t="shared" si="2"/>
        <v>153740</v>
      </c>
      <c r="B193" s="217"/>
      <c r="H193" s="5" t="str">
        <f>TEXT(Table316[[#This Row],[Value Date]],"mmmm")</f>
        <v>January</v>
      </c>
    </row>
    <row r="194" spans="1:8">
      <c r="A194" s="3">
        <f t="shared" si="2"/>
        <v>153740</v>
      </c>
      <c r="B194" s="217"/>
      <c r="H194" s="5" t="str">
        <f>TEXT(Table316[[#This Row],[Value Date]],"mmmm")</f>
        <v>January</v>
      </c>
    </row>
    <row r="195" spans="1:8">
      <c r="A195" s="3">
        <f t="shared" si="2"/>
        <v>153740</v>
      </c>
      <c r="C195" s="217"/>
      <c r="H195" s="5" t="str">
        <f>TEXT(Table316[[#This Row],[Value Date]],"mmmm")</f>
        <v>January</v>
      </c>
    </row>
    <row r="196" spans="1:8">
      <c r="A196" s="3">
        <f t="shared" si="2"/>
        <v>153740</v>
      </c>
      <c r="C196" s="217"/>
      <c r="H196" s="5" t="str">
        <f>TEXT(Table316[[#This Row],[Value Date]],"mmmm")</f>
        <v>January</v>
      </c>
    </row>
    <row r="197" spans="1:8">
      <c r="A197" s="3">
        <f t="shared" si="2"/>
        <v>153740</v>
      </c>
      <c r="C197" s="217"/>
      <c r="H197" s="5" t="str">
        <f>TEXT(Table316[[#This Row],[Value Date]],"mmmm")</f>
        <v>January</v>
      </c>
    </row>
    <row r="198" spans="1:8">
      <c r="A198" s="3">
        <f t="shared" si="2"/>
        <v>153740</v>
      </c>
      <c r="C198" s="217"/>
      <c r="H198" s="5" t="str">
        <f>TEXT(Table316[[#This Row],[Value Date]],"mmmm")</f>
        <v>January</v>
      </c>
    </row>
    <row r="199" spans="1:8">
      <c r="A199" s="3">
        <f t="shared" ref="A199:A262" si="3">A198+B199-C199</f>
        <v>153740</v>
      </c>
      <c r="C199" s="217"/>
      <c r="H199" s="5" t="str">
        <f>TEXT(Table316[[#This Row],[Value Date]],"mmmm")</f>
        <v>January</v>
      </c>
    </row>
    <row r="200" spans="1:8">
      <c r="A200" s="3">
        <f t="shared" si="3"/>
        <v>153740</v>
      </c>
      <c r="C200" s="217"/>
      <c r="H200" s="5" t="str">
        <f>TEXT(Table316[[#This Row],[Value Date]],"mmmm")</f>
        <v>January</v>
      </c>
    </row>
    <row r="201" spans="1:8">
      <c r="A201" s="3">
        <f t="shared" si="3"/>
        <v>153740</v>
      </c>
      <c r="C201" s="217"/>
      <c r="H201" s="5" t="str">
        <f>TEXT(Table316[[#This Row],[Value Date]],"mmmm")</f>
        <v>January</v>
      </c>
    </row>
    <row r="202" spans="1:8">
      <c r="A202" s="3">
        <f t="shared" si="3"/>
        <v>153740</v>
      </c>
      <c r="C202" s="217"/>
      <c r="H202" s="5" t="str">
        <f>TEXT(Table316[[#This Row],[Value Date]],"mmmm")</f>
        <v>January</v>
      </c>
    </row>
    <row r="203" spans="1:8">
      <c r="A203" s="3">
        <f t="shared" si="3"/>
        <v>153740</v>
      </c>
      <c r="C203" s="217"/>
      <c r="H203" s="5" t="str">
        <f>TEXT(Table316[[#This Row],[Value Date]],"mmmm")</f>
        <v>January</v>
      </c>
    </row>
    <row r="204" spans="1:8">
      <c r="A204" s="3">
        <f t="shared" si="3"/>
        <v>153740</v>
      </c>
      <c r="B204" s="217"/>
      <c r="H204" s="5" t="str">
        <f>TEXT(Table316[[#This Row],[Value Date]],"mmmm")</f>
        <v>January</v>
      </c>
    </row>
    <row r="205" spans="1:8">
      <c r="A205" s="3">
        <f t="shared" si="3"/>
        <v>153740</v>
      </c>
      <c r="C205" s="217"/>
      <c r="H205" s="5" t="str">
        <f>TEXT(Table316[[#This Row],[Value Date]],"mmmm")</f>
        <v>January</v>
      </c>
    </row>
    <row r="206" spans="1:8">
      <c r="A206" s="3">
        <f t="shared" si="3"/>
        <v>153740</v>
      </c>
      <c r="B206" s="217"/>
      <c r="H206" s="5" t="str">
        <f>TEXT(Table316[[#This Row],[Value Date]],"mmmm")</f>
        <v>January</v>
      </c>
    </row>
    <row r="207" spans="1:8">
      <c r="A207" s="3">
        <f t="shared" si="3"/>
        <v>153740</v>
      </c>
      <c r="C207" s="217"/>
      <c r="H207" s="5" t="str">
        <f>TEXT(Table316[[#This Row],[Value Date]],"mmmm")</f>
        <v>January</v>
      </c>
    </row>
    <row r="208" spans="1:8">
      <c r="A208" s="3">
        <f t="shared" si="3"/>
        <v>153740</v>
      </c>
      <c r="C208" s="217"/>
      <c r="H208" s="5" t="str">
        <f>TEXT(Table316[[#This Row],[Value Date]],"mmmm")</f>
        <v>January</v>
      </c>
    </row>
    <row r="209" spans="1:8">
      <c r="A209" s="3">
        <f t="shared" si="3"/>
        <v>153740</v>
      </c>
      <c r="B209" s="217"/>
      <c r="H209" s="5" t="str">
        <f>TEXT(Table316[[#This Row],[Value Date]],"mmmm")</f>
        <v>January</v>
      </c>
    </row>
    <row r="210" spans="1:8">
      <c r="A210" s="3">
        <f t="shared" si="3"/>
        <v>153740</v>
      </c>
      <c r="C210" s="217"/>
      <c r="H210" s="5" t="str">
        <f>TEXT(Table316[[#This Row],[Value Date]],"mmmm")</f>
        <v>January</v>
      </c>
    </row>
    <row r="211" spans="1:8">
      <c r="A211" s="3">
        <f t="shared" si="3"/>
        <v>153740</v>
      </c>
      <c r="C211" s="217"/>
      <c r="H211" s="5" t="str">
        <f>TEXT(Table316[[#This Row],[Value Date]],"mmmm")</f>
        <v>January</v>
      </c>
    </row>
    <row r="212" spans="1:8">
      <c r="A212" s="3">
        <f t="shared" si="3"/>
        <v>153740</v>
      </c>
      <c r="C212" s="217"/>
      <c r="H212" s="5" t="str">
        <f>TEXT(Table316[[#This Row],[Value Date]],"mmmm")</f>
        <v>January</v>
      </c>
    </row>
    <row r="213" spans="1:8">
      <c r="A213" s="3">
        <f t="shared" si="3"/>
        <v>153740</v>
      </c>
      <c r="C213" s="217"/>
      <c r="H213" s="5" t="str">
        <f>TEXT(Table316[[#This Row],[Value Date]],"mmmm")</f>
        <v>January</v>
      </c>
    </row>
    <row r="214" spans="1:8">
      <c r="A214" s="3">
        <f t="shared" si="3"/>
        <v>153740</v>
      </c>
      <c r="C214" s="217"/>
      <c r="H214" s="5" t="str">
        <f>TEXT(Table316[[#This Row],[Value Date]],"mmmm")</f>
        <v>January</v>
      </c>
    </row>
    <row r="215" spans="1:8">
      <c r="A215" s="3">
        <f t="shared" si="3"/>
        <v>153740</v>
      </c>
      <c r="C215" s="217"/>
      <c r="H215" s="5" t="str">
        <f>TEXT(Table316[[#This Row],[Value Date]],"mmmm")</f>
        <v>January</v>
      </c>
    </row>
    <row r="216" spans="1:8">
      <c r="A216" s="3">
        <f t="shared" si="3"/>
        <v>153740</v>
      </c>
      <c r="B216" s="217"/>
      <c r="H216" s="5" t="str">
        <f>TEXT(Table316[[#This Row],[Value Date]],"mmmm")</f>
        <v>January</v>
      </c>
    </row>
    <row r="217" spans="1:8">
      <c r="A217" s="3">
        <f t="shared" si="3"/>
        <v>153740</v>
      </c>
      <c r="C217" s="217"/>
      <c r="H217" s="5" t="str">
        <f>TEXT(Table316[[#This Row],[Value Date]],"mmmm")</f>
        <v>January</v>
      </c>
    </row>
    <row r="218" spans="1:8">
      <c r="A218" s="3">
        <f t="shared" si="3"/>
        <v>153740</v>
      </c>
      <c r="C218" s="217"/>
      <c r="H218" s="5" t="str">
        <f>TEXT(Table316[[#This Row],[Value Date]],"mmmm")</f>
        <v>January</v>
      </c>
    </row>
    <row r="219" spans="1:8">
      <c r="A219" s="3">
        <f t="shared" si="3"/>
        <v>153740</v>
      </c>
      <c r="B219" s="217"/>
      <c r="H219" s="5" t="str">
        <f>TEXT(Table316[[#This Row],[Value Date]],"mmmm")</f>
        <v>January</v>
      </c>
    </row>
    <row r="220" spans="1:8">
      <c r="A220" s="3">
        <f t="shared" si="3"/>
        <v>153740</v>
      </c>
      <c r="C220" s="217"/>
      <c r="H220" s="5" t="str">
        <f>TEXT(Table316[[#This Row],[Value Date]],"mmmm")</f>
        <v>January</v>
      </c>
    </row>
    <row r="221" spans="1:8">
      <c r="A221" s="3">
        <f t="shared" si="3"/>
        <v>153740</v>
      </c>
      <c r="C221" s="217"/>
      <c r="H221" s="5" t="str">
        <f>TEXT(Table316[[#This Row],[Value Date]],"mmmm")</f>
        <v>January</v>
      </c>
    </row>
    <row r="222" spans="1:8">
      <c r="A222" s="3">
        <f t="shared" si="3"/>
        <v>153740</v>
      </c>
      <c r="C222" s="217"/>
      <c r="H222" s="5" t="str">
        <f>TEXT(Table316[[#This Row],[Value Date]],"mmmm")</f>
        <v>January</v>
      </c>
    </row>
    <row r="223" spans="1:8">
      <c r="A223" s="3">
        <f t="shared" si="3"/>
        <v>153740</v>
      </c>
      <c r="C223" s="217"/>
      <c r="H223" s="5" t="str">
        <f>TEXT(Table316[[#This Row],[Value Date]],"mmmm")</f>
        <v>January</v>
      </c>
    </row>
    <row r="224" spans="1:8">
      <c r="A224" s="3">
        <f t="shared" si="3"/>
        <v>153740</v>
      </c>
      <c r="B224" s="217"/>
      <c r="H224" s="5" t="str">
        <f>TEXT(Table316[[#This Row],[Value Date]],"mmmm")</f>
        <v>January</v>
      </c>
    </row>
    <row r="225" spans="1:8">
      <c r="A225" s="3">
        <f t="shared" si="3"/>
        <v>153740</v>
      </c>
      <c r="B225" s="217"/>
      <c r="H225" s="5" t="str">
        <f>TEXT(Table316[[#This Row],[Value Date]],"mmmm")</f>
        <v>January</v>
      </c>
    </row>
    <row r="226" spans="1:8">
      <c r="A226" s="3">
        <f t="shared" si="3"/>
        <v>153740</v>
      </c>
      <c r="B226" s="217"/>
      <c r="H226" s="5" t="str">
        <f>TEXT(Table316[[#This Row],[Value Date]],"mmmm")</f>
        <v>January</v>
      </c>
    </row>
    <row r="227" spans="1:8">
      <c r="A227" s="3">
        <f t="shared" si="3"/>
        <v>153740</v>
      </c>
      <c r="B227" s="217"/>
      <c r="H227" s="5" t="str">
        <f>TEXT(Table316[[#This Row],[Value Date]],"mmmm")</f>
        <v>January</v>
      </c>
    </row>
    <row r="228" spans="1:8">
      <c r="A228" s="3">
        <f t="shared" si="3"/>
        <v>153740</v>
      </c>
      <c r="C228" s="217"/>
      <c r="H228" s="5" t="str">
        <f>TEXT(Table316[[#This Row],[Value Date]],"mmmm")</f>
        <v>January</v>
      </c>
    </row>
    <row r="229" spans="1:8">
      <c r="A229" s="3">
        <f t="shared" si="3"/>
        <v>153740</v>
      </c>
      <c r="C229" s="217"/>
      <c r="H229" s="5" t="str">
        <f>TEXT(Table316[[#This Row],[Value Date]],"mmmm")</f>
        <v>January</v>
      </c>
    </row>
    <row r="230" spans="1:8">
      <c r="A230" s="3">
        <f t="shared" si="3"/>
        <v>153740</v>
      </c>
      <c r="C230" s="217"/>
    </row>
    <row r="231" spans="1:8">
      <c r="A231" s="3">
        <f t="shared" si="3"/>
        <v>153740</v>
      </c>
      <c r="C231" s="217"/>
      <c r="H231" s="5" t="str">
        <f>TEXT(Table316[[#This Row],[Value Date]],"mmmm")</f>
        <v>January</v>
      </c>
    </row>
    <row r="232" spans="1:8">
      <c r="A232" s="3">
        <f t="shared" si="3"/>
        <v>153740</v>
      </c>
      <c r="C232" s="217"/>
      <c r="H232" s="5" t="str">
        <f>TEXT(Table316[[#This Row],[Value Date]],"mmmm")</f>
        <v>January</v>
      </c>
    </row>
    <row r="233" spans="1:8">
      <c r="A233" s="3">
        <f t="shared" si="3"/>
        <v>153740</v>
      </c>
      <c r="C233" s="217"/>
      <c r="H233" s="5" t="str">
        <f>TEXT(Table316[[#This Row],[Value Date]],"mmmm")</f>
        <v>January</v>
      </c>
    </row>
    <row r="234" spans="1:8">
      <c r="A234" s="3">
        <f t="shared" si="3"/>
        <v>153740</v>
      </c>
      <c r="B234" s="217"/>
      <c r="H234" s="5" t="str">
        <f>TEXT(Table316[[#This Row],[Value Date]],"mmmm")</f>
        <v>January</v>
      </c>
    </row>
    <row r="235" spans="1:8">
      <c r="A235" s="3">
        <f t="shared" si="3"/>
        <v>153740</v>
      </c>
      <c r="C235" s="217"/>
      <c r="H235" s="5" t="str">
        <f>TEXT(Table316[[#This Row],[Value Date]],"mmmm")</f>
        <v>January</v>
      </c>
    </row>
    <row r="236" spans="1:8">
      <c r="A236" s="3">
        <f t="shared" si="3"/>
        <v>153740</v>
      </c>
      <c r="B236" s="217"/>
      <c r="H236" s="5" t="str">
        <f>TEXT(Table316[[#This Row],[Value Date]],"mmmm")</f>
        <v>January</v>
      </c>
    </row>
    <row r="237" spans="1:8">
      <c r="A237" s="3">
        <f t="shared" si="3"/>
        <v>153740</v>
      </c>
      <c r="C237" s="217"/>
      <c r="H237" s="5" t="str">
        <f>TEXT(Table316[[#This Row],[Value Date]],"mmmm")</f>
        <v>January</v>
      </c>
    </row>
    <row r="238" spans="1:8">
      <c r="A238" s="3">
        <f t="shared" si="3"/>
        <v>153740</v>
      </c>
      <c r="C238" s="217"/>
      <c r="H238" s="5" t="str">
        <f>TEXT(Table316[[#This Row],[Value Date]],"mmmm")</f>
        <v>January</v>
      </c>
    </row>
    <row r="239" spans="1:8">
      <c r="A239" s="3">
        <f t="shared" si="3"/>
        <v>153740</v>
      </c>
      <c r="C239" s="217"/>
      <c r="H239" s="5" t="str">
        <f>TEXT(Table316[[#This Row],[Value Date]],"mmmm")</f>
        <v>January</v>
      </c>
    </row>
    <row r="240" spans="1:8">
      <c r="A240" s="3">
        <f t="shared" si="3"/>
        <v>153740</v>
      </c>
      <c r="B240" s="217"/>
      <c r="H240" s="5" t="str">
        <f>TEXT(Table316[[#This Row],[Value Date]],"mmmm")</f>
        <v>January</v>
      </c>
    </row>
    <row r="241" spans="1:8">
      <c r="A241" s="3">
        <f t="shared" si="3"/>
        <v>153740</v>
      </c>
      <c r="C241" s="217"/>
      <c r="H241" s="5" t="str">
        <f>TEXT(Table316[[#This Row],[Value Date]],"mmmm")</f>
        <v>January</v>
      </c>
    </row>
    <row r="242" spans="1:8">
      <c r="A242" s="3">
        <f t="shared" si="3"/>
        <v>153740</v>
      </c>
      <c r="C242" s="217"/>
      <c r="H242" s="5" t="str">
        <f>TEXT(Table316[[#This Row],[Value Date]],"mmmm")</f>
        <v>January</v>
      </c>
    </row>
    <row r="243" spans="1:8">
      <c r="A243" s="3">
        <f t="shared" si="3"/>
        <v>153740</v>
      </c>
      <c r="C243" s="216"/>
      <c r="H243" s="5" t="str">
        <f>TEXT(Table316[[#This Row],[Value Date]],"mmmm")</f>
        <v>January</v>
      </c>
    </row>
    <row r="244" spans="1:8">
      <c r="A244" s="3">
        <f t="shared" si="3"/>
        <v>153740</v>
      </c>
      <c r="C244" s="217"/>
      <c r="H244" s="5" t="str">
        <f>TEXT(Table316[[#This Row],[Value Date]],"mmmm")</f>
        <v>January</v>
      </c>
    </row>
    <row r="245" spans="1:8">
      <c r="A245" s="3">
        <f t="shared" si="3"/>
        <v>153740</v>
      </c>
      <c r="C245" s="217"/>
      <c r="H245" s="5" t="str">
        <f>TEXT(Table316[[#This Row],[Value Date]],"mmmm")</f>
        <v>January</v>
      </c>
    </row>
    <row r="246" spans="1:8">
      <c r="A246" s="3">
        <f t="shared" si="3"/>
        <v>153740</v>
      </c>
      <c r="B246" s="217"/>
      <c r="H246" s="5" t="str">
        <f>TEXT(Table316[[#This Row],[Value Date]],"mmmm")</f>
        <v>January</v>
      </c>
    </row>
    <row r="247" spans="1:8">
      <c r="A247" s="3">
        <f t="shared" si="3"/>
        <v>153740</v>
      </c>
      <c r="B247" s="217"/>
      <c r="H247" s="5" t="str">
        <f>TEXT(Table316[[#This Row],[Value Date]],"mmmm")</f>
        <v>January</v>
      </c>
    </row>
    <row r="248" spans="1:8">
      <c r="A248" s="3">
        <f t="shared" si="3"/>
        <v>153740</v>
      </c>
      <c r="B248" s="217"/>
      <c r="H248" s="5" t="str">
        <f>TEXT(Table316[[#This Row],[Value Date]],"mmmm")</f>
        <v>January</v>
      </c>
    </row>
    <row r="249" spans="1:8">
      <c r="A249" s="3">
        <f t="shared" si="3"/>
        <v>153740</v>
      </c>
      <c r="C249" s="217"/>
      <c r="H249" s="5" t="str">
        <f>TEXT(Table316[[#This Row],[Value Date]],"mmmm")</f>
        <v>January</v>
      </c>
    </row>
    <row r="250" spans="1:8">
      <c r="A250" s="3">
        <f t="shared" si="3"/>
        <v>153740</v>
      </c>
      <c r="C250" s="217"/>
      <c r="H250" s="5" t="str">
        <f>TEXT(Table316[[#This Row],[Value Date]],"mmmm")</f>
        <v>January</v>
      </c>
    </row>
    <row r="251" spans="1:8">
      <c r="A251" s="3">
        <f t="shared" si="3"/>
        <v>153740</v>
      </c>
      <c r="C251" s="217"/>
      <c r="H251" s="5" t="str">
        <f>TEXT(Table316[[#This Row],[Value Date]],"mmmm")</f>
        <v>January</v>
      </c>
    </row>
    <row r="252" spans="1:8">
      <c r="A252" s="3">
        <f t="shared" si="3"/>
        <v>153740</v>
      </c>
      <c r="C252" s="217"/>
      <c r="H252" s="5" t="str">
        <f>TEXT(Table316[[#This Row],[Value Date]],"mmmm")</f>
        <v>January</v>
      </c>
    </row>
    <row r="253" spans="1:8">
      <c r="A253" s="3">
        <f t="shared" si="3"/>
        <v>153740</v>
      </c>
      <c r="C253" s="217"/>
      <c r="H253" s="5" t="str">
        <f>TEXT(Table316[[#This Row],[Value Date]],"mmmm")</f>
        <v>January</v>
      </c>
    </row>
    <row r="254" spans="1:8">
      <c r="A254" s="3">
        <f t="shared" si="3"/>
        <v>153740</v>
      </c>
      <c r="B254" s="217"/>
      <c r="H254" s="5" t="str">
        <f>TEXT(Table316[[#This Row],[Value Date]],"mmmm")</f>
        <v>January</v>
      </c>
    </row>
    <row r="255" spans="1:8">
      <c r="A255" s="3">
        <f t="shared" si="3"/>
        <v>153740</v>
      </c>
      <c r="C255" s="217"/>
      <c r="H255" s="5" t="str">
        <f>TEXT(Table316[[#This Row],[Value Date]],"mmmm")</f>
        <v>January</v>
      </c>
    </row>
    <row r="256" spans="1:8">
      <c r="A256" s="3">
        <f t="shared" si="3"/>
        <v>153740</v>
      </c>
      <c r="C256" s="217"/>
      <c r="H256" s="5" t="str">
        <f>TEXT(Table316[[#This Row],[Value Date]],"mmmm")</f>
        <v>January</v>
      </c>
    </row>
    <row r="257" spans="1:8">
      <c r="A257" s="3">
        <f t="shared" si="3"/>
        <v>153740</v>
      </c>
      <c r="C257" s="217"/>
      <c r="H257" s="5" t="str">
        <f>TEXT(Table316[[#This Row],[Value Date]],"mmmm")</f>
        <v>January</v>
      </c>
    </row>
    <row r="258" spans="1:8">
      <c r="A258" s="3">
        <f t="shared" si="3"/>
        <v>153740</v>
      </c>
      <c r="C258" s="217"/>
      <c r="H258" s="5" t="str">
        <f>TEXT(Table316[[#This Row],[Value Date]],"mmmm")</f>
        <v>January</v>
      </c>
    </row>
    <row r="259" spans="1:8">
      <c r="A259" s="3">
        <f t="shared" si="3"/>
        <v>153740</v>
      </c>
      <c r="C259" s="217"/>
      <c r="H259" s="5" t="str">
        <f>TEXT(Table316[[#This Row],[Value Date]],"mmmm")</f>
        <v>January</v>
      </c>
    </row>
    <row r="260" spans="1:8">
      <c r="A260" s="3">
        <f t="shared" si="3"/>
        <v>153740</v>
      </c>
      <c r="C260" s="217"/>
      <c r="H260" s="5" t="str">
        <f>TEXT(Table316[[#This Row],[Value Date]],"mmmm")</f>
        <v>January</v>
      </c>
    </row>
    <row r="261" spans="1:8">
      <c r="A261" s="3">
        <f t="shared" si="3"/>
        <v>153740</v>
      </c>
      <c r="C261" s="217"/>
      <c r="H261" s="5" t="str">
        <f>TEXT(Table316[[#This Row],[Value Date]],"mmmm")</f>
        <v>January</v>
      </c>
    </row>
    <row r="262" spans="1:8">
      <c r="A262" s="3">
        <f t="shared" si="3"/>
        <v>153740</v>
      </c>
      <c r="H262" s="5" t="str">
        <f>TEXT(Table316[[#This Row],[Value Date]],"mmmm")</f>
        <v>January</v>
      </c>
    </row>
    <row r="263" spans="1:8">
      <c r="A263" s="3">
        <f t="shared" ref="A263:A326" si="4">A262+B263-C263</f>
        <v>153740</v>
      </c>
      <c r="C263" s="217"/>
      <c r="H263" s="5" t="str">
        <f>TEXT(Table316[[#This Row],[Value Date]],"mmmm")</f>
        <v>January</v>
      </c>
    </row>
    <row r="264" spans="1:8">
      <c r="A264" s="3">
        <f t="shared" si="4"/>
        <v>153740</v>
      </c>
      <c r="C264" s="217"/>
      <c r="H264" s="5" t="str">
        <f>TEXT(Table316[[#This Row],[Value Date]],"mmmm")</f>
        <v>January</v>
      </c>
    </row>
    <row r="265" spans="1:8">
      <c r="A265" s="3">
        <f t="shared" si="4"/>
        <v>153740</v>
      </c>
      <c r="C265" s="217"/>
      <c r="H265" s="5" t="str">
        <f>TEXT(Table316[[#This Row],[Value Date]],"mmmm")</f>
        <v>January</v>
      </c>
    </row>
    <row r="266" spans="1:8">
      <c r="A266" s="3">
        <f t="shared" si="4"/>
        <v>153740</v>
      </c>
      <c r="C266" s="217"/>
      <c r="H266" s="5" t="str">
        <f>TEXT(Table316[[#This Row],[Value Date]],"mmmm")</f>
        <v>January</v>
      </c>
    </row>
    <row r="267" spans="1:8">
      <c r="A267" s="3">
        <f t="shared" si="4"/>
        <v>153740</v>
      </c>
      <c r="C267" s="217"/>
      <c r="H267" s="5" t="str">
        <f>TEXT(Table316[[#This Row],[Value Date]],"mmmm")</f>
        <v>January</v>
      </c>
    </row>
    <row r="268" spans="1:8">
      <c r="A268" s="3">
        <f t="shared" si="4"/>
        <v>153740</v>
      </c>
      <c r="C268" s="217"/>
      <c r="H268" s="5" t="str">
        <f>TEXT(Table316[[#This Row],[Value Date]],"mmmm")</f>
        <v>January</v>
      </c>
    </row>
    <row r="269" spans="1:8">
      <c r="A269" s="3">
        <f t="shared" si="4"/>
        <v>153740</v>
      </c>
      <c r="B269" s="217"/>
      <c r="H269" s="5" t="str">
        <f>TEXT(Table316[[#This Row],[Value Date]],"mmmm")</f>
        <v>January</v>
      </c>
    </row>
    <row r="270" spans="1:8">
      <c r="A270" s="3">
        <f t="shared" si="4"/>
        <v>153740</v>
      </c>
      <c r="B270" s="217"/>
      <c r="H270" s="5" t="str">
        <f>TEXT(Table316[[#This Row],[Value Date]],"mmmm")</f>
        <v>January</v>
      </c>
    </row>
    <row r="271" spans="1:8">
      <c r="A271" s="3">
        <f t="shared" si="4"/>
        <v>153740</v>
      </c>
      <c r="C271" s="217"/>
      <c r="H271" s="5" t="str">
        <f>TEXT(Table316[[#This Row],[Value Date]],"mmmm")</f>
        <v>January</v>
      </c>
    </row>
    <row r="272" spans="1:8">
      <c r="A272" s="3">
        <f t="shared" si="4"/>
        <v>153740</v>
      </c>
      <c r="B272" s="217"/>
      <c r="H272" s="5" t="str">
        <f>TEXT(Table316[[#This Row],[Value Date]],"mmmm")</f>
        <v>January</v>
      </c>
    </row>
    <row r="273" spans="1:8">
      <c r="A273" s="3">
        <f t="shared" si="4"/>
        <v>153740</v>
      </c>
      <c r="C273" s="217"/>
      <c r="H273" s="5" t="str">
        <f>TEXT(Table316[[#This Row],[Value Date]],"mmmm")</f>
        <v>January</v>
      </c>
    </row>
    <row r="274" spans="1:8">
      <c r="A274" s="3">
        <f t="shared" si="4"/>
        <v>153740</v>
      </c>
      <c r="C274" s="217"/>
      <c r="H274" s="5" t="str">
        <f>TEXT(Table316[[#This Row],[Value Date]],"mmmm")</f>
        <v>January</v>
      </c>
    </row>
    <row r="275" spans="1:8">
      <c r="A275" s="3">
        <f t="shared" si="4"/>
        <v>153740</v>
      </c>
      <c r="B275" s="217"/>
      <c r="H275" s="5" t="str">
        <f>TEXT(Table316[[#This Row],[Value Date]],"mmmm")</f>
        <v>January</v>
      </c>
    </row>
    <row r="276" spans="1:8">
      <c r="A276" s="3">
        <f t="shared" si="4"/>
        <v>153740</v>
      </c>
      <c r="B276" s="217"/>
      <c r="H276" s="5" t="str">
        <f>TEXT(Table316[[#This Row],[Value Date]],"mmmm")</f>
        <v>January</v>
      </c>
    </row>
    <row r="277" spans="1:8">
      <c r="A277" s="3">
        <f t="shared" si="4"/>
        <v>153740</v>
      </c>
      <c r="C277" s="217"/>
      <c r="H277" s="5" t="str">
        <f>TEXT(Table316[[#This Row],[Value Date]],"mmmm")</f>
        <v>January</v>
      </c>
    </row>
    <row r="278" spans="1:8">
      <c r="A278" s="3">
        <f t="shared" si="4"/>
        <v>153740</v>
      </c>
      <c r="C278" s="217"/>
      <c r="H278" s="5" t="str">
        <f>TEXT(Table316[[#This Row],[Value Date]],"mmmm")</f>
        <v>January</v>
      </c>
    </row>
    <row r="279" spans="1:8">
      <c r="A279" s="3">
        <f t="shared" si="4"/>
        <v>153740</v>
      </c>
      <c r="C279" s="217"/>
      <c r="H279" s="5" t="str">
        <f>TEXT(Table316[[#This Row],[Value Date]],"mmmm")</f>
        <v>January</v>
      </c>
    </row>
    <row r="280" spans="1:8">
      <c r="A280" s="3">
        <f t="shared" si="4"/>
        <v>153740</v>
      </c>
      <c r="C280" s="217"/>
      <c r="H280" s="5" t="str">
        <f>TEXT(Table316[[#This Row],[Value Date]],"mmmm")</f>
        <v>January</v>
      </c>
    </row>
    <row r="281" spans="1:8">
      <c r="A281" s="3">
        <f t="shared" si="4"/>
        <v>153740</v>
      </c>
      <c r="C281" s="217"/>
      <c r="H281" s="5" t="str">
        <f>TEXT(Table316[[#This Row],[Value Date]],"mmmm")</f>
        <v>January</v>
      </c>
    </row>
    <row r="282" spans="1:8">
      <c r="A282" s="3">
        <f t="shared" si="4"/>
        <v>153740</v>
      </c>
      <c r="C282" s="217"/>
      <c r="H282" s="5" t="str">
        <f>TEXT(Table316[[#This Row],[Value Date]],"mmmm")</f>
        <v>January</v>
      </c>
    </row>
    <row r="283" spans="1:8">
      <c r="A283" s="3">
        <f t="shared" si="4"/>
        <v>153740</v>
      </c>
      <c r="C283" s="217"/>
      <c r="H283" s="5" t="str">
        <f>TEXT(Table316[[#This Row],[Value Date]],"mmmm")</f>
        <v>January</v>
      </c>
    </row>
    <row r="284" spans="1:8">
      <c r="A284" s="3">
        <f t="shared" si="4"/>
        <v>153740</v>
      </c>
      <c r="C284" s="217"/>
      <c r="H284" s="5" t="str">
        <f>TEXT(Table316[[#This Row],[Value Date]],"mmmm")</f>
        <v>January</v>
      </c>
    </row>
    <row r="285" spans="1:8">
      <c r="A285" s="3">
        <f t="shared" si="4"/>
        <v>153740</v>
      </c>
      <c r="C285" s="217"/>
      <c r="H285" s="5" t="str">
        <f>TEXT(Table316[[#This Row],[Value Date]],"mmmm")</f>
        <v>January</v>
      </c>
    </row>
    <row r="286" spans="1:8">
      <c r="A286" s="3">
        <f t="shared" si="4"/>
        <v>153740</v>
      </c>
      <c r="C286" s="216"/>
      <c r="H286" s="5" t="str">
        <f>TEXT(Table316[[#This Row],[Value Date]],"mmmm")</f>
        <v>January</v>
      </c>
    </row>
    <row r="287" spans="1:8">
      <c r="A287" s="3">
        <f t="shared" si="4"/>
        <v>153740</v>
      </c>
      <c r="B287" s="217"/>
      <c r="H287" s="5" t="str">
        <f>TEXT(Table316[[#This Row],[Value Date]],"mmmm")</f>
        <v>January</v>
      </c>
    </row>
    <row r="288" spans="1:8">
      <c r="A288" s="3">
        <f t="shared" si="4"/>
        <v>153740</v>
      </c>
      <c r="C288" s="217"/>
      <c r="H288" s="5" t="str">
        <f>TEXT(Table316[[#This Row],[Value Date]],"mmmm")</f>
        <v>January</v>
      </c>
    </row>
    <row r="289" spans="1:8">
      <c r="A289" s="3">
        <f t="shared" si="4"/>
        <v>153740</v>
      </c>
      <c r="C289" s="217"/>
      <c r="H289" s="5" t="str">
        <f>TEXT(Table316[[#This Row],[Value Date]],"mmmm")</f>
        <v>January</v>
      </c>
    </row>
    <row r="290" spans="1:8">
      <c r="A290" s="3">
        <f t="shared" si="4"/>
        <v>153740</v>
      </c>
      <c r="C290" s="217"/>
      <c r="H290" s="5" t="str">
        <f>TEXT(Table316[[#This Row],[Value Date]],"mmmm")</f>
        <v>January</v>
      </c>
    </row>
    <row r="291" spans="1:8">
      <c r="A291" s="3">
        <f t="shared" si="4"/>
        <v>153740</v>
      </c>
      <c r="C291" s="217"/>
      <c r="H291" s="5" t="str">
        <f>TEXT(Table316[[#This Row],[Value Date]],"mmmm")</f>
        <v>January</v>
      </c>
    </row>
    <row r="292" spans="1:8">
      <c r="A292" s="3">
        <f t="shared" si="4"/>
        <v>153740</v>
      </c>
      <c r="B292" s="217"/>
      <c r="H292" s="5" t="str">
        <f>TEXT(Table316[[#This Row],[Value Date]],"mmmm")</f>
        <v>January</v>
      </c>
    </row>
    <row r="293" spans="1:8">
      <c r="A293" s="3">
        <f t="shared" si="4"/>
        <v>153740</v>
      </c>
      <c r="B293" s="217"/>
      <c r="H293" s="5" t="str">
        <f>TEXT(Table316[[#This Row],[Value Date]],"mmmm")</f>
        <v>January</v>
      </c>
    </row>
    <row r="294" spans="1:8">
      <c r="A294" s="3">
        <f t="shared" si="4"/>
        <v>153740</v>
      </c>
      <c r="C294" s="217"/>
      <c r="H294" s="5" t="str">
        <f>TEXT(Table316[[#This Row],[Value Date]],"mmmm")</f>
        <v>January</v>
      </c>
    </row>
    <row r="295" spans="1:8">
      <c r="A295" s="3">
        <f t="shared" si="4"/>
        <v>153740</v>
      </c>
      <c r="B295" s="217"/>
      <c r="H295" s="5" t="str">
        <f>TEXT(Table316[[#This Row],[Value Date]],"mmmm")</f>
        <v>January</v>
      </c>
    </row>
    <row r="296" spans="1:8">
      <c r="A296" s="3">
        <f t="shared" si="4"/>
        <v>153740</v>
      </c>
      <c r="C296" s="217"/>
      <c r="H296" s="5" t="str">
        <f>TEXT(Table316[[#This Row],[Value Date]],"mmmm")</f>
        <v>January</v>
      </c>
    </row>
    <row r="297" spans="1:8">
      <c r="A297" s="3">
        <f t="shared" si="4"/>
        <v>153740</v>
      </c>
      <c r="C297" s="217"/>
      <c r="H297" s="5" t="str">
        <f>TEXT(Table316[[#This Row],[Value Date]],"mmmm")</f>
        <v>January</v>
      </c>
    </row>
    <row r="298" spans="1:8">
      <c r="A298" s="3">
        <f t="shared" si="4"/>
        <v>153740</v>
      </c>
      <c r="B298" s="217"/>
      <c r="H298" s="5" t="str">
        <f>TEXT(Table316[[#This Row],[Value Date]],"mmmm")</f>
        <v>January</v>
      </c>
    </row>
    <row r="299" spans="1:8">
      <c r="A299" s="3">
        <f t="shared" si="4"/>
        <v>153740</v>
      </c>
      <c r="C299" s="217"/>
      <c r="H299" s="5" t="str">
        <f>TEXT(Table316[[#This Row],[Value Date]],"mmmm")</f>
        <v>January</v>
      </c>
    </row>
    <row r="300" spans="1:8">
      <c r="A300" s="3">
        <f t="shared" si="4"/>
        <v>153740</v>
      </c>
      <c r="B300" s="217"/>
      <c r="H300" s="5" t="str">
        <f>TEXT(Table316[[#This Row],[Value Date]],"mmmm")</f>
        <v>January</v>
      </c>
    </row>
    <row r="301" spans="1:8">
      <c r="A301" s="3">
        <f t="shared" si="4"/>
        <v>153740</v>
      </c>
      <c r="B301" s="217"/>
      <c r="H301" s="5" t="str">
        <f>TEXT(Table316[[#This Row],[Value Date]],"mmmm")</f>
        <v>January</v>
      </c>
    </row>
    <row r="302" spans="1:8">
      <c r="A302" s="3">
        <f t="shared" si="4"/>
        <v>153740</v>
      </c>
      <c r="C302" s="217"/>
      <c r="H302" s="5" t="str">
        <f>TEXT(Table316[[#This Row],[Value Date]],"mmmm")</f>
        <v>January</v>
      </c>
    </row>
    <row r="303" spans="1:8">
      <c r="A303" s="3">
        <f t="shared" si="4"/>
        <v>153740</v>
      </c>
      <c r="B303" s="217"/>
      <c r="H303" s="5" t="str">
        <f>TEXT(Table316[[#This Row],[Value Date]],"mmmm")</f>
        <v>January</v>
      </c>
    </row>
    <row r="304" spans="1:8">
      <c r="A304" s="3">
        <f t="shared" si="4"/>
        <v>153740</v>
      </c>
      <c r="C304" s="217"/>
      <c r="H304" s="5" t="str">
        <f>TEXT(Table316[[#This Row],[Value Date]],"mmmm")</f>
        <v>January</v>
      </c>
    </row>
    <row r="305" spans="1:8">
      <c r="A305" s="3">
        <f t="shared" si="4"/>
        <v>153740</v>
      </c>
      <c r="C305" s="217"/>
      <c r="H305" s="5" t="str">
        <f>TEXT(Table316[[#This Row],[Value Date]],"mmmm")</f>
        <v>January</v>
      </c>
    </row>
    <row r="306" spans="1:8">
      <c r="A306" s="3">
        <f t="shared" si="4"/>
        <v>153740</v>
      </c>
      <c r="C306" s="217"/>
      <c r="H306" s="5" t="str">
        <f>TEXT(Table316[[#This Row],[Value Date]],"mmmm")</f>
        <v>January</v>
      </c>
    </row>
    <row r="307" spans="1:8">
      <c r="A307" s="3">
        <f t="shared" si="4"/>
        <v>153740</v>
      </c>
      <c r="C307" s="217"/>
      <c r="H307" s="5" t="str">
        <f>TEXT(Table316[[#This Row],[Value Date]],"mmmm")</f>
        <v>January</v>
      </c>
    </row>
    <row r="308" spans="1:8">
      <c r="A308" s="3">
        <f t="shared" si="4"/>
        <v>153740</v>
      </c>
      <c r="C308" s="217"/>
      <c r="H308" s="5" t="str">
        <f>TEXT(Table316[[#This Row],[Value Date]],"mmmm")</f>
        <v>January</v>
      </c>
    </row>
    <row r="309" spans="1:8">
      <c r="A309" s="3">
        <f t="shared" si="4"/>
        <v>153740</v>
      </c>
      <c r="C309" s="217"/>
      <c r="H309" s="5" t="str">
        <f>TEXT(Table316[[#This Row],[Value Date]],"mmmm")</f>
        <v>January</v>
      </c>
    </row>
    <row r="310" spans="1:8">
      <c r="A310" s="3">
        <f t="shared" si="4"/>
        <v>153740</v>
      </c>
      <c r="C310" s="217"/>
      <c r="H310" s="5" t="str">
        <f>TEXT(Table316[[#This Row],[Value Date]],"mmmm")</f>
        <v>January</v>
      </c>
    </row>
    <row r="311" spans="1:8">
      <c r="A311" s="3">
        <f t="shared" si="4"/>
        <v>153740</v>
      </c>
      <c r="C311" s="217"/>
      <c r="H311" s="5" t="str">
        <f>TEXT(Table316[[#This Row],[Value Date]],"mmmm")</f>
        <v>January</v>
      </c>
    </row>
    <row r="312" spans="1:8">
      <c r="A312" s="3">
        <f t="shared" si="4"/>
        <v>153740</v>
      </c>
      <c r="B312" s="217"/>
      <c r="H312" s="5" t="str">
        <f>TEXT(Table316[[#This Row],[Value Date]],"mmmm")</f>
        <v>January</v>
      </c>
    </row>
    <row r="313" spans="1:8">
      <c r="A313" s="3">
        <f t="shared" si="4"/>
        <v>153740</v>
      </c>
      <c r="C313" s="217"/>
      <c r="H313" s="5" t="str">
        <f>TEXT(Table316[[#This Row],[Value Date]],"mmmm")</f>
        <v>January</v>
      </c>
    </row>
    <row r="314" spans="1:8">
      <c r="A314" s="3">
        <f t="shared" si="4"/>
        <v>153740</v>
      </c>
      <c r="C314" s="217"/>
      <c r="H314" s="5" t="str">
        <f>TEXT(Table316[[#This Row],[Value Date]],"mmmm")</f>
        <v>January</v>
      </c>
    </row>
    <row r="315" spans="1:8">
      <c r="A315" s="3">
        <f t="shared" si="4"/>
        <v>153740</v>
      </c>
      <c r="B315" s="217"/>
      <c r="H315" s="5" t="str">
        <f>TEXT(Table316[[#This Row],[Value Date]],"mmmm")</f>
        <v>January</v>
      </c>
    </row>
    <row r="316" spans="1:8">
      <c r="A316" s="3">
        <f t="shared" si="4"/>
        <v>153740</v>
      </c>
      <c r="C316" s="217"/>
      <c r="H316" s="5" t="str">
        <f>TEXT(Table316[[#This Row],[Value Date]],"mmmm")</f>
        <v>January</v>
      </c>
    </row>
    <row r="317" spans="1:8">
      <c r="A317" s="3">
        <f t="shared" si="4"/>
        <v>153740</v>
      </c>
      <c r="C317" s="217"/>
      <c r="H317" s="5" t="str">
        <f>TEXT(Table316[[#This Row],[Value Date]],"mmmm")</f>
        <v>January</v>
      </c>
    </row>
    <row r="318" spans="1:8">
      <c r="A318" s="3">
        <f t="shared" si="4"/>
        <v>153740</v>
      </c>
      <c r="C318" s="217"/>
      <c r="H318" s="5" t="str">
        <f>TEXT(Table316[[#This Row],[Value Date]],"mmmm")</f>
        <v>January</v>
      </c>
    </row>
    <row r="319" spans="1:8">
      <c r="A319" s="3">
        <f t="shared" si="4"/>
        <v>153740</v>
      </c>
      <c r="C319" s="217"/>
      <c r="H319" s="5" t="str">
        <f>TEXT(Table316[[#This Row],[Value Date]],"mmmm")</f>
        <v>January</v>
      </c>
    </row>
    <row r="320" spans="1:8">
      <c r="A320" s="3">
        <f t="shared" si="4"/>
        <v>153740</v>
      </c>
      <c r="C320" s="217"/>
      <c r="H320" s="5" t="str">
        <f>TEXT(Table316[[#This Row],[Value Date]],"mmmm")</f>
        <v>January</v>
      </c>
    </row>
    <row r="321" spans="1:8">
      <c r="A321" s="3">
        <f t="shared" si="4"/>
        <v>153740</v>
      </c>
      <c r="B321" s="217"/>
      <c r="H321" s="5" t="str">
        <f>TEXT(Table316[[#This Row],[Value Date]],"mmmm")</f>
        <v>January</v>
      </c>
    </row>
    <row r="322" spans="1:8">
      <c r="A322" s="3">
        <f t="shared" si="4"/>
        <v>153740</v>
      </c>
      <c r="C322" s="217"/>
      <c r="H322" s="5" t="str">
        <f>TEXT(Table316[[#This Row],[Value Date]],"mmmm")</f>
        <v>January</v>
      </c>
    </row>
    <row r="323" spans="1:8">
      <c r="A323" s="3">
        <f t="shared" si="4"/>
        <v>153740</v>
      </c>
      <c r="C323" s="217"/>
      <c r="H323" s="5" t="str">
        <f>TEXT(Table316[[#This Row],[Value Date]],"mmmm")</f>
        <v>January</v>
      </c>
    </row>
    <row r="324" spans="1:8">
      <c r="A324" s="3">
        <f t="shared" si="4"/>
        <v>153740</v>
      </c>
      <c r="B324" s="217"/>
      <c r="H324" s="5" t="str">
        <f>TEXT(Table316[[#This Row],[Value Date]],"mmmm")</f>
        <v>January</v>
      </c>
    </row>
    <row r="325" spans="1:8">
      <c r="A325" s="3">
        <f t="shared" si="4"/>
        <v>153740</v>
      </c>
      <c r="B325" s="217"/>
      <c r="H325" s="5" t="str">
        <f>TEXT(Table316[[#This Row],[Value Date]],"mmmm")</f>
        <v>January</v>
      </c>
    </row>
    <row r="326" spans="1:8">
      <c r="A326" s="3">
        <f t="shared" si="4"/>
        <v>153740</v>
      </c>
      <c r="C326" s="217"/>
      <c r="H326" s="5" t="str">
        <f>TEXT(Table316[[#This Row],[Value Date]],"mmmm")</f>
        <v>January</v>
      </c>
    </row>
    <row r="327" spans="1:8">
      <c r="A327" s="3">
        <f t="shared" ref="A327:A390" si="5">A326+B327-C327</f>
        <v>153740</v>
      </c>
      <c r="C327" s="217"/>
      <c r="H327" s="5" t="str">
        <f>TEXT(Table316[[#This Row],[Value Date]],"mmmm")</f>
        <v>January</v>
      </c>
    </row>
    <row r="328" spans="1:8">
      <c r="A328" s="3">
        <f t="shared" si="5"/>
        <v>153740</v>
      </c>
      <c r="C328" s="217"/>
      <c r="H328" s="5" t="str">
        <f>TEXT(Table316[[#This Row],[Value Date]],"mmmm")</f>
        <v>January</v>
      </c>
    </row>
    <row r="329" spans="1:8">
      <c r="A329" s="3">
        <f t="shared" si="5"/>
        <v>153740</v>
      </c>
      <c r="C329" s="217"/>
      <c r="H329" s="5" t="str">
        <f>TEXT(Table316[[#This Row],[Value Date]],"mmmm")</f>
        <v>January</v>
      </c>
    </row>
    <row r="330" spans="1:8">
      <c r="A330" s="3">
        <f t="shared" si="5"/>
        <v>153740</v>
      </c>
      <c r="B330" s="217"/>
      <c r="H330" s="5" t="str">
        <f>TEXT(Table316[[#This Row],[Value Date]],"mmmm")</f>
        <v>January</v>
      </c>
    </row>
    <row r="331" spans="1:8">
      <c r="A331" s="3">
        <f t="shared" si="5"/>
        <v>153740</v>
      </c>
      <c r="C331" s="217"/>
      <c r="H331" s="5" t="str">
        <f>TEXT(Table316[[#This Row],[Value Date]],"mmmm")</f>
        <v>January</v>
      </c>
    </row>
    <row r="332" spans="1:8">
      <c r="A332" s="3">
        <f t="shared" si="5"/>
        <v>153740</v>
      </c>
      <c r="C332" s="217"/>
      <c r="H332" s="5" t="str">
        <f>TEXT(Table316[[#This Row],[Value Date]],"mmmm")</f>
        <v>January</v>
      </c>
    </row>
    <row r="333" spans="1:8">
      <c r="A333" s="3">
        <f t="shared" si="5"/>
        <v>153740</v>
      </c>
      <c r="C333" s="217"/>
      <c r="H333" s="5" t="str">
        <f>TEXT(Table316[[#This Row],[Value Date]],"mmmm")</f>
        <v>January</v>
      </c>
    </row>
    <row r="334" spans="1:8">
      <c r="A334" s="3">
        <f t="shared" si="5"/>
        <v>153740</v>
      </c>
      <c r="C334" s="217"/>
      <c r="H334" s="5" t="str">
        <f>TEXT(Table316[[#This Row],[Value Date]],"mmmm")</f>
        <v>January</v>
      </c>
    </row>
    <row r="335" spans="1:8">
      <c r="A335" s="3">
        <f t="shared" si="5"/>
        <v>153740</v>
      </c>
      <c r="C335" s="217"/>
      <c r="H335" s="5" t="str">
        <f>TEXT(Table316[[#This Row],[Value Date]],"mmmm")</f>
        <v>January</v>
      </c>
    </row>
    <row r="336" spans="1:8">
      <c r="A336" s="3">
        <f t="shared" si="5"/>
        <v>153740</v>
      </c>
      <c r="C336" s="217"/>
      <c r="H336" s="5" t="str">
        <f>TEXT(Table316[[#This Row],[Value Date]],"mmmm")</f>
        <v>January</v>
      </c>
    </row>
    <row r="337" spans="1:8">
      <c r="A337" s="3">
        <f t="shared" si="5"/>
        <v>153740</v>
      </c>
      <c r="C337" s="217"/>
      <c r="H337" s="5" t="str">
        <f>TEXT(Table316[[#This Row],[Value Date]],"mmmm")</f>
        <v>January</v>
      </c>
    </row>
    <row r="338" spans="1:8">
      <c r="A338" s="3">
        <f t="shared" si="5"/>
        <v>153740</v>
      </c>
      <c r="C338" s="217"/>
      <c r="H338" s="5" t="str">
        <f>TEXT(Table316[[#This Row],[Value Date]],"mmmm")</f>
        <v>January</v>
      </c>
    </row>
    <row r="339" spans="1:8">
      <c r="A339" s="3">
        <f t="shared" si="5"/>
        <v>153740</v>
      </c>
      <c r="C339" s="216"/>
      <c r="H339" s="5" t="str">
        <f>TEXT(Table316[[#This Row],[Value Date]],"mmmm")</f>
        <v>January</v>
      </c>
    </row>
    <row r="340" spans="1:8">
      <c r="A340" s="3">
        <f t="shared" si="5"/>
        <v>153740</v>
      </c>
      <c r="C340" s="216"/>
      <c r="H340" s="5" t="str">
        <f>TEXT(Table316[[#This Row],[Value Date]],"mmmm")</f>
        <v>January</v>
      </c>
    </row>
    <row r="341" spans="1:8">
      <c r="A341" s="3">
        <f t="shared" si="5"/>
        <v>153740</v>
      </c>
      <c r="C341" s="216"/>
      <c r="H341" s="5" t="str">
        <f>TEXT(Table316[[#This Row],[Value Date]],"mmmm")</f>
        <v>January</v>
      </c>
    </row>
    <row r="342" spans="1:8">
      <c r="A342" s="3">
        <f t="shared" si="5"/>
        <v>153740</v>
      </c>
      <c r="C342" s="217"/>
      <c r="H342" s="5" t="str">
        <f>TEXT(Table316[[#This Row],[Value Date]],"mmmm")</f>
        <v>January</v>
      </c>
    </row>
    <row r="343" spans="1:8">
      <c r="A343" s="3">
        <f t="shared" si="5"/>
        <v>153740</v>
      </c>
      <c r="H343" s="5" t="str">
        <f>TEXT(Table316[[#This Row],[Value Date]],"mmmm")</f>
        <v>January</v>
      </c>
    </row>
    <row r="344" spans="1:8">
      <c r="A344" s="3">
        <f t="shared" si="5"/>
        <v>153740</v>
      </c>
      <c r="H344" s="5" t="str">
        <f>TEXT(Table316[[#This Row],[Value Date]],"mmmm")</f>
        <v>January</v>
      </c>
    </row>
    <row r="345" spans="1:8">
      <c r="A345" s="3">
        <f t="shared" si="5"/>
        <v>153740</v>
      </c>
      <c r="H345" s="5" t="str">
        <f>TEXT(Table316[[#This Row],[Value Date]],"mmmm")</f>
        <v>January</v>
      </c>
    </row>
    <row r="346" spans="1:8">
      <c r="A346" s="3">
        <f t="shared" si="5"/>
        <v>153740</v>
      </c>
      <c r="H346" s="5" t="str">
        <f>TEXT(Table316[[#This Row],[Value Date]],"mmmm")</f>
        <v>January</v>
      </c>
    </row>
    <row r="347" spans="1:8">
      <c r="A347" s="3">
        <f t="shared" si="5"/>
        <v>153740</v>
      </c>
      <c r="H347" s="5" t="str">
        <f>TEXT(Table316[[#This Row],[Value Date]],"mmmm")</f>
        <v>January</v>
      </c>
    </row>
    <row r="348" spans="1:8">
      <c r="A348" s="3">
        <f t="shared" si="5"/>
        <v>153740</v>
      </c>
      <c r="H348" s="5" t="str">
        <f>TEXT(Table316[[#This Row],[Value Date]],"mmmm")</f>
        <v>January</v>
      </c>
    </row>
    <row r="349" spans="1:8">
      <c r="A349" s="3">
        <f t="shared" si="5"/>
        <v>153740</v>
      </c>
      <c r="H349" s="5" t="str">
        <f>TEXT(Table316[[#This Row],[Value Date]],"mmmm")</f>
        <v>January</v>
      </c>
    </row>
    <row r="350" spans="1:8">
      <c r="A350" s="3">
        <f t="shared" si="5"/>
        <v>153740</v>
      </c>
      <c r="H350" s="5" t="str">
        <f>TEXT(Table316[[#This Row],[Value Date]],"mmmm")</f>
        <v>January</v>
      </c>
    </row>
    <row r="351" spans="1:8">
      <c r="A351" s="3">
        <f t="shared" si="5"/>
        <v>153740</v>
      </c>
      <c r="H351" s="5" t="str">
        <f>TEXT(Table316[[#This Row],[Value Date]],"mmmm")</f>
        <v>January</v>
      </c>
    </row>
    <row r="352" spans="1:8">
      <c r="A352" s="3">
        <f t="shared" si="5"/>
        <v>153740</v>
      </c>
      <c r="H352" s="5" t="str">
        <f>TEXT(Table316[[#This Row],[Value Date]],"mmmm")</f>
        <v>January</v>
      </c>
    </row>
    <row r="353" spans="1:8">
      <c r="A353" s="3">
        <f t="shared" si="5"/>
        <v>153740</v>
      </c>
      <c r="H353" s="5" t="str">
        <f>TEXT(Table316[[#This Row],[Value Date]],"mmmm")</f>
        <v>January</v>
      </c>
    </row>
    <row r="354" spans="1:8">
      <c r="A354" s="3">
        <f t="shared" si="5"/>
        <v>153740</v>
      </c>
      <c r="H354" s="5" t="str">
        <f>TEXT(Table316[[#This Row],[Value Date]],"mmmm")</f>
        <v>January</v>
      </c>
    </row>
    <row r="355" spans="1:8">
      <c r="A355" s="3">
        <f t="shared" si="5"/>
        <v>153740</v>
      </c>
      <c r="H355" s="5" t="str">
        <f>TEXT(Table316[[#This Row],[Value Date]],"mmmm")</f>
        <v>January</v>
      </c>
    </row>
    <row r="356" spans="1:8">
      <c r="A356" s="3">
        <f t="shared" si="5"/>
        <v>153740</v>
      </c>
      <c r="H356" s="5" t="str">
        <f>TEXT(Table316[[#This Row],[Value Date]],"mmmm")</f>
        <v>January</v>
      </c>
    </row>
    <row r="357" spans="1:8">
      <c r="A357" s="3">
        <f t="shared" si="5"/>
        <v>153740</v>
      </c>
      <c r="H357" s="5" t="str">
        <f>TEXT(Table316[[#This Row],[Value Date]],"mmmm")</f>
        <v>January</v>
      </c>
    </row>
    <row r="358" spans="1:8">
      <c r="A358" s="3">
        <f t="shared" si="5"/>
        <v>153740</v>
      </c>
      <c r="H358" s="5" t="str">
        <f>TEXT(Table316[[#This Row],[Value Date]],"mmmm")</f>
        <v>January</v>
      </c>
    </row>
    <row r="359" spans="1:8">
      <c r="A359" s="3">
        <f t="shared" si="5"/>
        <v>153740</v>
      </c>
      <c r="H359" s="5" t="str">
        <f>TEXT(Table316[[#This Row],[Value Date]],"mmmm")</f>
        <v>January</v>
      </c>
    </row>
    <row r="360" spans="1:8">
      <c r="A360" s="3">
        <f t="shared" si="5"/>
        <v>153740</v>
      </c>
      <c r="H360" s="5" t="str">
        <f>TEXT(Table316[[#This Row],[Value Date]],"mmmm")</f>
        <v>January</v>
      </c>
    </row>
    <row r="361" spans="1:8">
      <c r="A361" s="3">
        <f t="shared" si="5"/>
        <v>153740</v>
      </c>
      <c r="H361" s="5" t="str">
        <f>TEXT(Table316[[#This Row],[Value Date]],"mmmm")</f>
        <v>January</v>
      </c>
    </row>
    <row r="362" spans="1:8">
      <c r="A362" s="3">
        <f t="shared" si="5"/>
        <v>153740</v>
      </c>
      <c r="H362" s="5" t="str">
        <f>TEXT(Table316[[#This Row],[Value Date]],"mmmm")</f>
        <v>January</v>
      </c>
    </row>
    <row r="363" spans="1:8">
      <c r="A363" s="3">
        <f t="shared" si="5"/>
        <v>153740</v>
      </c>
      <c r="H363" s="5" t="str">
        <f>TEXT(Table316[[#This Row],[Value Date]],"mmmm")</f>
        <v>January</v>
      </c>
    </row>
    <row r="364" spans="1:8">
      <c r="A364" s="3">
        <f t="shared" si="5"/>
        <v>153740</v>
      </c>
      <c r="H364" s="5" t="str">
        <f>TEXT(Table316[[#This Row],[Value Date]],"mmmm")</f>
        <v>January</v>
      </c>
    </row>
    <row r="365" spans="1:8">
      <c r="A365" s="3">
        <f t="shared" si="5"/>
        <v>153740</v>
      </c>
      <c r="H365" s="5" t="str">
        <f>TEXT(Table316[[#This Row],[Value Date]],"mmmm")</f>
        <v>January</v>
      </c>
    </row>
    <row r="366" spans="1:8">
      <c r="A366" s="3">
        <f t="shared" si="5"/>
        <v>153740</v>
      </c>
      <c r="H366" s="5" t="str">
        <f>TEXT(Table316[[#This Row],[Value Date]],"mmmm")</f>
        <v>January</v>
      </c>
    </row>
    <row r="367" spans="1:8">
      <c r="A367" s="3">
        <f t="shared" si="5"/>
        <v>153740</v>
      </c>
      <c r="H367" s="5" t="str">
        <f>TEXT(Table316[[#This Row],[Value Date]],"mmmm")</f>
        <v>January</v>
      </c>
    </row>
    <row r="368" spans="1:8">
      <c r="A368" s="3">
        <f t="shared" si="5"/>
        <v>153740</v>
      </c>
      <c r="H368" s="5" t="str">
        <f>TEXT(Table316[[#This Row],[Value Date]],"mmmm")</f>
        <v>January</v>
      </c>
    </row>
    <row r="369" spans="1:8">
      <c r="A369" s="3">
        <f t="shared" si="5"/>
        <v>153740</v>
      </c>
      <c r="H369" s="5" t="str">
        <f>TEXT(Table316[[#This Row],[Value Date]],"mmmm")</f>
        <v>January</v>
      </c>
    </row>
    <row r="370" spans="1:8">
      <c r="A370" s="3">
        <f t="shared" si="5"/>
        <v>153740</v>
      </c>
      <c r="H370" s="5" t="str">
        <f>TEXT(Table316[[#This Row],[Value Date]],"mmmm")</f>
        <v>January</v>
      </c>
    </row>
    <row r="371" spans="1:8">
      <c r="A371" s="3">
        <f t="shared" si="5"/>
        <v>153740</v>
      </c>
      <c r="H371" s="5" t="str">
        <f>TEXT(Table316[[#This Row],[Value Date]],"mmmm")</f>
        <v>January</v>
      </c>
    </row>
    <row r="372" spans="1:8">
      <c r="A372" s="3">
        <f t="shared" si="5"/>
        <v>153740</v>
      </c>
      <c r="H372" s="5" t="str">
        <f>TEXT(Table316[[#This Row],[Value Date]],"mmmm")</f>
        <v>January</v>
      </c>
    </row>
    <row r="373" spans="1:8">
      <c r="A373" s="3">
        <f t="shared" si="5"/>
        <v>153740</v>
      </c>
      <c r="H373" s="5" t="str">
        <f>TEXT(Table316[[#This Row],[Value Date]],"mmmm")</f>
        <v>January</v>
      </c>
    </row>
    <row r="374" spans="1:8">
      <c r="A374" s="3">
        <f t="shared" si="5"/>
        <v>153740</v>
      </c>
      <c r="H374" s="5" t="str">
        <f>TEXT(Table316[[#This Row],[Value Date]],"mmmm")</f>
        <v>January</v>
      </c>
    </row>
    <row r="375" spans="1:8">
      <c r="A375" s="3">
        <f t="shared" si="5"/>
        <v>153740</v>
      </c>
      <c r="H375" s="5" t="str">
        <f>TEXT(Table316[[#This Row],[Value Date]],"mmmm")</f>
        <v>January</v>
      </c>
    </row>
    <row r="376" spans="1:8">
      <c r="A376" s="3">
        <f t="shared" si="5"/>
        <v>153740</v>
      </c>
      <c r="H376" s="5" t="str">
        <f>TEXT(Table316[[#This Row],[Value Date]],"mmmm")</f>
        <v>January</v>
      </c>
    </row>
    <row r="377" spans="1:8">
      <c r="A377" s="3">
        <f t="shared" si="5"/>
        <v>153740</v>
      </c>
      <c r="H377" s="5" t="str">
        <f>TEXT(Table316[[#This Row],[Value Date]],"mmmm")</f>
        <v>January</v>
      </c>
    </row>
    <row r="378" spans="1:8">
      <c r="A378" s="3">
        <f t="shared" si="5"/>
        <v>153740</v>
      </c>
      <c r="H378" s="5" t="str">
        <f>TEXT(Table316[[#This Row],[Value Date]],"mmmm")</f>
        <v>January</v>
      </c>
    </row>
    <row r="379" spans="1:8">
      <c r="A379" s="3">
        <f t="shared" si="5"/>
        <v>153740</v>
      </c>
      <c r="H379" s="5" t="str">
        <f>TEXT(Table316[[#This Row],[Value Date]],"mmmm")</f>
        <v>January</v>
      </c>
    </row>
    <row r="380" spans="1:8">
      <c r="A380" s="3">
        <f t="shared" si="5"/>
        <v>153740</v>
      </c>
      <c r="H380" s="5" t="str">
        <f>TEXT(Table316[[#This Row],[Value Date]],"mmmm")</f>
        <v>January</v>
      </c>
    </row>
    <row r="381" spans="1:8">
      <c r="A381" s="3">
        <f t="shared" si="5"/>
        <v>153740</v>
      </c>
      <c r="H381" s="5" t="str">
        <f>TEXT(Table316[[#This Row],[Value Date]],"mmmm")</f>
        <v>January</v>
      </c>
    </row>
    <row r="382" spans="1:8">
      <c r="A382" s="3">
        <f t="shared" si="5"/>
        <v>153740</v>
      </c>
      <c r="H382" s="5" t="str">
        <f>TEXT(Table316[[#This Row],[Value Date]],"mmmm")</f>
        <v>January</v>
      </c>
    </row>
    <row r="383" spans="1:8">
      <c r="A383" s="3">
        <f t="shared" si="5"/>
        <v>153740</v>
      </c>
      <c r="H383" s="5" t="str">
        <f>TEXT(Table316[[#This Row],[Value Date]],"mmmm")</f>
        <v>January</v>
      </c>
    </row>
    <row r="384" spans="1:8">
      <c r="A384" s="3">
        <f t="shared" si="5"/>
        <v>153740</v>
      </c>
      <c r="H384" s="5" t="str">
        <f>TEXT(Table316[[#This Row],[Value Date]],"mmmm")</f>
        <v>January</v>
      </c>
    </row>
    <row r="385" spans="1:8">
      <c r="A385" s="3">
        <f t="shared" si="5"/>
        <v>153740</v>
      </c>
      <c r="H385" s="5" t="str">
        <f>TEXT(Table316[[#This Row],[Value Date]],"mmmm")</f>
        <v>January</v>
      </c>
    </row>
    <row r="386" spans="1:8">
      <c r="A386" s="3">
        <f t="shared" si="5"/>
        <v>153740</v>
      </c>
      <c r="H386" s="5" t="str">
        <f>TEXT(Table316[[#This Row],[Value Date]],"mmmm")</f>
        <v>January</v>
      </c>
    </row>
    <row r="387" spans="1:8">
      <c r="A387" s="3">
        <f t="shared" si="5"/>
        <v>153740</v>
      </c>
      <c r="H387" s="5" t="str">
        <f>TEXT(Table316[[#This Row],[Value Date]],"mmmm")</f>
        <v>January</v>
      </c>
    </row>
    <row r="388" spans="1:8">
      <c r="A388" s="3">
        <f t="shared" si="5"/>
        <v>153740</v>
      </c>
      <c r="H388" s="5" t="str">
        <f>TEXT(Table316[[#This Row],[Value Date]],"mmmm")</f>
        <v>January</v>
      </c>
    </row>
    <row r="389" spans="1:8">
      <c r="A389" s="3">
        <f t="shared" si="5"/>
        <v>153740</v>
      </c>
      <c r="H389" s="5" t="str">
        <f>TEXT(Table316[[#This Row],[Value Date]],"mmmm")</f>
        <v>January</v>
      </c>
    </row>
    <row r="390" spans="1:8">
      <c r="A390" s="3">
        <f t="shared" si="5"/>
        <v>153740</v>
      </c>
      <c r="H390" s="5" t="str">
        <f>TEXT(Table316[[#This Row],[Value Date]],"mmmm")</f>
        <v>January</v>
      </c>
    </row>
    <row r="391" spans="1:8">
      <c r="A391" s="3">
        <f t="shared" ref="A391:A439" si="6">A390+B391-C391</f>
        <v>153740</v>
      </c>
      <c r="H391" s="5" t="str">
        <f>TEXT(Table316[[#This Row],[Value Date]],"mmmm")</f>
        <v>January</v>
      </c>
    </row>
    <row r="392" spans="1:8">
      <c r="A392" s="3">
        <f t="shared" si="6"/>
        <v>153740</v>
      </c>
      <c r="H392" s="5" t="str">
        <f>TEXT(Table316[[#This Row],[Value Date]],"mmmm")</f>
        <v>January</v>
      </c>
    </row>
    <row r="393" spans="1:8">
      <c r="A393" s="3">
        <f t="shared" si="6"/>
        <v>153740</v>
      </c>
      <c r="H393" s="5" t="str">
        <f>TEXT(Table316[[#This Row],[Value Date]],"mmmm")</f>
        <v>January</v>
      </c>
    </row>
    <row r="394" spans="1:8">
      <c r="A394" s="3">
        <f t="shared" si="6"/>
        <v>153740</v>
      </c>
      <c r="H394" s="5" t="str">
        <f>TEXT(Table316[[#This Row],[Value Date]],"mmmm")</f>
        <v>January</v>
      </c>
    </row>
    <row r="395" spans="1:8">
      <c r="A395" s="3">
        <f t="shared" si="6"/>
        <v>153740</v>
      </c>
      <c r="H395" s="5" t="str">
        <f>TEXT(Table316[[#This Row],[Value Date]],"mmmm")</f>
        <v>January</v>
      </c>
    </row>
    <row r="396" spans="1:8">
      <c r="A396" s="3">
        <f t="shared" si="6"/>
        <v>153740</v>
      </c>
      <c r="H396" s="5" t="str">
        <f>TEXT(Table316[[#This Row],[Value Date]],"mmmm")</f>
        <v>January</v>
      </c>
    </row>
    <row r="397" spans="1:8">
      <c r="A397" s="3">
        <f t="shared" si="6"/>
        <v>153740</v>
      </c>
      <c r="H397" s="5" t="str">
        <f>TEXT(Table316[[#This Row],[Value Date]],"mmmm")</f>
        <v>January</v>
      </c>
    </row>
    <row r="398" spans="1:8">
      <c r="A398" s="3">
        <f t="shared" si="6"/>
        <v>153740</v>
      </c>
      <c r="H398" s="5" t="str">
        <f>TEXT(Table316[[#This Row],[Value Date]],"mmmm")</f>
        <v>January</v>
      </c>
    </row>
    <row r="399" spans="1:8">
      <c r="A399" s="3">
        <f t="shared" si="6"/>
        <v>153740</v>
      </c>
      <c r="H399" s="5" t="str">
        <f>TEXT(Table316[[#This Row],[Value Date]],"mmmm")</f>
        <v>January</v>
      </c>
    </row>
    <row r="400" spans="1:8">
      <c r="A400" s="3">
        <f t="shared" si="6"/>
        <v>153740</v>
      </c>
      <c r="H400" s="5" t="str">
        <f>TEXT(Table316[[#This Row],[Value Date]],"mmmm")</f>
        <v>January</v>
      </c>
    </row>
    <row r="401" spans="1:8">
      <c r="A401" s="3">
        <f t="shared" si="6"/>
        <v>153740</v>
      </c>
      <c r="H401" s="5" t="str">
        <f>TEXT(Table316[[#This Row],[Value Date]],"mmmm")</f>
        <v>January</v>
      </c>
    </row>
    <row r="402" spans="1:8">
      <c r="A402" s="3">
        <f t="shared" si="6"/>
        <v>153740</v>
      </c>
      <c r="H402" s="5" t="str">
        <f>TEXT(Table316[[#This Row],[Value Date]],"mmmm")</f>
        <v>January</v>
      </c>
    </row>
    <row r="403" spans="1:8">
      <c r="A403" s="3">
        <f t="shared" si="6"/>
        <v>153740</v>
      </c>
      <c r="H403" s="5" t="str">
        <f>TEXT(Table316[[#This Row],[Value Date]],"mmmm")</f>
        <v>January</v>
      </c>
    </row>
    <row r="404" spans="1:8">
      <c r="A404" s="3">
        <f t="shared" si="6"/>
        <v>153740</v>
      </c>
      <c r="H404" s="5" t="str">
        <f>TEXT(Table316[[#This Row],[Value Date]],"mmmm")</f>
        <v>January</v>
      </c>
    </row>
    <row r="405" spans="1:8">
      <c r="A405" s="3">
        <f t="shared" si="6"/>
        <v>153740</v>
      </c>
      <c r="H405" s="5" t="str">
        <f>TEXT(Table316[[#This Row],[Value Date]],"mmmm")</f>
        <v>January</v>
      </c>
    </row>
    <row r="406" spans="1:8">
      <c r="A406" s="3">
        <f t="shared" si="6"/>
        <v>153740</v>
      </c>
      <c r="H406" s="5" t="str">
        <f>TEXT(Table316[[#This Row],[Value Date]],"mmmm")</f>
        <v>January</v>
      </c>
    </row>
    <row r="407" spans="1:8">
      <c r="A407" s="3">
        <f t="shared" si="6"/>
        <v>153740</v>
      </c>
      <c r="H407" s="5" t="str">
        <f>TEXT(Table316[[#This Row],[Value Date]],"mmmm")</f>
        <v>January</v>
      </c>
    </row>
    <row r="408" spans="1:8">
      <c r="A408" s="3">
        <f t="shared" si="6"/>
        <v>153740</v>
      </c>
      <c r="H408" s="5" t="str">
        <f>TEXT(Table316[[#This Row],[Value Date]],"mmmm")</f>
        <v>January</v>
      </c>
    </row>
    <row r="409" spans="1:8">
      <c r="A409" s="3">
        <f t="shared" si="6"/>
        <v>153740</v>
      </c>
      <c r="H409" s="5" t="str">
        <f>TEXT(Table316[[#This Row],[Value Date]],"mmmm")</f>
        <v>January</v>
      </c>
    </row>
    <row r="410" spans="1:8">
      <c r="A410" s="3">
        <f t="shared" si="6"/>
        <v>153740</v>
      </c>
      <c r="H410" s="5" t="str">
        <f>TEXT(Table316[[#This Row],[Value Date]],"mmmm")</f>
        <v>January</v>
      </c>
    </row>
    <row r="411" spans="1:8">
      <c r="A411" s="3">
        <f t="shared" si="6"/>
        <v>153740</v>
      </c>
      <c r="H411" s="5" t="str">
        <f>TEXT(Table316[[#This Row],[Value Date]],"mmmm")</f>
        <v>January</v>
      </c>
    </row>
    <row r="412" spans="1:8">
      <c r="A412" s="3">
        <f t="shared" si="6"/>
        <v>153740</v>
      </c>
      <c r="H412" s="5" t="str">
        <f>TEXT(Table316[[#This Row],[Value Date]],"mmmm")</f>
        <v>January</v>
      </c>
    </row>
    <row r="413" spans="1:8">
      <c r="A413" s="3">
        <f t="shared" si="6"/>
        <v>153740</v>
      </c>
      <c r="H413" s="5" t="str">
        <f>TEXT(Table316[[#This Row],[Value Date]],"mmmm")</f>
        <v>January</v>
      </c>
    </row>
    <row r="414" spans="1:8">
      <c r="A414" s="3">
        <f t="shared" si="6"/>
        <v>153740</v>
      </c>
      <c r="H414" s="5" t="str">
        <f>TEXT(Table316[[#This Row],[Value Date]],"mmmm")</f>
        <v>January</v>
      </c>
    </row>
    <row r="415" spans="1:8">
      <c r="A415" s="3">
        <f t="shared" si="6"/>
        <v>153740</v>
      </c>
      <c r="H415" s="5" t="str">
        <f>TEXT(Table316[[#This Row],[Value Date]],"mmmm")</f>
        <v>January</v>
      </c>
    </row>
    <row r="416" spans="1:8">
      <c r="A416" s="3">
        <f t="shared" si="6"/>
        <v>153740</v>
      </c>
      <c r="H416" s="5" t="str">
        <f>TEXT(Table316[[#This Row],[Value Date]],"mmmm")</f>
        <v>January</v>
      </c>
    </row>
    <row r="417" spans="1:8">
      <c r="A417" s="3">
        <f t="shared" si="6"/>
        <v>153740</v>
      </c>
      <c r="H417" s="5" t="str">
        <f>TEXT(Table316[[#This Row],[Value Date]],"mmmm")</f>
        <v>January</v>
      </c>
    </row>
    <row r="418" spans="1:8">
      <c r="A418" s="3">
        <f t="shared" si="6"/>
        <v>153740</v>
      </c>
      <c r="H418" s="5" t="str">
        <f>TEXT(Table316[[#This Row],[Value Date]],"mmmm")</f>
        <v>January</v>
      </c>
    </row>
    <row r="419" spans="1:8">
      <c r="A419" s="3">
        <f t="shared" si="6"/>
        <v>153740</v>
      </c>
      <c r="H419" s="5" t="str">
        <f>TEXT(Table316[[#This Row],[Value Date]],"mmmm")</f>
        <v>January</v>
      </c>
    </row>
    <row r="420" spans="1:8">
      <c r="A420" s="3">
        <f t="shared" si="6"/>
        <v>153740</v>
      </c>
      <c r="H420" s="5" t="str">
        <f>TEXT(Table316[[#This Row],[Value Date]],"mmmm")</f>
        <v>January</v>
      </c>
    </row>
    <row r="421" spans="1:8">
      <c r="A421" s="3">
        <f t="shared" si="6"/>
        <v>153740</v>
      </c>
      <c r="H421" s="5" t="str">
        <f>TEXT(Table316[[#This Row],[Value Date]],"mmmm")</f>
        <v>January</v>
      </c>
    </row>
    <row r="422" spans="1:8">
      <c r="A422" s="3">
        <f t="shared" si="6"/>
        <v>153740</v>
      </c>
      <c r="H422" s="5" t="str">
        <f>TEXT(Table316[[#This Row],[Value Date]],"mmmm")</f>
        <v>January</v>
      </c>
    </row>
    <row r="423" spans="1:8">
      <c r="A423" s="3">
        <f t="shared" si="6"/>
        <v>153740</v>
      </c>
      <c r="H423" s="5" t="str">
        <f>TEXT(Table316[[#This Row],[Value Date]],"mmmm")</f>
        <v>January</v>
      </c>
    </row>
    <row r="424" spans="1:8">
      <c r="A424" s="3">
        <f t="shared" si="6"/>
        <v>153740</v>
      </c>
      <c r="H424" s="5" t="str">
        <f>TEXT(Table316[[#This Row],[Value Date]],"mmmm")</f>
        <v>January</v>
      </c>
    </row>
    <row r="425" spans="1:8">
      <c r="A425" s="3">
        <f t="shared" si="6"/>
        <v>153740</v>
      </c>
      <c r="H425" s="5" t="str">
        <f>TEXT(Table316[[#This Row],[Value Date]],"mmmm")</f>
        <v>January</v>
      </c>
    </row>
    <row r="426" spans="1:8">
      <c r="A426" s="3">
        <f t="shared" si="6"/>
        <v>153740</v>
      </c>
      <c r="H426" s="5" t="str">
        <f>TEXT(Table316[[#This Row],[Value Date]],"mmmm")</f>
        <v>January</v>
      </c>
    </row>
    <row r="427" spans="1:8">
      <c r="A427" s="3">
        <f t="shared" si="6"/>
        <v>153740</v>
      </c>
      <c r="H427" s="5" t="str">
        <f>TEXT(Table316[[#This Row],[Value Date]],"mmmm")</f>
        <v>January</v>
      </c>
    </row>
    <row r="428" spans="1:8">
      <c r="A428" s="3">
        <f t="shared" si="6"/>
        <v>153740</v>
      </c>
      <c r="H428" s="5" t="str">
        <f>TEXT(Table316[[#This Row],[Value Date]],"mmmm")</f>
        <v>January</v>
      </c>
    </row>
    <row r="429" spans="1:8">
      <c r="A429" s="3">
        <f t="shared" si="6"/>
        <v>153740</v>
      </c>
      <c r="H429" s="5" t="str">
        <f>TEXT(Table316[[#This Row],[Value Date]],"mmmm")</f>
        <v>January</v>
      </c>
    </row>
    <row r="430" spans="1:8">
      <c r="A430" s="3">
        <f t="shared" si="6"/>
        <v>153740</v>
      </c>
      <c r="H430" s="5" t="str">
        <f>TEXT(Table316[[#This Row],[Value Date]],"mmmm")</f>
        <v>January</v>
      </c>
    </row>
    <row r="431" spans="1:8">
      <c r="A431" s="3">
        <f t="shared" si="6"/>
        <v>153740</v>
      </c>
      <c r="H431" s="5" t="str">
        <f>TEXT(Table316[[#This Row],[Value Date]],"mmmm")</f>
        <v>January</v>
      </c>
    </row>
    <row r="432" spans="1:8">
      <c r="A432" s="3">
        <f t="shared" si="6"/>
        <v>153740</v>
      </c>
      <c r="H432" s="5" t="str">
        <f>TEXT(Table316[[#This Row],[Value Date]],"mmmm")</f>
        <v>January</v>
      </c>
    </row>
    <row r="433" spans="1:11">
      <c r="A433" s="3">
        <f t="shared" si="6"/>
        <v>153740</v>
      </c>
      <c r="H433" s="5" t="str">
        <f>TEXT(Table316[[#This Row],[Value Date]],"mmmm")</f>
        <v>January</v>
      </c>
    </row>
    <row r="434" spans="1:11">
      <c r="A434" s="3">
        <f t="shared" si="6"/>
        <v>153740</v>
      </c>
      <c r="H434" s="5" t="str">
        <f>TEXT(Table316[[#This Row],[Value Date]],"mmmm")</f>
        <v>January</v>
      </c>
    </row>
    <row r="435" spans="1:11">
      <c r="A435" s="3">
        <f t="shared" si="6"/>
        <v>153740</v>
      </c>
      <c r="H435" s="5" t="str">
        <f>TEXT(Table316[[#This Row],[Value Date]],"mmmm")</f>
        <v>January</v>
      </c>
    </row>
    <row r="436" spans="1:11">
      <c r="A436" s="3">
        <f t="shared" si="6"/>
        <v>153740</v>
      </c>
      <c r="H436" s="5" t="str">
        <f>TEXT(Table316[[#This Row],[Value Date]],"mmmm")</f>
        <v>January</v>
      </c>
    </row>
    <row r="437" spans="1:11">
      <c r="A437" s="3">
        <f t="shared" si="6"/>
        <v>153740</v>
      </c>
      <c r="H437" s="5" t="str">
        <f>TEXT(Table316[[#This Row],[Value Date]],"mmmm")</f>
        <v>January</v>
      </c>
    </row>
    <row r="438" spans="1:11">
      <c r="A438" s="3">
        <f t="shared" si="6"/>
        <v>153740</v>
      </c>
      <c r="H438" s="5" t="str">
        <f>TEXT(Table316[[#This Row],[Value Date]],"mmmm")</f>
        <v>January</v>
      </c>
    </row>
    <row r="439" spans="1:11">
      <c r="A439" s="3">
        <f t="shared" si="6"/>
        <v>153740</v>
      </c>
      <c r="B439" s="12"/>
      <c r="C439" s="12"/>
      <c r="D439" s="13"/>
      <c r="E439" s="13"/>
      <c r="F439" s="13"/>
      <c r="G439" s="14" t="s">
        <v>33</v>
      </c>
      <c r="H439" s="14" t="str">
        <f>TEXT(Table316[[#This Row],[Value Date]],"mmmm")</f>
        <v>January</v>
      </c>
      <c r="I439" s="13"/>
      <c r="J439" s="13"/>
      <c r="K439" s="15"/>
    </row>
    <row r="440" spans="1:11" s="15" customFormat="1">
      <c r="A440" s="3"/>
      <c r="B440" s="3"/>
      <c r="C440" s="3"/>
      <c r="D440" s="4"/>
      <c r="E440" s="4"/>
      <c r="F440" s="4"/>
      <c r="G440" s="5"/>
      <c r="H440" s="5"/>
      <c r="I440" s="4"/>
      <c r="J440" s="4"/>
      <c r="K440" s="4"/>
    </row>
  </sheetData>
  <pageMargins left="0.7" right="0.7" top="0.75" bottom="0.75" header="0.3" footer="0.3"/>
  <pageSetup paperSize="9" scale="23"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F676F-E494-458B-A3B3-D2E725AA0CD8}">
  <dimension ref="A1:K440"/>
  <sheetViews>
    <sheetView workbookViewId="0"/>
  </sheetViews>
  <sheetFormatPr defaultRowHeight="22.5"/>
  <cols>
    <col min="1" max="1" width="25.5703125" style="3" bestFit="1" customWidth="1"/>
    <col min="2" max="2" width="19.28515625" style="3" bestFit="1" customWidth="1"/>
    <col min="3" max="3" width="22.28515625" style="3" bestFit="1" customWidth="1"/>
    <col min="4" max="4" width="17.140625" style="4" bestFit="1" customWidth="1"/>
    <col min="5" max="5" width="24.5703125" style="4" bestFit="1" customWidth="1"/>
    <col min="6" max="6" width="23" style="4" bestFit="1" customWidth="1"/>
    <col min="7" max="7" width="163" style="5" customWidth="1"/>
    <col min="8" max="8" width="20.5703125" style="5" customWidth="1"/>
    <col min="9" max="9" width="39.85546875" style="4" bestFit="1" customWidth="1"/>
    <col min="10" max="10" width="16.42578125" style="4" bestFit="1" customWidth="1"/>
    <col min="11" max="16384" width="9.140625" style="4"/>
  </cols>
  <sheetData>
    <row r="1" spans="1:11" ht="97.5" customHeight="1">
      <c r="A1" s="215">
        <f>A439</f>
        <v>2000</v>
      </c>
    </row>
    <row r="2" spans="1:11" ht="38.25" customHeight="1">
      <c r="A2" s="6" t="s">
        <v>15</v>
      </c>
      <c r="B2" s="6" t="s">
        <v>16</v>
      </c>
      <c r="C2" s="6" t="s">
        <v>17</v>
      </c>
      <c r="D2" s="7" t="s">
        <v>18</v>
      </c>
      <c r="E2" s="7" t="s">
        <v>19</v>
      </c>
      <c r="F2" s="7" t="s">
        <v>20</v>
      </c>
      <c r="G2" s="7" t="s">
        <v>21</v>
      </c>
      <c r="H2" s="7"/>
      <c r="I2" s="7"/>
      <c r="J2" s="8"/>
    </row>
    <row r="3" spans="1:11" ht="38.25" customHeight="1">
      <c r="A3" s="6" t="s">
        <v>22</v>
      </c>
      <c r="B3" s="6" t="s">
        <v>23</v>
      </c>
      <c r="C3" s="6" t="s">
        <v>24</v>
      </c>
      <c r="D3" s="7" t="s">
        <v>25</v>
      </c>
      <c r="E3" s="7" t="s">
        <v>26</v>
      </c>
      <c r="F3" s="7" t="s">
        <v>27</v>
      </c>
      <c r="G3" s="7" t="s">
        <v>28</v>
      </c>
      <c r="H3" s="7" t="s">
        <v>1</v>
      </c>
      <c r="I3" s="7" t="s">
        <v>29</v>
      </c>
      <c r="J3" s="7" t="s">
        <v>30</v>
      </c>
      <c r="K3" s="9" t="s">
        <v>31</v>
      </c>
    </row>
    <row r="4" spans="1:11">
      <c r="A4" s="3">
        <f>B4</f>
        <v>0</v>
      </c>
      <c r="B4" s="3">
        <v>0</v>
      </c>
      <c r="G4" s="5" t="s">
        <v>303</v>
      </c>
      <c r="H4" s="5" t="s">
        <v>1423</v>
      </c>
      <c r="I4" s="4" t="s">
        <v>303</v>
      </c>
      <c r="J4" s="4" t="s">
        <v>303</v>
      </c>
    </row>
    <row r="5" spans="1:11">
      <c r="A5" s="3">
        <f>A4+B5-C5</f>
        <v>2000</v>
      </c>
      <c r="B5" s="3">
        <v>2000</v>
      </c>
      <c r="C5" s="216"/>
      <c r="D5" s="158">
        <v>45956</v>
      </c>
      <c r="F5" s="185"/>
      <c r="H5" s="5" t="s">
        <v>1423</v>
      </c>
      <c r="I5" s="4" t="s">
        <v>306</v>
      </c>
      <c r="J5" s="4" t="s">
        <v>307</v>
      </c>
    </row>
    <row r="6" spans="1:11">
      <c r="A6" s="3">
        <f t="shared" ref="A6:A69" si="0">A5+B6-C6</f>
        <v>2000</v>
      </c>
      <c r="C6" s="217"/>
      <c r="H6" s="5" t="str">
        <f>TEXT(Table3161412[[#This Row],[Value Date]],"mmmm")</f>
        <v>January</v>
      </c>
    </row>
    <row r="7" spans="1:11">
      <c r="A7" s="3">
        <f t="shared" si="0"/>
        <v>2000</v>
      </c>
      <c r="B7" s="217"/>
      <c r="H7" s="5" t="str">
        <f>TEXT(Table3161412[[#This Row],[Value Date]],"mmmm")</f>
        <v>January</v>
      </c>
    </row>
    <row r="8" spans="1:11">
      <c r="A8" s="3">
        <f t="shared" si="0"/>
        <v>2000</v>
      </c>
      <c r="C8" s="217"/>
      <c r="H8" s="5" t="str">
        <f>TEXT(Table3161412[[#This Row],[Value Date]],"mmmm")</f>
        <v>January</v>
      </c>
    </row>
    <row r="9" spans="1:11">
      <c r="A9" s="3">
        <f t="shared" si="0"/>
        <v>2000</v>
      </c>
      <c r="B9" s="217"/>
      <c r="H9" s="5" t="str">
        <f>TEXT(Table3161412[[#This Row],[Value Date]],"mmmm")</f>
        <v>January</v>
      </c>
    </row>
    <row r="10" spans="1:11">
      <c r="A10" s="3">
        <f t="shared" si="0"/>
        <v>2000</v>
      </c>
      <c r="C10" s="217"/>
      <c r="H10" s="5" t="str">
        <f>TEXT(Table3161412[[#This Row],[Value Date]],"mmmm")</f>
        <v>January</v>
      </c>
    </row>
    <row r="11" spans="1:11">
      <c r="A11" s="3">
        <f t="shared" si="0"/>
        <v>2000</v>
      </c>
      <c r="C11" s="217"/>
      <c r="H11" s="5" t="str">
        <f>TEXT(Table3161412[[#This Row],[Value Date]],"mmmm")</f>
        <v>January</v>
      </c>
    </row>
    <row r="12" spans="1:11">
      <c r="A12" s="3">
        <f t="shared" si="0"/>
        <v>2000</v>
      </c>
      <c r="C12" s="217"/>
      <c r="H12" s="5" t="str">
        <f>TEXT(Table3161412[[#This Row],[Value Date]],"mmmm")</f>
        <v>January</v>
      </c>
    </row>
    <row r="13" spans="1:11">
      <c r="A13" s="3">
        <f t="shared" si="0"/>
        <v>2000</v>
      </c>
      <c r="B13" s="217"/>
      <c r="H13" s="5" t="str">
        <f>TEXT(Table3161412[[#This Row],[Value Date]],"mmmm")</f>
        <v>January</v>
      </c>
    </row>
    <row r="14" spans="1:11">
      <c r="A14" s="3">
        <f t="shared" si="0"/>
        <v>2000</v>
      </c>
      <c r="C14" s="217"/>
      <c r="H14" s="5" t="str">
        <f>TEXT(Table3161412[[#This Row],[Value Date]],"mmmm")</f>
        <v>January</v>
      </c>
    </row>
    <row r="15" spans="1:11">
      <c r="A15" s="3">
        <f t="shared" si="0"/>
        <v>2000</v>
      </c>
      <c r="B15" s="205"/>
      <c r="C15" s="205"/>
      <c r="H15" s="5" t="str">
        <f>TEXT(Table3161412[[#This Row],[Value Date]],"mmmm")</f>
        <v>January</v>
      </c>
    </row>
    <row r="16" spans="1:11">
      <c r="A16" s="3">
        <f t="shared" si="0"/>
        <v>2000</v>
      </c>
      <c r="C16" s="217"/>
      <c r="H16" s="5" t="str">
        <f>TEXT(Table3161412[[#This Row],[Value Date]],"mmmm")</f>
        <v>January</v>
      </c>
    </row>
    <row r="17" spans="1:8">
      <c r="A17" s="3">
        <f t="shared" si="0"/>
        <v>2000</v>
      </c>
      <c r="B17" s="217"/>
      <c r="H17" s="5" t="str">
        <f>TEXT(Table3161412[[#This Row],[Value Date]],"mmmm")</f>
        <v>January</v>
      </c>
    </row>
    <row r="18" spans="1:8">
      <c r="A18" s="3">
        <f t="shared" si="0"/>
        <v>2000</v>
      </c>
      <c r="C18" s="217"/>
      <c r="H18" s="5" t="str">
        <f>TEXT(Table3161412[[#This Row],[Value Date]],"mmmm")</f>
        <v>January</v>
      </c>
    </row>
    <row r="19" spans="1:8">
      <c r="A19" s="3">
        <f t="shared" si="0"/>
        <v>2000</v>
      </c>
      <c r="C19" s="217"/>
      <c r="H19" s="5" t="str">
        <f>TEXT(Table3161412[[#This Row],[Value Date]],"mmmm")</f>
        <v>January</v>
      </c>
    </row>
    <row r="20" spans="1:8">
      <c r="A20" s="3">
        <f t="shared" si="0"/>
        <v>2000</v>
      </c>
      <c r="C20" s="217"/>
      <c r="H20" s="5" t="str">
        <f>TEXT(Table3161412[[#This Row],[Value Date]],"mmmm")</f>
        <v>January</v>
      </c>
    </row>
    <row r="21" spans="1:8">
      <c r="A21" s="3">
        <f t="shared" si="0"/>
        <v>2000</v>
      </c>
      <c r="C21" s="217"/>
      <c r="H21" s="5" t="str">
        <f>TEXT(Table3161412[[#This Row],[Value Date]],"mmmm")</f>
        <v>January</v>
      </c>
    </row>
    <row r="22" spans="1:8">
      <c r="A22" s="3">
        <f t="shared" si="0"/>
        <v>2000</v>
      </c>
      <c r="H22" s="5" t="str">
        <f>TEXT(Table3161412[[#This Row],[Value Date]],"mmmm")</f>
        <v>January</v>
      </c>
    </row>
    <row r="23" spans="1:8">
      <c r="A23" s="3">
        <f t="shared" si="0"/>
        <v>2000</v>
      </c>
      <c r="C23" s="217"/>
      <c r="H23" s="5" t="str">
        <f>TEXT(Table3161412[[#This Row],[Value Date]],"mmmm")</f>
        <v>January</v>
      </c>
    </row>
    <row r="24" spans="1:8">
      <c r="A24" s="3">
        <f t="shared" si="0"/>
        <v>2000</v>
      </c>
      <c r="B24" s="217"/>
      <c r="H24" s="5" t="str">
        <f>TEXT(Table3161412[[#This Row],[Value Date]],"mmmm")</f>
        <v>January</v>
      </c>
    </row>
    <row r="25" spans="1:8">
      <c r="A25" s="3">
        <f t="shared" si="0"/>
        <v>2000</v>
      </c>
      <c r="C25" s="217"/>
      <c r="H25" s="5" t="str">
        <f>TEXT(Table3161412[[#This Row],[Value Date]],"mmmm")</f>
        <v>January</v>
      </c>
    </row>
    <row r="26" spans="1:8">
      <c r="A26" s="3">
        <f t="shared" si="0"/>
        <v>2000</v>
      </c>
      <c r="C26" s="217"/>
      <c r="H26" s="5" t="str">
        <f>TEXT(Table3161412[[#This Row],[Value Date]],"mmmm")</f>
        <v>January</v>
      </c>
    </row>
    <row r="27" spans="1:8">
      <c r="A27" s="3">
        <f t="shared" si="0"/>
        <v>2000</v>
      </c>
      <c r="C27" s="216"/>
      <c r="H27" s="5" t="str">
        <f>TEXT(Table3161412[[#This Row],[Value Date]],"mmmm")</f>
        <v>January</v>
      </c>
    </row>
    <row r="28" spans="1:8">
      <c r="A28" s="3">
        <f t="shared" si="0"/>
        <v>2000</v>
      </c>
      <c r="B28" s="217"/>
      <c r="H28" s="5" t="str">
        <f>TEXT(Table3161412[[#This Row],[Value Date]],"mmmm")</f>
        <v>January</v>
      </c>
    </row>
    <row r="29" spans="1:8">
      <c r="A29" s="3">
        <f t="shared" si="0"/>
        <v>2000</v>
      </c>
      <c r="C29" s="217"/>
      <c r="H29" s="5" t="str">
        <f>TEXT(Table3161412[[#This Row],[Value Date]],"mmmm")</f>
        <v>January</v>
      </c>
    </row>
    <row r="30" spans="1:8">
      <c r="A30" s="3">
        <f t="shared" si="0"/>
        <v>2000</v>
      </c>
      <c r="C30" s="217"/>
      <c r="H30" s="5" t="str">
        <f>TEXT(Table3161412[[#This Row],[Value Date]],"mmmm")</f>
        <v>January</v>
      </c>
    </row>
    <row r="31" spans="1:8">
      <c r="A31" s="3">
        <f t="shared" si="0"/>
        <v>2000</v>
      </c>
      <c r="B31" s="217"/>
      <c r="H31" s="5" t="str">
        <f>TEXT(Table3161412[[#This Row],[Value Date]],"mmmm")</f>
        <v>January</v>
      </c>
    </row>
    <row r="32" spans="1:8">
      <c r="A32" s="3">
        <f t="shared" si="0"/>
        <v>2000</v>
      </c>
      <c r="B32" s="217"/>
      <c r="H32" s="5" t="str">
        <f>TEXT(Table3161412[[#This Row],[Value Date]],"mmmm")</f>
        <v>January</v>
      </c>
    </row>
    <row r="33" spans="1:8">
      <c r="A33" s="3">
        <f t="shared" si="0"/>
        <v>2000</v>
      </c>
      <c r="C33" s="217"/>
      <c r="H33" s="5" t="str">
        <f>TEXT(Table3161412[[#This Row],[Value Date]],"mmmm")</f>
        <v>January</v>
      </c>
    </row>
    <row r="34" spans="1:8">
      <c r="A34" s="3">
        <f t="shared" si="0"/>
        <v>2000</v>
      </c>
      <c r="C34" s="217"/>
      <c r="H34" s="5" t="str">
        <f>TEXT(Table3161412[[#This Row],[Value Date]],"mmmm")</f>
        <v>January</v>
      </c>
    </row>
    <row r="35" spans="1:8">
      <c r="A35" s="3">
        <f t="shared" si="0"/>
        <v>2000</v>
      </c>
      <c r="C35" s="217"/>
      <c r="H35" s="5" t="str">
        <f>TEXT(Table3161412[[#This Row],[Value Date]],"mmmm")</f>
        <v>January</v>
      </c>
    </row>
    <row r="36" spans="1:8">
      <c r="A36" s="3">
        <f t="shared" si="0"/>
        <v>2000</v>
      </c>
      <c r="C36" s="217"/>
      <c r="H36" s="5" t="str">
        <f>TEXT(Table3161412[[#This Row],[Value Date]],"mmmm")</f>
        <v>January</v>
      </c>
    </row>
    <row r="37" spans="1:8">
      <c r="A37" s="3">
        <f t="shared" si="0"/>
        <v>2000</v>
      </c>
      <c r="C37" s="217"/>
      <c r="H37" s="5" t="str">
        <f>TEXT(Table3161412[[#This Row],[Value Date]],"mmmm")</f>
        <v>January</v>
      </c>
    </row>
    <row r="38" spans="1:8">
      <c r="A38" s="3">
        <f t="shared" si="0"/>
        <v>2000</v>
      </c>
      <c r="C38" s="217"/>
      <c r="H38" s="5" t="str">
        <f>TEXT(Table3161412[[#This Row],[Value Date]],"mmmm")</f>
        <v>January</v>
      </c>
    </row>
    <row r="39" spans="1:8">
      <c r="A39" s="3">
        <f t="shared" si="0"/>
        <v>2000</v>
      </c>
      <c r="C39" s="217"/>
      <c r="H39" s="5" t="str">
        <f>TEXT(Table3161412[[#This Row],[Value Date]],"mmmm")</f>
        <v>January</v>
      </c>
    </row>
    <row r="40" spans="1:8">
      <c r="A40" s="3">
        <f t="shared" si="0"/>
        <v>2000</v>
      </c>
      <c r="C40" s="217"/>
      <c r="H40" s="5" t="str">
        <f>TEXT(Table3161412[[#This Row],[Value Date]],"mmmm")</f>
        <v>January</v>
      </c>
    </row>
    <row r="41" spans="1:8">
      <c r="A41" s="3">
        <f t="shared" si="0"/>
        <v>2000</v>
      </c>
      <c r="C41" s="217"/>
      <c r="H41" s="5" t="str">
        <f>TEXT(Table3161412[[#This Row],[Value Date]],"mmmm")</f>
        <v>January</v>
      </c>
    </row>
    <row r="42" spans="1:8">
      <c r="A42" s="3">
        <f t="shared" si="0"/>
        <v>2000</v>
      </c>
      <c r="C42" s="217"/>
      <c r="H42" s="5" t="str">
        <f>TEXT(Table3161412[[#This Row],[Value Date]],"mmmm")</f>
        <v>January</v>
      </c>
    </row>
    <row r="43" spans="1:8">
      <c r="A43" s="3">
        <f t="shared" si="0"/>
        <v>2000</v>
      </c>
      <c r="C43" s="216"/>
      <c r="H43" s="5" t="str">
        <f>TEXT(Table3161412[[#This Row],[Value Date]],"mmmm")</f>
        <v>January</v>
      </c>
    </row>
    <row r="44" spans="1:8">
      <c r="A44" s="3">
        <f t="shared" si="0"/>
        <v>2000</v>
      </c>
      <c r="C44" s="216"/>
      <c r="H44" s="5" t="str">
        <f>TEXT(Table3161412[[#This Row],[Value Date]],"mmmm")</f>
        <v>January</v>
      </c>
    </row>
    <row r="45" spans="1:8">
      <c r="A45" s="3">
        <f t="shared" si="0"/>
        <v>2000</v>
      </c>
      <c r="C45" s="216"/>
      <c r="H45" s="5" t="str">
        <f>TEXT(Table3161412[[#This Row],[Value Date]],"mmmm")</f>
        <v>January</v>
      </c>
    </row>
    <row r="46" spans="1:8">
      <c r="A46" s="3">
        <f t="shared" si="0"/>
        <v>2000</v>
      </c>
      <c r="C46" s="216"/>
      <c r="H46" s="5" t="str">
        <f>TEXT(Table3161412[[#This Row],[Value Date]],"mmmm")</f>
        <v>January</v>
      </c>
    </row>
    <row r="47" spans="1:8">
      <c r="A47" s="3">
        <f t="shared" si="0"/>
        <v>2000</v>
      </c>
      <c r="C47" s="217"/>
      <c r="H47" s="5" t="str">
        <f>TEXT(Table3161412[[#This Row],[Value Date]],"mmmm")</f>
        <v>January</v>
      </c>
    </row>
    <row r="48" spans="1:8">
      <c r="A48" s="3">
        <f t="shared" si="0"/>
        <v>2000</v>
      </c>
      <c r="H48" s="5" t="str">
        <f>TEXT(Table3161412[[#This Row],[Value Date]],"mmmm")</f>
        <v>January</v>
      </c>
    </row>
    <row r="49" spans="1:8">
      <c r="A49" s="3">
        <f t="shared" si="0"/>
        <v>2000</v>
      </c>
      <c r="B49" s="217"/>
      <c r="H49" s="5" t="str">
        <f>TEXT(Table3161412[[#This Row],[Value Date]],"mmmm")</f>
        <v>January</v>
      </c>
    </row>
    <row r="50" spans="1:8">
      <c r="A50" s="3">
        <f t="shared" si="0"/>
        <v>2000</v>
      </c>
      <c r="B50" s="217"/>
      <c r="H50" s="5" t="str">
        <f>TEXT(Table3161412[[#This Row],[Value Date]],"mmmm")</f>
        <v>January</v>
      </c>
    </row>
    <row r="51" spans="1:8">
      <c r="A51" s="3">
        <f t="shared" si="0"/>
        <v>2000</v>
      </c>
      <c r="C51" s="217"/>
      <c r="H51" s="5" t="str">
        <f>TEXT(Table3161412[[#This Row],[Value Date]],"mmmm")</f>
        <v>January</v>
      </c>
    </row>
    <row r="52" spans="1:8">
      <c r="A52" s="3">
        <f t="shared" si="0"/>
        <v>2000</v>
      </c>
      <c r="C52" s="217"/>
      <c r="H52" s="5" t="str">
        <f>TEXT(Table3161412[[#This Row],[Value Date]],"mmmm")</f>
        <v>January</v>
      </c>
    </row>
    <row r="53" spans="1:8">
      <c r="A53" s="3">
        <f t="shared" si="0"/>
        <v>2000</v>
      </c>
      <c r="B53" s="217"/>
      <c r="H53" s="5" t="str">
        <f>TEXT(Table3161412[[#This Row],[Value Date]],"mmmm")</f>
        <v>January</v>
      </c>
    </row>
    <row r="54" spans="1:8">
      <c r="A54" s="3">
        <f t="shared" si="0"/>
        <v>2000</v>
      </c>
      <c r="C54" s="217"/>
      <c r="H54" s="5" t="str">
        <f>TEXT(Table3161412[[#This Row],[Value Date]],"mmmm")</f>
        <v>January</v>
      </c>
    </row>
    <row r="55" spans="1:8">
      <c r="A55" s="3">
        <f t="shared" si="0"/>
        <v>2000</v>
      </c>
      <c r="C55" s="217"/>
      <c r="H55" s="5" t="str">
        <f>TEXT(Table3161412[[#This Row],[Value Date]],"mmmm")</f>
        <v>January</v>
      </c>
    </row>
    <row r="56" spans="1:8">
      <c r="A56" s="3">
        <f t="shared" si="0"/>
        <v>2000</v>
      </c>
      <c r="C56" s="217"/>
      <c r="H56" s="5" t="str">
        <f>TEXT(Table3161412[[#This Row],[Value Date]],"mmmm")</f>
        <v>January</v>
      </c>
    </row>
    <row r="57" spans="1:8">
      <c r="A57" s="3">
        <f t="shared" si="0"/>
        <v>2000</v>
      </c>
      <c r="C57" s="217"/>
      <c r="H57" s="5" t="str">
        <f>TEXT(Table3161412[[#This Row],[Value Date]],"mmmm")</f>
        <v>January</v>
      </c>
    </row>
    <row r="58" spans="1:8" s="224" customFormat="1">
      <c r="A58" s="3">
        <f t="shared" si="0"/>
        <v>2000</v>
      </c>
      <c r="B58" s="223"/>
      <c r="C58" s="254"/>
      <c r="G58" s="225"/>
      <c r="H58" s="225" t="str">
        <f>TEXT(Table3161412[[#This Row],[Value Date]],"mmmm")</f>
        <v>January</v>
      </c>
    </row>
    <row r="59" spans="1:8">
      <c r="A59" s="3">
        <f t="shared" si="0"/>
        <v>2000</v>
      </c>
      <c r="C59" s="217"/>
      <c r="H59" s="5" t="str">
        <f>TEXT(Table3161412[[#This Row],[Value Date]],"mmmm")</f>
        <v>January</v>
      </c>
    </row>
    <row r="60" spans="1:8">
      <c r="A60" s="3">
        <f t="shared" si="0"/>
        <v>2000</v>
      </c>
      <c r="C60" s="217"/>
      <c r="H60" s="5" t="str">
        <f>TEXT(Table3161412[[#This Row],[Value Date]],"mmmm")</f>
        <v>January</v>
      </c>
    </row>
    <row r="61" spans="1:8">
      <c r="A61" s="3">
        <f t="shared" si="0"/>
        <v>2000</v>
      </c>
      <c r="C61" s="217"/>
      <c r="H61" s="5" t="str">
        <f>TEXT(Table3161412[[#This Row],[Value Date]],"mmmm")</f>
        <v>January</v>
      </c>
    </row>
    <row r="62" spans="1:8">
      <c r="A62" s="3">
        <f t="shared" si="0"/>
        <v>2000</v>
      </c>
      <c r="C62" s="217"/>
      <c r="H62" s="5" t="str">
        <f>TEXT(Table3161412[[#This Row],[Value Date]],"mmmm")</f>
        <v>January</v>
      </c>
    </row>
    <row r="63" spans="1:8">
      <c r="A63" s="3">
        <f t="shared" si="0"/>
        <v>2000</v>
      </c>
      <c r="C63" s="217"/>
      <c r="H63" s="5" t="str">
        <f>TEXT(Table3161412[[#This Row],[Value Date]],"mmmm")</f>
        <v>January</v>
      </c>
    </row>
    <row r="64" spans="1:8">
      <c r="A64" s="3">
        <f t="shared" si="0"/>
        <v>2000</v>
      </c>
      <c r="B64" s="217"/>
      <c r="H64" s="5" t="str">
        <f>TEXT(Table3161412[[#This Row],[Value Date]],"mmmm")</f>
        <v>January</v>
      </c>
    </row>
    <row r="65" spans="1:8">
      <c r="A65" s="3">
        <f t="shared" si="0"/>
        <v>2000</v>
      </c>
      <c r="C65" s="217"/>
      <c r="H65" s="5" t="str">
        <f>TEXT(Table3161412[[#This Row],[Value Date]],"mmmm")</f>
        <v>January</v>
      </c>
    </row>
    <row r="66" spans="1:8">
      <c r="A66" s="3">
        <f t="shared" si="0"/>
        <v>2000</v>
      </c>
      <c r="C66" s="217"/>
      <c r="H66" s="5" t="str">
        <f>TEXT(Table3161412[[#This Row],[Value Date]],"mmmm")</f>
        <v>January</v>
      </c>
    </row>
    <row r="67" spans="1:8">
      <c r="A67" s="3">
        <f t="shared" si="0"/>
        <v>2000</v>
      </c>
      <c r="C67" s="217"/>
      <c r="H67" s="5" t="str">
        <f>TEXT(Table3161412[[#This Row],[Value Date]],"mmmm")</f>
        <v>January</v>
      </c>
    </row>
    <row r="68" spans="1:8">
      <c r="A68" s="3">
        <f t="shared" si="0"/>
        <v>2000</v>
      </c>
      <c r="C68" s="217"/>
      <c r="H68" s="5" t="str">
        <f>TEXT(Table3161412[[#This Row],[Value Date]],"mmmm")</f>
        <v>January</v>
      </c>
    </row>
    <row r="69" spans="1:8">
      <c r="A69" s="3">
        <f t="shared" si="0"/>
        <v>2000</v>
      </c>
      <c r="C69" s="217"/>
      <c r="H69" s="5" t="str">
        <f>TEXT(Table3161412[[#This Row],[Value Date]],"mmmm")</f>
        <v>January</v>
      </c>
    </row>
    <row r="70" spans="1:8">
      <c r="A70" s="3">
        <f t="shared" ref="A70:A133" si="1">A69+B70-C70</f>
        <v>2000</v>
      </c>
      <c r="C70" s="217"/>
      <c r="H70" s="5" t="str">
        <f>TEXT(Table3161412[[#This Row],[Value Date]],"mmmm")</f>
        <v>January</v>
      </c>
    </row>
    <row r="71" spans="1:8">
      <c r="A71" s="3">
        <f t="shared" si="1"/>
        <v>2000</v>
      </c>
      <c r="C71" s="217"/>
      <c r="F71" s="158"/>
      <c r="H71" s="5" t="str">
        <f>TEXT(Table3161412[[#This Row],[Value Date]],"mmmm")</f>
        <v>January</v>
      </c>
    </row>
    <row r="72" spans="1:8">
      <c r="A72" s="3">
        <f t="shared" si="1"/>
        <v>2000</v>
      </c>
      <c r="C72" s="217"/>
      <c r="F72" s="158"/>
      <c r="H72" s="5" t="str">
        <f>TEXT(Table3161412[[#This Row],[Value Date]],"mmmm")</f>
        <v>January</v>
      </c>
    </row>
    <row r="73" spans="1:8">
      <c r="A73" s="3">
        <f t="shared" si="1"/>
        <v>2000</v>
      </c>
      <c r="B73" s="217"/>
      <c r="H73" s="5" t="str">
        <f>TEXT(Table3161412[[#This Row],[Value Date]],"mmmm")</f>
        <v>January</v>
      </c>
    </row>
    <row r="74" spans="1:8">
      <c r="A74" s="3">
        <f t="shared" si="1"/>
        <v>2000</v>
      </c>
      <c r="C74" s="217"/>
      <c r="H74" s="5" t="str">
        <f>TEXT(Table3161412[[#This Row],[Value Date]],"mmmm")</f>
        <v>January</v>
      </c>
    </row>
    <row r="75" spans="1:8">
      <c r="A75" s="3">
        <f t="shared" si="1"/>
        <v>2000</v>
      </c>
      <c r="C75" s="217"/>
      <c r="H75" s="5" t="str">
        <f>TEXT(Table3161412[[#This Row],[Value Date]],"mmmm")</f>
        <v>January</v>
      </c>
    </row>
    <row r="76" spans="1:8">
      <c r="A76" s="3">
        <f t="shared" si="1"/>
        <v>2000</v>
      </c>
      <c r="C76" s="217"/>
      <c r="H76" s="5" t="str">
        <f>TEXT(Table3161412[[#This Row],[Value Date]],"mmmm")</f>
        <v>January</v>
      </c>
    </row>
    <row r="77" spans="1:8">
      <c r="A77" s="3">
        <f t="shared" si="1"/>
        <v>2000</v>
      </c>
      <c r="C77" s="217"/>
      <c r="H77" s="5" t="str">
        <f>TEXT(Table3161412[[#This Row],[Value Date]],"mmmm")</f>
        <v>January</v>
      </c>
    </row>
    <row r="78" spans="1:8">
      <c r="A78" s="3">
        <f t="shared" si="1"/>
        <v>2000</v>
      </c>
      <c r="B78" s="217"/>
      <c r="H78" s="5" t="str">
        <f>TEXT(Table3161412[[#This Row],[Value Date]],"mmmm")</f>
        <v>January</v>
      </c>
    </row>
    <row r="79" spans="1:8">
      <c r="A79" s="3">
        <f t="shared" si="1"/>
        <v>2000</v>
      </c>
      <c r="B79" s="217"/>
      <c r="H79" s="5" t="str">
        <f>TEXT(Table3161412[[#This Row],[Value Date]],"mmmm")</f>
        <v>January</v>
      </c>
    </row>
    <row r="80" spans="1:8">
      <c r="A80" s="3">
        <f t="shared" si="1"/>
        <v>2000</v>
      </c>
      <c r="B80" s="217"/>
      <c r="H80" s="5" t="str">
        <f>TEXT(Table3161412[[#This Row],[Value Date]],"mmmm")</f>
        <v>January</v>
      </c>
    </row>
    <row r="81" spans="1:8">
      <c r="A81" s="3">
        <f t="shared" si="1"/>
        <v>2000</v>
      </c>
      <c r="C81" s="217"/>
      <c r="H81" s="5" t="str">
        <f>TEXT(Table3161412[[#This Row],[Value Date]],"mmmm")</f>
        <v>January</v>
      </c>
    </row>
    <row r="82" spans="1:8">
      <c r="A82" s="3">
        <f t="shared" si="1"/>
        <v>2000</v>
      </c>
      <c r="C82" s="217"/>
      <c r="H82" s="5" t="str">
        <f>TEXT(Table3161412[[#This Row],[Value Date]],"mmmm")</f>
        <v>January</v>
      </c>
    </row>
    <row r="83" spans="1:8">
      <c r="A83" s="3">
        <f t="shared" si="1"/>
        <v>2000</v>
      </c>
      <c r="C83" s="217"/>
      <c r="H83" s="5" t="str">
        <f>TEXT(Table3161412[[#This Row],[Value Date]],"mmmm")</f>
        <v>January</v>
      </c>
    </row>
    <row r="84" spans="1:8">
      <c r="A84" s="3">
        <f t="shared" si="1"/>
        <v>2000</v>
      </c>
      <c r="C84" s="217"/>
      <c r="H84" s="5" t="str">
        <f>TEXT(Table3161412[[#This Row],[Value Date]],"mmmm")</f>
        <v>January</v>
      </c>
    </row>
    <row r="85" spans="1:8">
      <c r="A85" s="3">
        <f t="shared" si="1"/>
        <v>2000</v>
      </c>
      <c r="B85" s="217"/>
      <c r="H85" s="5" t="str">
        <f>TEXT(Table3161412[[#This Row],[Value Date]],"mmmm")</f>
        <v>January</v>
      </c>
    </row>
    <row r="86" spans="1:8">
      <c r="A86" s="3">
        <f t="shared" si="1"/>
        <v>2000</v>
      </c>
      <c r="C86" s="217"/>
      <c r="H86" s="5" t="str">
        <f>TEXT(Table3161412[[#This Row],[Value Date]],"mmmm")</f>
        <v>January</v>
      </c>
    </row>
    <row r="87" spans="1:8">
      <c r="A87" s="3">
        <f t="shared" si="1"/>
        <v>2000</v>
      </c>
      <c r="C87" s="217"/>
      <c r="H87" s="5" t="str">
        <f>TEXT(Table3161412[[#This Row],[Value Date]],"mmmm")</f>
        <v>January</v>
      </c>
    </row>
    <row r="88" spans="1:8">
      <c r="A88" s="3">
        <f t="shared" si="1"/>
        <v>2000</v>
      </c>
      <c r="C88" s="217"/>
      <c r="H88" s="5" t="str">
        <f>TEXT(Table3161412[[#This Row],[Value Date]],"mmmm")</f>
        <v>January</v>
      </c>
    </row>
    <row r="89" spans="1:8">
      <c r="A89" s="3">
        <f t="shared" si="1"/>
        <v>2000</v>
      </c>
      <c r="B89" s="217"/>
      <c r="H89" s="5" t="str">
        <f>TEXT(Table3161412[[#This Row],[Value Date]],"mmmm")</f>
        <v>January</v>
      </c>
    </row>
    <row r="90" spans="1:8">
      <c r="A90" s="3">
        <f t="shared" si="1"/>
        <v>2000</v>
      </c>
      <c r="C90" s="217"/>
      <c r="H90" s="5" t="str">
        <f>TEXT(Table3161412[[#This Row],[Value Date]],"mmmm")</f>
        <v>January</v>
      </c>
    </row>
    <row r="91" spans="1:8">
      <c r="A91" s="3">
        <f t="shared" si="1"/>
        <v>2000</v>
      </c>
      <c r="C91" s="217"/>
      <c r="H91" s="5" t="str">
        <f>TEXT(Table3161412[[#This Row],[Value Date]],"mmmm")</f>
        <v>January</v>
      </c>
    </row>
    <row r="92" spans="1:8">
      <c r="A92" s="3">
        <f t="shared" si="1"/>
        <v>2000</v>
      </c>
      <c r="C92" s="217"/>
      <c r="H92" s="5" t="str">
        <f>TEXT(Table3161412[[#This Row],[Value Date]],"mmmm")</f>
        <v>January</v>
      </c>
    </row>
    <row r="93" spans="1:8">
      <c r="A93" s="3">
        <f t="shared" si="1"/>
        <v>2000</v>
      </c>
      <c r="C93" s="217"/>
      <c r="H93" s="5" t="str">
        <f>TEXT(Table3161412[[#This Row],[Value Date]],"mmmm")</f>
        <v>January</v>
      </c>
    </row>
    <row r="94" spans="1:8">
      <c r="A94" s="3">
        <f t="shared" si="1"/>
        <v>2000</v>
      </c>
      <c r="B94" s="217"/>
      <c r="H94" s="5" t="str">
        <f>TEXT(Table3161412[[#This Row],[Value Date]],"mmmm")</f>
        <v>January</v>
      </c>
    </row>
    <row r="95" spans="1:8">
      <c r="A95" s="3">
        <f t="shared" si="1"/>
        <v>2000</v>
      </c>
      <c r="C95" s="217"/>
      <c r="H95" s="5" t="str">
        <f>TEXT(Table3161412[[#This Row],[Value Date]],"mmmm")</f>
        <v>January</v>
      </c>
    </row>
    <row r="96" spans="1:8">
      <c r="A96" s="3">
        <f t="shared" si="1"/>
        <v>2000</v>
      </c>
      <c r="C96" s="217"/>
      <c r="H96" s="5" t="str">
        <f>TEXT(Table3161412[[#This Row],[Value Date]],"mmmm")</f>
        <v>January</v>
      </c>
    </row>
    <row r="97" spans="1:8">
      <c r="A97" s="3">
        <f t="shared" si="1"/>
        <v>2000</v>
      </c>
      <c r="C97" s="217"/>
      <c r="H97" s="5" t="str">
        <f>TEXT(Table3161412[[#This Row],[Value Date]],"mmmm")</f>
        <v>January</v>
      </c>
    </row>
    <row r="98" spans="1:8" s="224" customFormat="1">
      <c r="A98" s="3">
        <f t="shared" si="1"/>
        <v>2000</v>
      </c>
      <c r="B98" s="223"/>
      <c r="C98" s="254"/>
      <c r="G98" s="225"/>
      <c r="H98" s="225" t="str">
        <f>TEXT(Table3161412[[#This Row],[Value Date]],"mmmm")</f>
        <v>January</v>
      </c>
    </row>
    <row r="99" spans="1:8">
      <c r="A99" s="3">
        <f t="shared" si="1"/>
        <v>2000</v>
      </c>
      <c r="C99" s="216"/>
      <c r="H99" s="5" t="str">
        <f>TEXT(Table3161412[[#This Row],[Value Date]],"mmmm")</f>
        <v>January</v>
      </c>
    </row>
    <row r="100" spans="1:8">
      <c r="A100" s="3">
        <f t="shared" si="1"/>
        <v>2000</v>
      </c>
      <c r="C100" s="216"/>
      <c r="H100" s="5" t="str">
        <f>TEXT(Table3161412[[#This Row],[Value Date]],"mmmm")</f>
        <v>January</v>
      </c>
    </row>
    <row r="101" spans="1:8">
      <c r="A101" s="3">
        <f t="shared" si="1"/>
        <v>2000</v>
      </c>
      <c r="B101" s="217"/>
      <c r="H101" s="5" t="str">
        <f>TEXT(Table3161412[[#This Row],[Value Date]],"mmmm")</f>
        <v>January</v>
      </c>
    </row>
    <row r="102" spans="1:8">
      <c r="A102" s="3">
        <f t="shared" si="1"/>
        <v>2000</v>
      </c>
      <c r="C102" s="217"/>
      <c r="H102" s="5" t="str">
        <f>TEXT(Table3161412[[#This Row],[Value Date]],"mmmm")</f>
        <v>January</v>
      </c>
    </row>
    <row r="103" spans="1:8">
      <c r="A103" s="3">
        <f t="shared" si="1"/>
        <v>2000</v>
      </c>
      <c r="B103" s="217"/>
      <c r="H103" s="5" t="str">
        <f>TEXT(Table3161412[[#This Row],[Value Date]],"mmmm")</f>
        <v>January</v>
      </c>
    </row>
    <row r="104" spans="1:8">
      <c r="A104" s="3">
        <f t="shared" si="1"/>
        <v>2000</v>
      </c>
      <c r="C104" s="217"/>
      <c r="H104" s="5" t="str">
        <f>TEXT(Table3161412[[#This Row],[Value Date]],"mmmm")</f>
        <v>January</v>
      </c>
    </row>
    <row r="105" spans="1:8">
      <c r="A105" s="3">
        <f t="shared" si="1"/>
        <v>2000</v>
      </c>
      <c r="C105" s="217"/>
      <c r="H105" s="5" t="str">
        <f>TEXT(Table3161412[[#This Row],[Value Date]],"mmmm")</f>
        <v>January</v>
      </c>
    </row>
    <row r="106" spans="1:8">
      <c r="A106" s="3">
        <f t="shared" si="1"/>
        <v>2000</v>
      </c>
      <c r="C106" s="217"/>
      <c r="H106" s="5" t="str">
        <f>TEXT(Table3161412[[#This Row],[Value Date]],"mmmm")</f>
        <v>January</v>
      </c>
    </row>
    <row r="107" spans="1:8">
      <c r="A107" s="3">
        <f t="shared" si="1"/>
        <v>2000</v>
      </c>
      <c r="C107" s="217"/>
      <c r="H107" s="5" t="str">
        <f>TEXT(Table3161412[[#This Row],[Value Date]],"mmmm")</f>
        <v>January</v>
      </c>
    </row>
    <row r="108" spans="1:8">
      <c r="A108" s="3">
        <f t="shared" si="1"/>
        <v>2000</v>
      </c>
      <c r="C108" s="217"/>
      <c r="H108" s="5" t="str">
        <f>TEXT(Table3161412[[#This Row],[Value Date]],"mmmm")</f>
        <v>January</v>
      </c>
    </row>
    <row r="109" spans="1:8">
      <c r="A109" s="3">
        <f t="shared" si="1"/>
        <v>2000</v>
      </c>
      <c r="C109" s="217"/>
      <c r="H109" s="5" t="str">
        <f>TEXT(Table3161412[[#This Row],[Value Date]],"mmmm")</f>
        <v>January</v>
      </c>
    </row>
    <row r="110" spans="1:8">
      <c r="A110" s="3">
        <f t="shared" si="1"/>
        <v>2000</v>
      </c>
      <c r="C110" s="217"/>
      <c r="H110" s="5" t="str">
        <f>TEXT(Table3161412[[#This Row],[Value Date]],"mmmm")</f>
        <v>January</v>
      </c>
    </row>
    <row r="111" spans="1:8">
      <c r="A111" s="3">
        <f t="shared" si="1"/>
        <v>2000</v>
      </c>
      <c r="B111" s="217"/>
      <c r="H111" s="5" t="str">
        <f>TEXT(Table3161412[[#This Row],[Value Date]],"mmmm")</f>
        <v>January</v>
      </c>
    </row>
    <row r="112" spans="1:8">
      <c r="A112" s="3">
        <f t="shared" si="1"/>
        <v>2000</v>
      </c>
      <c r="B112" s="217"/>
      <c r="H112" s="5" t="str">
        <f>TEXT(Table3161412[[#This Row],[Value Date]],"mmmm")</f>
        <v>January</v>
      </c>
    </row>
    <row r="113" spans="1:8">
      <c r="A113" s="3">
        <f t="shared" si="1"/>
        <v>2000</v>
      </c>
      <c r="C113" s="217"/>
      <c r="H113" s="5" t="str">
        <f>TEXT(Table3161412[[#This Row],[Value Date]],"mmmm")</f>
        <v>January</v>
      </c>
    </row>
    <row r="114" spans="1:8">
      <c r="A114" s="3">
        <f t="shared" si="1"/>
        <v>2000</v>
      </c>
      <c r="C114" s="217"/>
      <c r="H114" s="5" t="str">
        <f>TEXT(Table3161412[[#This Row],[Value Date]],"mmmm")</f>
        <v>January</v>
      </c>
    </row>
    <row r="115" spans="1:8">
      <c r="A115" s="3">
        <f t="shared" si="1"/>
        <v>2000</v>
      </c>
      <c r="C115" s="217"/>
      <c r="H115" s="5" t="str">
        <f>TEXT(Table3161412[[#This Row],[Value Date]],"mmmm")</f>
        <v>January</v>
      </c>
    </row>
    <row r="116" spans="1:8">
      <c r="A116" s="3">
        <f t="shared" si="1"/>
        <v>2000</v>
      </c>
      <c r="C116" s="217"/>
      <c r="H116" s="5" t="str">
        <f>TEXT(Table3161412[[#This Row],[Value Date]],"mmmm")</f>
        <v>January</v>
      </c>
    </row>
    <row r="117" spans="1:8">
      <c r="A117" s="3">
        <f t="shared" si="1"/>
        <v>2000</v>
      </c>
      <c r="C117" s="217"/>
      <c r="H117" s="5" t="str">
        <f>TEXT(Table3161412[[#This Row],[Value Date]],"mmmm")</f>
        <v>January</v>
      </c>
    </row>
    <row r="118" spans="1:8">
      <c r="A118" s="3">
        <f t="shared" si="1"/>
        <v>2000</v>
      </c>
      <c r="C118" s="217"/>
      <c r="H118" s="5" t="str">
        <f>TEXT(Table3161412[[#This Row],[Value Date]],"mmmm")</f>
        <v>January</v>
      </c>
    </row>
    <row r="119" spans="1:8">
      <c r="A119" s="3">
        <f t="shared" si="1"/>
        <v>2000</v>
      </c>
      <c r="B119" s="217"/>
      <c r="H119" s="5" t="str">
        <f>TEXT(Table3161412[[#This Row],[Value Date]],"mmmm")</f>
        <v>January</v>
      </c>
    </row>
    <row r="120" spans="1:8">
      <c r="A120" s="3">
        <f t="shared" si="1"/>
        <v>2000</v>
      </c>
      <c r="B120" s="217"/>
      <c r="H120" s="5" t="str">
        <f>TEXT(Table3161412[[#This Row],[Value Date]],"mmmm")</f>
        <v>January</v>
      </c>
    </row>
    <row r="121" spans="1:8">
      <c r="A121" s="3">
        <f t="shared" si="1"/>
        <v>2000</v>
      </c>
      <c r="C121" s="216"/>
      <c r="H121" s="5" t="str">
        <f>TEXT(Table3161412[[#This Row],[Value Date]],"mmmm")</f>
        <v>January</v>
      </c>
    </row>
    <row r="122" spans="1:8">
      <c r="A122" s="3">
        <f t="shared" si="1"/>
        <v>2000</v>
      </c>
      <c r="C122" s="217"/>
      <c r="H122" s="5" t="str">
        <f>TEXT(Table3161412[[#This Row],[Value Date]],"mmmm")</f>
        <v>January</v>
      </c>
    </row>
    <row r="123" spans="1:8">
      <c r="A123" s="3">
        <f t="shared" si="1"/>
        <v>2000</v>
      </c>
      <c r="C123" s="217"/>
      <c r="H123" s="5" t="str">
        <f>TEXT(Table3161412[[#This Row],[Value Date]],"mmmm")</f>
        <v>January</v>
      </c>
    </row>
    <row r="124" spans="1:8">
      <c r="A124" s="3">
        <f t="shared" si="1"/>
        <v>2000</v>
      </c>
      <c r="C124" s="217"/>
      <c r="H124" s="5" t="str">
        <f>TEXT(Table3161412[[#This Row],[Value Date]],"mmmm")</f>
        <v>January</v>
      </c>
    </row>
    <row r="125" spans="1:8">
      <c r="A125" s="3">
        <f t="shared" si="1"/>
        <v>2000</v>
      </c>
      <c r="C125" s="217"/>
      <c r="H125" s="5" t="str">
        <f>TEXT(Table3161412[[#This Row],[Value Date]],"mmmm")</f>
        <v>January</v>
      </c>
    </row>
    <row r="126" spans="1:8">
      <c r="A126" s="3">
        <f t="shared" si="1"/>
        <v>2000</v>
      </c>
      <c r="C126" s="217"/>
      <c r="H126" s="5" t="str">
        <f>TEXT(Table3161412[[#This Row],[Value Date]],"mmmm")</f>
        <v>January</v>
      </c>
    </row>
    <row r="127" spans="1:8">
      <c r="A127" s="3">
        <f t="shared" si="1"/>
        <v>2000</v>
      </c>
      <c r="C127" s="217"/>
      <c r="H127" s="5" t="str">
        <f>TEXT(Table3161412[[#This Row],[Value Date]],"mmmm")</f>
        <v>January</v>
      </c>
    </row>
    <row r="128" spans="1:8">
      <c r="A128" s="3">
        <f t="shared" si="1"/>
        <v>2000</v>
      </c>
      <c r="B128" s="217"/>
      <c r="H128" s="5" t="str">
        <f>TEXT(Table3161412[[#This Row],[Value Date]],"mmmm")</f>
        <v>January</v>
      </c>
    </row>
    <row r="129" spans="1:8">
      <c r="A129" s="3">
        <f t="shared" si="1"/>
        <v>2000</v>
      </c>
      <c r="C129" s="217"/>
      <c r="H129" s="5" t="str">
        <f>TEXT(Table3161412[[#This Row],[Value Date]],"mmmm")</f>
        <v>January</v>
      </c>
    </row>
    <row r="130" spans="1:8">
      <c r="A130" s="3">
        <f t="shared" si="1"/>
        <v>2000</v>
      </c>
      <c r="B130" s="217"/>
      <c r="H130" s="5" t="str">
        <f>TEXT(Table3161412[[#This Row],[Value Date]],"mmmm")</f>
        <v>January</v>
      </c>
    </row>
    <row r="131" spans="1:8">
      <c r="A131" s="3">
        <f t="shared" si="1"/>
        <v>2000</v>
      </c>
      <c r="C131" s="217"/>
      <c r="H131" s="5" t="str">
        <f>TEXT(Table3161412[[#This Row],[Value Date]],"mmmm")</f>
        <v>January</v>
      </c>
    </row>
    <row r="132" spans="1:8">
      <c r="A132" s="3">
        <f t="shared" si="1"/>
        <v>2000</v>
      </c>
      <c r="C132" s="217"/>
      <c r="H132" s="5" t="str">
        <f>TEXT(Table3161412[[#This Row],[Value Date]],"mmmm")</f>
        <v>January</v>
      </c>
    </row>
    <row r="133" spans="1:8">
      <c r="A133" s="3">
        <f t="shared" si="1"/>
        <v>2000</v>
      </c>
      <c r="C133" s="217"/>
      <c r="H133" s="5" t="str">
        <f>TEXT(Table3161412[[#This Row],[Value Date]],"mmmm")</f>
        <v>January</v>
      </c>
    </row>
    <row r="134" spans="1:8">
      <c r="A134" s="3">
        <f t="shared" ref="A134:A197" si="2">A133+B134-C134</f>
        <v>2000</v>
      </c>
      <c r="C134" s="217"/>
      <c r="H134" s="5" t="str">
        <f>TEXT(Table3161412[[#This Row],[Value Date]],"mmmm")</f>
        <v>January</v>
      </c>
    </row>
    <row r="135" spans="1:8">
      <c r="A135" s="3">
        <f t="shared" si="2"/>
        <v>2000</v>
      </c>
      <c r="C135" s="217"/>
      <c r="H135" s="5" t="str">
        <f>TEXT(Table3161412[[#This Row],[Value Date]],"mmmm")</f>
        <v>January</v>
      </c>
    </row>
    <row r="136" spans="1:8">
      <c r="A136" s="3">
        <f t="shared" si="2"/>
        <v>2000</v>
      </c>
      <c r="B136" s="217"/>
      <c r="H136" s="5" t="str">
        <f>TEXT(Table3161412[[#This Row],[Value Date]],"mmmm")</f>
        <v>January</v>
      </c>
    </row>
    <row r="137" spans="1:8">
      <c r="A137" s="3">
        <f t="shared" si="2"/>
        <v>2000</v>
      </c>
      <c r="C137" s="217"/>
      <c r="H137" s="5" t="str">
        <f>TEXT(Table3161412[[#This Row],[Value Date]],"mmmm")</f>
        <v>January</v>
      </c>
    </row>
    <row r="138" spans="1:8">
      <c r="A138" s="3">
        <f t="shared" si="2"/>
        <v>2000</v>
      </c>
      <c r="C138" s="217"/>
      <c r="H138" s="5" t="str">
        <f>TEXT(Table3161412[[#This Row],[Value Date]],"mmmm")</f>
        <v>January</v>
      </c>
    </row>
    <row r="139" spans="1:8">
      <c r="A139" s="3">
        <f t="shared" si="2"/>
        <v>2000</v>
      </c>
      <c r="C139" s="217"/>
      <c r="H139" s="5" t="str">
        <f>TEXT(Table3161412[[#This Row],[Value Date]],"mmmm")</f>
        <v>January</v>
      </c>
    </row>
    <row r="140" spans="1:8">
      <c r="A140" s="3">
        <f t="shared" si="2"/>
        <v>2000</v>
      </c>
      <c r="C140" s="217"/>
      <c r="H140" s="5" t="str">
        <f>TEXT(Table3161412[[#This Row],[Value Date]],"mmmm")</f>
        <v>January</v>
      </c>
    </row>
    <row r="141" spans="1:8">
      <c r="A141" s="3">
        <f t="shared" si="2"/>
        <v>2000</v>
      </c>
      <c r="C141" s="217"/>
      <c r="H141" s="5" t="str">
        <f>TEXT(Table3161412[[#This Row],[Value Date]],"mmmm")</f>
        <v>January</v>
      </c>
    </row>
    <row r="142" spans="1:8">
      <c r="A142" s="3">
        <f t="shared" si="2"/>
        <v>2000</v>
      </c>
      <c r="C142" s="217"/>
      <c r="H142" s="5" t="str">
        <f>TEXT(Table3161412[[#This Row],[Value Date]],"mmmm")</f>
        <v>January</v>
      </c>
    </row>
    <row r="143" spans="1:8">
      <c r="A143" s="3">
        <f t="shared" si="2"/>
        <v>2000</v>
      </c>
      <c r="B143" s="217"/>
      <c r="H143" s="5" t="str">
        <f>TEXT(Table3161412[[#This Row],[Value Date]],"mmmm")</f>
        <v>January</v>
      </c>
    </row>
    <row r="144" spans="1:8">
      <c r="A144" s="3">
        <f t="shared" si="2"/>
        <v>2000</v>
      </c>
      <c r="C144" s="217"/>
      <c r="H144" s="5" t="str">
        <f>TEXT(Table3161412[[#This Row],[Value Date]],"mmmm")</f>
        <v>January</v>
      </c>
    </row>
    <row r="145" spans="1:8">
      <c r="A145" s="3">
        <f t="shared" si="2"/>
        <v>2000</v>
      </c>
      <c r="C145" s="217"/>
      <c r="H145" s="5" t="str">
        <f>TEXT(Table3161412[[#This Row],[Value Date]],"mmmm")</f>
        <v>January</v>
      </c>
    </row>
    <row r="146" spans="1:8">
      <c r="A146" s="3">
        <f t="shared" si="2"/>
        <v>2000</v>
      </c>
      <c r="C146" s="217"/>
      <c r="H146" s="5" t="str">
        <f>TEXT(Table3161412[[#This Row],[Value Date]],"mmmm")</f>
        <v>January</v>
      </c>
    </row>
    <row r="147" spans="1:8">
      <c r="A147" s="3">
        <f t="shared" si="2"/>
        <v>2000</v>
      </c>
      <c r="C147" s="217"/>
      <c r="H147" s="5" t="str">
        <f>TEXT(Table3161412[[#This Row],[Value Date]],"mmmm")</f>
        <v>January</v>
      </c>
    </row>
    <row r="148" spans="1:8">
      <c r="A148" s="3">
        <f t="shared" si="2"/>
        <v>2000</v>
      </c>
      <c r="C148" s="217"/>
      <c r="H148" s="5" t="str">
        <f>TEXT(Table3161412[[#This Row],[Value Date]],"mmmm")</f>
        <v>January</v>
      </c>
    </row>
    <row r="149" spans="1:8">
      <c r="A149" s="3">
        <f t="shared" si="2"/>
        <v>2000</v>
      </c>
      <c r="C149" s="217"/>
      <c r="H149" s="5" t="str">
        <f>TEXT(Table3161412[[#This Row],[Value Date]],"mmmm")</f>
        <v>January</v>
      </c>
    </row>
    <row r="150" spans="1:8">
      <c r="A150" s="3">
        <f t="shared" si="2"/>
        <v>2000</v>
      </c>
      <c r="C150" s="217"/>
      <c r="H150" s="5" t="str">
        <f>TEXT(Table3161412[[#This Row],[Value Date]],"mmmm")</f>
        <v>January</v>
      </c>
    </row>
    <row r="151" spans="1:8">
      <c r="A151" s="3">
        <f t="shared" si="2"/>
        <v>2000</v>
      </c>
      <c r="C151" s="217"/>
      <c r="H151" s="5" t="str">
        <f>TEXT(Table3161412[[#This Row],[Value Date]],"mmmm")</f>
        <v>January</v>
      </c>
    </row>
    <row r="152" spans="1:8">
      <c r="A152" s="3">
        <f t="shared" si="2"/>
        <v>2000</v>
      </c>
      <c r="C152" s="217"/>
      <c r="H152" s="5" t="str">
        <f>TEXT(Table3161412[[#This Row],[Value Date]],"mmmm")</f>
        <v>January</v>
      </c>
    </row>
    <row r="153" spans="1:8">
      <c r="A153" s="3">
        <f t="shared" si="2"/>
        <v>2000</v>
      </c>
      <c r="B153" s="217"/>
      <c r="H153" s="5" t="str">
        <f>TEXT(Table3161412[[#This Row],[Value Date]],"mmmm")</f>
        <v>January</v>
      </c>
    </row>
    <row r="154" spans="1:8">
      <c r="A154" s="3">
        <f t="shared" si="2"/>
        <v>2000</v>
      </c>
      <c r="C154" s="216"/>
      <c r="H154" s="5" t="str">
        <f>TEXT(Table3161412[[#This Row],[Value Date]],"mmmm")</f>
        <v>January</v>
      </c>
    </row>
    <row r="155" spans="1:8">
      <c r="A155" s="3">
        <f t="shared" si="2"/>
        <v>2000</v>
      </c>
      <c r="C155" s="216"/>
      <c r="H155" s="5" t="str">
        <f>TEXT(Table3161412[[#This Row],[Value Date]],"mmmm")</f>
        <v>January</v>
      </c>
    </row>
    <row r="156" spans="1:8" s="224" customFormat="1">
      <c r="A156" s="3">
        <f t="shared" si="2"/>
        <v>2000</v>
      </c>
      <c r="B156" s="223"/>
      <c r="C156" s="274"/>
      <c r="G156" s="225"/>
      <c r="H156" s="225" t="str">
        <f>TEXT(Table3161412[[#This Row],[Value Date]],"mmmm")</f>
        <v>January</v>
      </c>
    </row>
    <row r="157" spans="1:8">
      <c r="A157" s="3">
        <f t="shared" si="2"/>
        <v>2000</v>
      </c>
      <c r="C157" s="217"/>
      <c r="H157" s="5" t="str">
        <f>TEXT(Table3161412[[#This Row],[Value Date]],"mmmm")</f>
        <v>January</v>
      </c>
    </row>
    <row r="158" spans="1:8">
      <c r="A158" s="3">
        <f t="shared" si="2"/>
        <v>2000</v>
      </c>
      <c r="C158" s="217"/>
      <c r="H158" s="5" t="str">
        <f>TEXT(Table3161412[[#This Row],[Value Date]],"mmmm")</f>
        <v>January</v>
      </c>
    </row>
    <row r="159" spans="1:8">
      <c r="A159" s="3">
        <f t="shared" si="2"/>
        <v>2000</v>
      </c>
      <c r="B159" s="217"/>
      <c r="H159" s="5" t="str">
        <f>TEXT(Table3161412[[#This Row],[Value Date]],"mmmm")</f>
        <v>January</v>
      </c>
    </row>
    <row r="160" spans="1:8">
      <c r="A160" s="3">
        <f t="shared" si="2"/>
        <v>2000</v>
      </c>
      <c r="B160" s="205"/>
      <c r="C160" s="272"/>
      <c r="H160" s="5" t="str">
        <f>TEXT(Table3161412[[#This Row],[Value Date]],"mmmm")</f>
        <v>January</v>
      </c>
    </row>
    <row r="161" spans="1:8">
      <c r="A161" s="3">
        <f t="shared" si="2"/>
        <v>2000</v>
      </c>
      <c r="C161" s="217"/>
      <c r="H161" s="5" t="str">
        <f>TEXT(Table3161412[[#This Row],[Value Date]],"mmmm")</f>
        <v>January</v>
      </c>
    </row>
    <row r="162" spans="1:8">
      <c r="A162" s="3">
        <f t="shared" si="2"/>
        <v>2000</v>
      </c>
      <c r="C162" s="217"/>
      <c r="H162" s="5" t="str">
        <f>TEXT(Table3161412[[#This Row],[Value Date]],"mmmm")</f>
        <v>January</v>
      </c>
    </row>
    <row r="163" spans="1:8">
      <c r="A163" s="3">
        <f t="shared" si="2"/>
        <v>2000</v>
      </c>
      <c r="C163" s="217"/>
      <c r="H163" s="5" t="str">
        <f>TEXT(Table3161412[[#This Row],[Value Date]],"mmmm")</f>
        <v>January</v>
      </c>
    </row>
    <row r="164" spans="1:8">
      <c r="A164" s="3">
        <f t="shared" si="2"/>
        <v>2000</v>
      </c>
      <c r="C164" s="217"/>
      <c r="H164" s="5" t="str">
        <f>TEXT(Table3161412[[#This Row],[Value Date]],"mmmm")</f>
        <v>January</v>
      </c>
    </row>
    <row r="165" spans="1:8">
      <c r="A165" s="3">
        <f t="shared" si="2"/>
        <v>2000</v>
      </c>
      <c r="C165" s="217"/>
      <c r="H165" s="5" t="str">
        <f>TEXT(Table3161412[[#This Row],[Value Date]],"mmmm")</f>
        <v>January</v>
      </c>
    </row>
    <row r="166" spans="1:8">
      <c r="A166" s="3">
        <f t="shared" si="2"/>
        <v>2000</v>
      </c>
      <c r="B166" s="217"/>
      <c r="H166" s="5" t="str">
        <f>TEXT(Table3161412[[#This Row],[Value Date]],"mmmm")</f>
        <v>January</v>
      </c>
    </row>
    <row r="167" spans="1:8">
      <c r="A167" s="3">
        <f t="shared" si="2"/>
        <v>2000</v>
      </c>
      <c r="C167" s="217"/>
      <c r="H167" s="5" t="str">
        <f>TEXT(Table3161412[[#This Row],[Value Date]],"mmmm")</f>
        <v>January</v>
      </c>
    </row>
    <row r="168" spans="1:8">
      <c r="A168" s="3">
        <f t="shared" si="2"/>
        <v>2000</v>
      </c>
      <c r="C168" s="217"/>
      <c r="H168" s="5" t="str">
        <f>TEXT(Table3161412[[#This Row],[Value Date]],"mmmm")</f>
        <v>January</v>
      </c>
    </row>
    <row r="169" spans="1:8">
      <c r="A169" s="3">
        <f t="shared" si="2"/>
        <v>2000</v>
      </c>
      <c r="C169" s="217"/>
      <c r="H169" s="5" t="str">
        <f>TEXT(Table3161412[[#This Row],[Value Date]],"mmmm")</f>
        <v>January</v>
      </c>
    </row>
    <row r="170" spans="1:8">
      <c r="A170" s="3">
        <f t="shared" si="2"/>
        <v>2000</v>
      </c>
      <c r="C170" s="217"/>
      <c r="H170" s="5" t="str">
        <f>TEXT(Table3161412[[#This Row],[Value Date]],"mmmm")</f>
        <v>January</v>
      </c>
    </row>
    <row r="171" spans="1:8">
      <c r="A171" s="3">
        <f t="shared" si="2"/>
        <v>2000</v>
      </c>
      <c r="C171" s="217"/>
      <c r="H171" s="5" t="str">
        <f>TEXT(Table3161412[[#This Row],[Value Date]],"mmmm")</f>
        <v>January</v>
      </c>
    </row>
    <row r="172" spans="1:8">
      <c r="A172" s="3">
        <f t="shared" si="2"/>
        <v>2000</v>
      </c>
      <c r="C172" s="217"/>
      <c r="H172" s="5" t="str">
        <f>TEXT(Table3161412[[#This Row],[Value Date]],"mmmm")</f>
        <v>January</v>
      </c>
    </row>
    <row r="173" spans="1:8">
      <c r="A173" s="3">
        <f t="shared" si="2"/>
        <v>2000</v>
      </c>
      <c r="B173" s="217"/>
      <c r="H173" s="5" t="str">
        <f>TEXT(Table3161412[[#This Row],[Value Date]],"mmmm")</f>
        <v>January</v>
      </c>
    </row>
    <row r="174" spans="1:8">
      <c r="A174" s="3">
        <f t="shared" si="2"/>
        <v>2000</v>
      </c>
      <c r="C174" s="217"/>
      <c r="H174" s="5" t="str">
        <f>TEXT(Table3161412[[#This Row],[Value Date]],"mmmm")</f>
        <v>January</v>
      </c>
    </row>
    <row r="175" spans="1:8">
      <c r="A175" s="3">
        <f t="shared" si="2"/>
        <v>2000</v>
      </c>
      <c r="C175" s="217"/>
      <c r="H175" s="5" t="str">
        <f>TEXT(Table3161412[[#This Row],[Value Date]],"mmmm")</f>
        <v>January</v>
      </c>
    </row>
    <row r="176" spans="1:8">
      <c r="A176" s="3">
        <f t="shared" si="2"/>
        <v>2000</v>
      </c>
      <c r="C176" s="217"/>
      <c r="H176" s="5" t="str">
        <f>TEXT(Table3161412[[#This Row],[Value Date]],"mmmm")</f>
        <v>January</v>
      </c>
    </row>
    <row r="177" spans="1:8">
      <c r="A177" s="3">
        <f t="shared" si="2"/>
        <v>2000</v>
      </c>
      <c r="C177" s="217"/>
      <c r="H177" s="5" t="str">
        <f>TEXT(Table3161412[[#This Row],[Value Date]],"mmmm")</f>
        <v>January</v>
      </c>
    </row>
    <row r="178" spans="1:8">
      <c r="A178" s="3">
        <f t="shared" si="2"/>
        <v>2000</v>
      </c>
      <c r="C178" s="217"/>
      <c r="H178" s="5" t="str">
        <f>TEXT(Table3161412[[#This Row],[Value Date]],"mmmm")</f>
        <v>January</v>
      </c>
    </row>
    <row r="179" spans="1:8">
      <c r="A179" s="3">
        <f t="shared" si="2"/>
        <v>2000</v>
      </c>
      <c r="B179" s="217"/>
      <c r="H179" s="5" t="str">
        <f>TEXT(Table3161412[[#This Row],[Value Date]],"mmmm")</f>
        <v>January</v>
      </c>
    </row>
    <row r="180" spans="1:8">
      <c r="A180" s="3">
        <f t="shared" si="2"/>
        <v>2000</v>
      </c>
      <c r="C180" s="217"/>
      <c r="H180" s="5" t="str">
        <f>TEXT(Table3161412[[#This Row],[Value Date]],"mmmm")</f>
        <v>January</v>
      </c>
    </row>
    <row r="181" spans="1:8">
      <c r="A181" s="3">
        <f t="shared" si="2"/>
        <v>2000</v>
      </c>
      <c r="C181" s="217"/>
      <c r="H181" s="5" t="str">
        <f>TEXT(Table3161412[[#This Row],[Value Date]],"mmmm")</f>
        <v>January</v>
      </c>
    </row>
    <row r="182" spans="1:8">
      <c r="A182" s="3">
        <f t="shared" si="2"/>
        <v>2000</v>
      </c>
      <c r="C182" s="217"/>
      <c r="H182" s="5" t="str">
        <f>TEXT(Table3161412[[#This Row],[Value Date]],"mmmm")</f>
        <v>January</v>
      </c>
    </row>
    <row r="183" spans="1:8">
      <c r="A183" s="3">
        <f t="shared" si="2"/>
        <v>2000</v>
      </c>
      <c r="C183" s="217"/>
      <c r="H183" s="5" t="str">
        <f>TEXT(Table3161412[[#This Row],[Value Date]],"mmmm")</f>
        <v>January</v>
      </c>
    </row>
    <row r="184" spans="1:8">
      <c r="A184" s="3">
        <f t="shared" si="2"/>
        <v>2000</v>
      </c>
      <c r="B184" s="217"/>
      <c r="H184" s="5" t="str">
        <f>TEXT(Table3161412[[#This Row],[Value Date]],"mmmm")</f>
        <v>January</v>
      </c>
    </row>
    <row r="185" spans="1:8">
      <c r="A185" s="3">
        <f t="shared" si="2"/>
        <v>2000</v>
      </c>
      <c r="B185" s="217"/>
      <c r="H185" s="5" t="str">
        <f>TEXT(Table3161412[[#This Row],[Value Date]],"mmmm")</f>
        <v>January</v>
      </c>
    </row>
    <row r="186" spans="1:8">
      <c r="A186" s="3">
        <f t="shared" si="2"/>
        <v>2000</v>
      </c>
      <c r="C186" s="217"/>
      <c r="H186" s="5" t="str">
        <f>TEXT(Table3161412[[#This Row],[Value Date]],"mmmm")</f>
        <v>January</v>
      </c>
    </row>
    <row r="187" spans="1:8">
      <c r="A187" s="3">
        <f t="shared" si="2"/>
        <v>2000</v>
      </c>
      <c r="B187" s="217"/>
      <c r="H187" s="5" t="str">
        <f>TEXT(Table3161412[[#This Row],[Value Date]],"mmmm")</f>
        <v>January</v>
      </c>
    </row>
    <row r="188" spans="1:8">
      <c r="A188" s="3">
        <f t="shared" si="2"/>
        <v>2000</v>
      </c>
      <c r="B188" s="217"/>
      <c r="H188" s="5" t="str">
        <f>TEXT(Table3161412[[#This Row],[Value Date]],"mmmm")</f>
        <v>January</v>
      </c>
    </row>
    <row r="189" spans="1:8">
      <c r="A189" s="3">
        <f t="shared" si="2"/>
        <v>2000</v>
      </c>
      <c r="C189" s="217"/>
      <c r="H189" s="5" t="str">
        <f>TEXT(Table3161412[[#This Row],[Value Date]],"mmmm")</f>
        <v>January</v>
      </c>
    </row>
    <row r="190" spans="1:8">
      <c r="A190" s="3">
        <f t="shared" si="2"/>
        <v>2000</v>
      </c>
      <c r="C190" s="217"/>
      <c r="H190" s="5" t="str">
        <f>TEXT(Table3161412[[#This Row],[Value Date]],"mmmm")</f>
        <v>January</v>
      </c>
    </row>
    <row r="191" spans="1:8">
      <c r="A191" s="3">
        <f t="shared" si="2"/>
        <v>2000</v>
      </c>
      <c r="C191" s="216"/>
      <c r="H191" s="5" t="str">
        <f>TEXT(Table3161412[[#This Row],[Value Date]],"mmmm")</f>
        <v>January</v>
      </c>
    </row>
    <row r="192" spans="1:8">
      <c r="A192" s="3">
        <f t="shared" si="2"/>
        <v>2000</v>
      </c>
      <c r="C192" s="217"/>
      <c r="H192" s="5" t="str">
        <f>TEXT(Table3161412[[#This Row],[Value Date]],"mmmm")</f>
        <v>January</v>
      </c>
    </row>
    <row r="193" spans="1:8">
      <c r="A193" s="3">
        <f t="shared" si="2"/>
        <v>2000</v>
      </c>
      <c r="B193" s="217"/>
      <c r="H193" s="5" t="str">
        <f>TEXT(Table3161412[[#This Row],[Value Date]],"mmmm")</f>
        <v>January</v>
      </c>
    </row>
    <row r="194" spans="1:8">
      <c r="A194" s="3">
        <f t="shared" si="2"/>
        <v>2000</v>
      </c>
      <c r="B194" s="217"/>
      <c r="H194" s="5" t="str">
        <f>TEXT(Table3161412[[#This Row],[Value Date]],"mmmm")</f>
        <v>January</v>
      </c>
    </row>
    <row r="195" spans="1:8">
      <c r="A195" s="3">
        <f t="shared" si="2"/>
        <v>2000</v>
      </c>
      <c r="C195" s="217"/>
      <c r="H195" s="5" t="str">
        <f>TEXT(Table3161412[[#This Row],[Value Date]],"mmmm")</f>
        <v>January</v>
      </c>
    </row>
    <row r="196" spans="1:8">
      <c r="A196" s="3">
        <f t="shared" si="2"/>
        <v>2000</v>
      </c>
      <c r="C196" s="217"/>
      <c r="H196" s="5" t="str">
        <f>TEXT(Table3161412[[#This Row],[Value Date]],"mmmm")</f>
        <v>January</v>
      </c>
    </row>
    <row r="197" spans="1:8">
      <c r="A197" s="3">
        <f t="shared" si="2"/>
        <v>2000</v>
      </c>
      <c r="C197" s="217"/>
      <c r="H197" s="5" t="str">
        <f>TEXT(Table3161412[[#This Row],[Value Date]],"mmmm")</f>
        <v>January</v>
      </c>
    </row>
    <row r="198" spans="1:8">
      <c r="A198" s="3">
        <f t="shared" ref="A198:A261" si="3">A197+B198-C198</f>
        <v>2000</v>
      </c>
      <c r="C198" s="217"/>
      <c r="H198" s="5" t="str">
        <f>TEXT(Table3161412[[#This Row],[Value Date]],"mmmm")</f>
        <v>January</v>
      </c>
    </row>
    <row r="199" spans="1:8">
      <c r="A199" s="3">
        <f t="shared" si="3"/>
        <v>2000</v>
      </c>
      <c r="C199" s="217"/>
      <c r="H199" s="5" t="str">
        <f>TEXT(Table3161412[[#This Row],[Value Date]],"mmmm")</f>
        <v>January</v>
      </c>
    </row>
    <row r="200" spans="1:8">
      <c r="A200" s="3">
        <f t="shared" si="3"/>
        <v>2000</v>
      </c>
      <c r="C200" s="217"/>
      <c r="H200" s="5" t="str">
        <f>TEXT(Table3161412[[#This Row],[Value Date]],"mmmm")</f>
        <v>January</v>
      </c>
    </row>
    <row r="201" spans="1:8">
      <c r="A201" s="3">
        <f t="shared" si="3"/>
        <v>2000</v>
      </c>
      <c r="C201" s="217"/>
      <c r="H201" s="5" t="str">
        <f>TEXT(Table3161412[[#This Row],[Value Date]],"mmmm")</f>
        <v>January</v>
      </c>
    </row>
    <row r="202" spans="1:8">
      <c r="A202" s="3">
        <f t="shared" si="3"/>
        <v>2000</v>
      </c>
      <c r="C202" s="217"/>
      <c r="H202" s="5" t="str">
        <f>TEXT(Table3161412[[#This Row],[Value Date]],"mmmm")</f>
        <v>January</v>
      </c>
    </row>
    <row r="203" spans="1:8">
      <c r="A203" s="3">
        <f t="shared" si="3"/>
        <v>2000</v>
      </c>
      <c r="C203" s="217"/>
      <c r="H203" s="5" t="str">
        <f>TEXT(Table3161412[[#This Row],[Value Date]],"mmmm")</f>
        <v>January</v>
      </c>
    </row>
    <row r="204" spans="1:8">
      <c r="A204" s="3">
        <f t="shared" si="3"/>
        <v>2000</v>
      </c>
      <c r="B204" s="217"/>
      <c r="H204" s="5" t="str">
        <f>TEXT(Table3161412[[#This Row],[Value Date]],"mmmm")</f>
        <v>January</v>
      </c>
    </row>
    <row r="205" spans="1:8">
      <c r="A205" s="3">
        <f t="shared" si="3"/>
        <v>2000</v>
      </c>
      <c r="C205" s="217"/>
      <c r="H205" s="5" t="str">
        <f>TEXT(Table3161412[[#This Row],[Value Date]],"mmmm")</f>
        <v>January</v>
      </c>
    </row>
    <row r="206" spans="1:8">
      <c r="A206" s="3">
        <f t="shared" si="3"/>
        <v>2000</v>
      </c>
      <c r="B206" s="217"/>
      <c r="H206" s="5" t="str">
        <f>TEXT(Table3161412[[#This Row],[Value Date]],"mmmm")</f>
        <v>January</v>
      </c>
    </row>
    <row r="207" spans="1:8">
      <c r="A207" s="3">
        <f t="shared" si="3"/>
        <v>2000</v>
      </c>
      <c r="C207" s="217"/>
      <c r="H207" s="5" t="str">
        <f>TEXT(Table3161412[[#This Row],[Value Date]],"mmmm")</f>
        <v>January</v>
      </c>
    </row>
    <row r="208" spans="1:8">
      <c r="A208" s="3">
        <f t="shared" si="3"/>
        <v>2000</v>
      </c>
      <c r="C208" s="217"/>
      <c r="H208" s="5" t="str">
        <f>TEXT(Table3161412[[#This Row],[Value Date]],"mmmm")</f>
        <v>January</v>
      </c>
    </row>
    <row r="209" spans="1:8">
      <c r="A209" s="3">
        <f t="shared" si="3"/>
        <v>2000</v>
      </c>
      <c r="B209" s="217"/>
      <c r="H209" s="5" t="str">
        <f>TEXT(Table3161412[[#This Row],[Value Date]],"mmmm")</f>
        <v>January</v>
      </c>
    </row>
    <row r="210" spans="1:8">
      <c r="A210" s="3">
        <f t="shared" si="3"/>
        <v>2000</v>
      </c>
      <c r="C210" s="217"/>
      <c r="H210" s="5" t="str">
        <f>TEXT(Table3161412[[#This Row],[Value Date]],"mmmm")</f>
        <v>January</v>
      </c>
    </row>
    <row r="211" spans="1:8">
      <c r="A211" s="3">
        <f t="shared" si="3"/>
        <v>2000</v>
      </c>
      <c r="C211" s="217"/>
      <c r="H211" s="5" t="str">
        <f>TEXT(Table3161412[[#This Row],[Value Date]],"mmmm")</f>
        <v>January</v>
      </c>
    </row>
    <row r="212" spans="1:8">
      <c r="A212" s="3">
        <f t="shared" si="3"/>
        <v>2000</v>
      </c>
      <c r="C212" s="217"/>
      <c r="H212" s="5" t="str">
        <f>TEXT(Table3161412[[#This Row],[Value Date]],"mmmm")</f>
        <v>January</v>
      </c>
    </row>
    <row r="213" spans="1:8">
      <c r="A213" s="3">
        <f t="shared" si="3"/>
        <v>2000</v>
      </c>
      <c r="C213" s="217"/>
      <c r="H213" s="5" t="str">
        <f>TEXT(Table3161412[[#This Row],[Value Date]],"mmmm")</f>
        <v>January</v>
      </c>
    </row>
    <row r="214" spans="1:8">
      <c r="A214" s="3">
        <f t="shared" si="3"/>
        <v>2000</v>
      </c>
      <c r="C214" s="217"/>
      <c r="H214" s="5" t="str">
        <f>TEXT(Table3161412[[#This Row],[Value Date]],"mmmm")</f>
        <v>January</v>
      </c>
    </row>
    <row r="215" spans="1:8">
      <c r="A215" s="3">
        <f t="shared" si="3"/>
        <v>2000</v>
      </c>
      <c r="C215" s="217"/>
      <c r="H215" s="5" t="str">
        <f>TEXT(Table3161412[[#This Row],[Value Date]],"mmmm")</f>
        <v>January</v>
      </c>
    </row>
    <row r="216" spans="1:8">
      <c r="A216" s="3">
        <f t="shared" si="3"/>
        <v>2000</v>
      </c>
      <c r="B216" s="217"/>
      <c r="H216" s="5" t="str">
        <f>TEXT(Table3161412[[#This Row],[Value Date]],"mmmm")</f>
        <v>January</v>
      </c>
    </row>
    <row r="217" spans="1:8">
      <c r="A217" s="3">
        <f t="shared" si="3"/>
        <v>2000</v>
      </c>
      <c r="C217" s="217"/>
      <c r="H217" s="5" t="str">
        <f>TEXT(Table3161412[[#This Row],[Value Date]],"mmmm")</f>
        <v>January</v>
      </c>
    </row>
    <row r="218" spans="1:8">
      <c r="A218" s="3">
        <f t="shared" si="3"/>
        <v>2000</v>
      </c>
      <c r="C218" s="217"/>
      <c r="H218" s="5" t="str">
        <f>TEXT(Table3161412[[#This Row],[Value Date]],"mmmm")</f>
        <v>January</v>
      </c>
    </row>
    <row r="219" spans="1:8">
      <c r="A219" s="3">
        <f t="shared" si="3"/>
        <v>2000</v>
      </c>
      <c r="B219" s="217"/>
      <c r="H219" s="5" t="str">
        <f>TEXT(Table3161412[[#This Row],[Value Date]],"mmmm")</f>
        <v>January</v>
      </c>
    </row>
    <row r="220" spans="1:8">
      <c r="A220" s="3">
        <f t="shared" si="3"/>
        <v>2000</v>
      </c>
      <c r="C220" s="217"/>
      <c r="H220" s="5" t="str">
        <f>TEXT(Table3161412[[#This Row],[Value Date]],"mmmm")</f>
        <v>January</v>
      </c>
    </row>
    <row r="221" spans="1:8">
      <c r="A221" s="3">
        <f t="shared" si="3"/>
        <v>2000</v>
      </c>
      <c r="C221" s="217"/>
      <c r="H221" s="5" t="str">
        <f>TEXT(Table3161412[[#This Row],[Value Date]],"mmmm")</f>
        <v>January</v>
      </c>
    </row>
    <row r="222" spans="1:8">
      <c r="A222" s="3">
        <f t="shared" si="3"/>
        <v>2000</v>
      </c>
      <c r="C222" s="217"/>
      <c r="H222" s="5" t="str">
        <f>TEXT(Table3161412[[#This Row],[Value Date]],"mmmm")</f>
        <v>January</v>
      </c>
    </row>
    <row r="223" spans="1:8">
      <c r="A223" s="3">
        <f t="shared" si="3"/>
        <v>2000</v>
      </c>
      <c r="C223" s="217"/>
      <c r="H223" s="5" t="str">
        <f>TEXT(Table3161412[[#This Row],[Value Date]],"mmmm")</f>
        <v>January</v>
      </c>
    </row>
    <row r="224" spans="1:8">
      <c r="A224" s="3">
        <f t="shared" si="3"/>
        <v>2000</v>
      </c>
      <c r="B224" s="217"/>
      <c r="H224" s="5" t="str">
        <f>TEXT(Table3161412[[#This Row],[Value Date]],"mmmm")</f>
        <v>January</v>
      </c>
    </row>
    <row r="225" spans="1:8">
      <c r="A225" s="3">
        <f t="shared" si="3"/>
        <v>2000</v>
      </c>
      <c r="B225" s="217"/>
      <c r="H225" s="5" t="str">
        <f>TEXT(Table3161412[[#This Row],[Value Date]],"mmmm")</f>
        <v>January</v>
      </c>
    </row>
    <row r="226" spans="1:8">
      <c r="A226" s="3">
        <f t="shared" si="3"/>
        <v>2000</v>
      </c>
      <c r="B226" s="217"/>
      <c r="H226" s="5" t="str">
        <f>TEXT(Table3161412[[#This Row],[Value Date]],"mmmm")</f>
        <v>January</v>
      </c>
    </row>
    <row r="227" spans="1:8">
      <c r="A227" s="3">
        <f t="shared" si="3"/>
        <v>2000</v>
      </c>
      <c r="B227" s="217"/>
      <c r="H227" s="5" t="str">
        <f>TEXT(Table3161412[[#This Row],[Value Date]],"mmmm")</f>
        <v>January</v>
      </c>
    </row>
    <row r="228" spans="1:8">
      <c r="A228" s="3">
        <f t="shared" si="3"/>
        <v>2000</v>
      </c>
      <c r="C228" s="217"/>
      <c r="H228" s="5" t="str">
        <f>TEXT(Table3161412[[#This Row],[Value Date]],"mmmm")</f>
        <v>January</v>
      </c>
    </row>
    <row r="229" spans="1:8">
      <c r="A229" s="3">
        <f t="shared" si="3"/>
        <v>2000</v>
      </c>
      <c r="C229" s="217"/>
      <c r="H229" s="5" t="str">
        <f>TEXT(Table3161412[[#This Row],[Value Date]],"mmmm")</f>
        <v>January</v>
      </c>
    </row>
    <row r="230" spans="1:8">
      <c r="A230" s="3">
        <f t="shared" si="3"/>
        <v>2000</v>
      </c>
      <c r="C230" s="217"/>
    </row>
    <row r="231" spans="1:8">
      <c r="A231" s="3">
        <f t="shared" si="3"/>
        <v>2000</v>
      </c>
      <c r="C231" s="217"/>
      <c r="H231" s="5" t="str">
        <f>TEXT(Table3161412[[#This Row],[Value Date]],"mmmm")</f>
        <v>January</v>
      </c>
    </row>
    <row r="232" spans="1:8">
      <c r="A232" s="3">
        <f t="shared" si="3"/>
        <v>2000</v>
      </c>
      <c r="C232" s="217"/>
      <c r="H232" s="5" t="str">
        <f>TEXT(Table3161412[[#This Row],[Value Date]],"mmmm")</f>
        <v>January</v>
      </c>
    </row>
    <row r="233" spans="1:8">
      <c r="A233" s="3">
        <f t="shared" si="3"/>
        <v>2000</v>
      </c>
      <c r="C233" s="217"/>
      <c r="H233" s="5" t="str">
        <f>TEXT(Table3161412[[#This Row],[Value Date]],"mmmm")</f>
        <v>January</v>
      </c>
    </row>
    <row r="234" spans="1:8">
      <c r="A234" s="3">
        <f t="shared" si="3"/>
        <v>2000</v>
      </c>
      <c r="B234" s="217"/>
      <c r="H234" s="5" t="str">
        <f>TEXT(Table3161412[[#This Row],[Value Date]],"mmmm")</f>
        <v>January</v>
      </c>
    </row>
    <row r="235" spans="1:8">
      <c r="A235" s="3">
        <f t="shared" si="3"/>
        <v>2000</v>
      </c>
      <c r="C235" s="217"/>
      <c r="H235" s="5" t="str">
        <f>TEXT(Table3161412[[#This Row],[Value Date]],"mmmm")</f>
        <v>January</v>
      </c>
    </row>
    <row r="236" spans="1:8">
      <c r="A236" s="3">
        <f t="shared" si="3"/>
        <v>2000</v>
      </c>
      <c r="B236" s="217"/>
      <c r="H236" s="5" t="str">
        <f>TEXT(Table3161412[[#This Row],[Value Date]],"mmmm")</f>
        <v>January</v>
      </c>
    </row>
    <row r="237" spans="1:8">
      <c r="A237" s="3">
        <f t="shared" si="3"/>
        <v>2000</v>
      </c>
      <c r="C237" s="217"/>
      <c r="H237" s="5" t="str">
        <f>TEXT(Table3161412[[#This Row],[Value Date]],"mmmm")</f>
        <v>January</v>
      </c>
    </row>
    <row r="238" spans="1:8">
      <c r="A238" s="3">
        <f t="shared" si="3"/>
        <v>2000</v>
      </c>
      <c r="C238" s="217"/>
      <c r="H238" s="5" t="str">
        <f>TEXT(Table3161412[[#This Row],[Value Date]],"mmmm")</f>
        <v>January</v>
      </c>
    </row>
    <row r="239" spans="1:8">
      <c r="A239" s="3">
        <f t="shared" si="3"/>
        <v>2000</v>
      </c>
      <c r="C239" s="217"/>
      <c r="H239" s="5" t="str">
        <f>TEXT(Table3161412[[#This Row],[Value Date]],"mmmm")</f>
        <v>January</v>
      </c>
    </row>
    <row r="240" spans="1:8">
      <c r="A240" s="3">
        <f t="shared" si="3"/>
        <v>2000</v>
      </c>
      <c r="B240" s="217"/>
      <c r="H240" s="5" t="str">
        <f>TEXT(Table3161412[[#This Row],[Value Date]],"mmmm")</f>
        <v>January</v>
      </c>
    </row>
    <row r="241" spans="1:8">
      <c r="A241" s="3">
        <f t="shared" si="3"/>
        <v>2000</v>
      </c>
      <c r="C241" s="217"/>
      <c r="H241" s="5" t="str">
        <f>TEXT(Table3161412[[#This Row],[Value Date]],"mmmm")</f>
        <v>January</v>
      </c>
    </row>
    <row r="242" spans="1:8">
      <c r="A242" s="3">
        <f t="shared" si="3"/>
        <v>2000</v>
      </c>
      <c r="C242" s="217"/>
      <c r="H242" s="5" t="str">
        <f>TEXT(Table3161412[[#This Row],[Value Date]],"mmmm")</f>
        <v>January</v>
      </c>
    </row>
    <row r="243" spans="1:8">
      <c r="A243" s="3">
        <f t="shared" si="3"/>
        <v>2000</v>
      </c>
      <c r="C243" s="216"/>
      <c r="H243" s="5" t="str">
        <f>TEXT(Table3161412[[#This Row],[Value Date]],"mmmm")</f>
        <v>January</v>
      </c>
    </row>
    <row r="244" spans="1:8">
      <c r="A244" s="3">
        <f t="shared" si="3"/>
        <v>2000</v>
      </c>
      <c r="C244" s="217"/>
      <c r="H244" s="5" t="str">
        <f>TEXT(Table3161412[[#This Row],[Value Date]],"mmmm")</f>
        <v>January</v>
      </c>
    </row>
    <row r="245" spans="1:8">
      <c r="A245" s="3">
        <f t="shared" si="3"/>
        <v>2000</v>
      </c>
      <c r="C245" s="217"/>
      <c r="H245" s="5" t="str">
        <f>TEXT(Table3161412[[#This Row],[Value Date]],"mmmm")</f>
        <v>January</v>
      </c>
    </row>
    <row r="246" spans="1:8">
      <c r="A246" s="3">
        <f t="shared" si="3"/>
        <v>2000</v>
      </c>
      <c r="B246" s="217"/>
      <c r="H246" s="5" t="str">
        <f>TEXT(Table3161412[[#This Row],[Value Date]],"mmmm")</f>
        <v>January</v>
      </c>
    </row>
    <row r="247" spans="1:8">
      <c r="A247" s="3">
        <f t="shared" si="3"/>
        <v>2000</v>
      </c>
      <c r="B247" s="217"/>
      <c r="H247" s="5" t="str">
        <f>TEXT(Table3161412[[#This Row],[Value Date]],"mmmm")</f>
        <v>January</v>
      </c>
    </row>
    <row r="248" spans="1:8">
      <c r="A248" s="3">
        <f t="shared" si="3"/>
        <v>2000</v>
      </c>
      <c r="B248" s="217"/>
      <c r="H248" s="5" t="str">
        <f>TEXT(Table3161412[[#This Row],[Value Date]],"mmmm")</f>
        <v>January</v>
      </c>
    </row>
    <row r="249" spans="1:8">
      <c r="A249" s="3">
        <f t="shared" si="3"/>
        <v>2000</v>
      </c>
      <c r="C249" s="217"/>
      <c r="H249" s="5" t="str">
        <f>TEXT(Table3161412[[#This Row],[Value Date]],"mmmm")</f>
        <v>January</v>
      </c>
    </row>
    <row r="250" spans="1:8">
      <c r="A250" s="3">
        <f t="shared" si="3"/>
        <v>2000</v>
      </c>
      <c r="C250" s="217"/>
      <c r="H250" s="5" t="str">
        <f>TEXT(Table3161412[[#This Row],[Value Date]],"mmmm")</f>
        <v>January</v>
      </c>
    </row>
    <row r="251" spans="1:8">
      <c r="A251" s="3">
        <f t="shared" si="3"/>
        <v>2000</v>
      </c>
      <c r="C251" s="217"/>
      <c r="H251" s="5" t="str">
        <f>TEXT(Table3161412[[#This Row],[Value Date]],"mmmm")</f>
        <v>January</v>
      </c>
    </row>
    <row r="252" spans="1:8">
      <c r="A252" s="3">
        <f t="shared" si="3"/>
        <v>2000</v>
      </c>
      <c r="C252" s="217"/>
      <c r="H252" s="5" t="str">
        <f>TEXT(Table3161412[[#This Row],[Value Date]],"mmmm")</f>
        <v>January</v>
      </c>
    </row>
    <row r="253" spans="1:8">
      <c r="A253" s="3">
        <f t="shared" si="3"/>
        <v>2000</v>
      </c>
      <c r="C253" s="217"/>
      <c r="H253" s="5" t="str">
        <f>TEXT(Table3161412[[#This Row],[Value Date]],"mmmm")</f>
        <v>January</v>
      </c>
    </row>
    <row r="254" spans="1:8">
      <c r="A254" s="3">
        <f t="shared" si="3"/>
        <v>2000</v>
      </c>
      <c r="B254" s="217"/>
      <c r="H254" s="5" t="str">
        <f>TEXT(Table3161412[[#This Row],[Value Date]],"mmmm")</f>
        <v>January</v>
      </c>
    </row>
    <row r="255" spans="1:8">
      <c r="A255" s="3">
        <f t="shared" si="3"/>
        <v>2000</v>
      </c>
      <c r="C255" s="217"/>
      <c r="H255" s="5" t="str">
        <f>TEXT(Table3161412[[#This Row],[Value Date]],"mmmm")</f>
        <v>January</v>
      </c>
    </row>
    <row r="256" spans="1:8">
      <c r="A256" s="3">
        <f t="shared" si="3"/>
        <v>2000</v>
      </c>
      <c r="C256" s="217"/>
      <c r="H256" s="5" t="str">
        <f>TEXT(Table3161412[[#This Row],[Value Date]],"mmmm")</f>
        <v>January</v>
      </c>
    </row>
    <row r="257" spans="1:8">
      <c r="A257" s="3">
        <f t="shared" si="3"/>
        <v>2000</v>
      </c>
      <c r="C257" s="217"/>
      <c r="H257" s="5" t="str">
        <f>TEXT(Table3161412[[#This Row],[Value Date]],"mmmm")</f>
        <v>January</v>
      </c>
    </row>
    <row r="258" spans="1:8">
      <c r="A258" s="3">
        <f t="shared" si="3"/>
        <v>2000</v>
      </c>
      <c r="C258" s="217"/>
      <c r="H258" s="5" t="str">
        <f>TEXT(Table3161412[[#This Row],[Value Date]],"mmmm")</f>
        <v>January</v>
      </c>
    </row>
    <row r="259" spans="1:8">
      <c r="A259" s="3">
        <f t="shared" si="3"/>
        <v>2000</v>
      </c>
      <c r="C259" s="217"/>
      <c r="H259" s="5" t="str">
        <f>TEXT(Table3161412[[#This Row],[Value Date]],"mmmm")</f>
        <v>January</v>
      </c>
    </row>
    <row r="260" spans="1:8">
      <c r="A260" s="3">
        <f t="shared" si="3"/>
        <v>2000</v>
      </c>
      <c r="C260" s="217"/>
      <c r="H260" s="5" t="str">
        <f>TEXT(Table3161412[[#This Row],[Value Date]],"mmmm")</f>
        <v>January</v>
      </c>
    </row>
    <row r="261" spans="1:8">
      <c r="A261" s="3">
        <f t="shared" si="3"/>
        <v>2000</v>
      </c>
      <c r="C261" s="217"/>
      <c r="H261" s="5" t="str">
        <f>TEXT(Table3161412[[#This Row],[Value Date]],"mmmm")</f>
        <v>January</v>
      </c>
    </row>
    <row r="262" spans="1:8">
      <c r="A262" s="3">
        <f t="shared" ref="A262:A325" si="4">A261+B262-C262</f>
        <v>2000</v>
      </c>
      <c r="H262" s="5" t="str">
        <f>TEXT(Table3161412[[#This Row],[Value Date]],"mmmm")</f>
        <v>January</v>
      </c>
    </row>
    <row r="263" spans="1:8">
      <c r="A263" s="3">
        <f t="shared" si="4"/>
        <v>2000</v>
      </c>
      <c r="C263" s="217"/>
      <c r="H263" s="5" t="str">
        <f>TEXT(Table3161412[[#This Row],[Value Date]],"mmmm")</f>
        <v>January</v>
      </c>
    </row>
    <row r="264" spans="1:8">
      <c r="A264" s="3">
        <f t="shared" si="4"/>
        <v>2000</v>
      </c>
      <c r="C264" s="217"/>
      <c r="H264" s="5" t="str">
        <f>TEXT(Table3161412[[#This Row],[Value Date]],"mmmm")</f>
        <v>January</v>
      </c>
    </row>
    <row r="265" spans="1:8">
      <c r="A265" s="3">
        <f t="shared" si="4"/>
        <v>2000</v>
      </c>
      <c r="C265" s="217"/>
      <c r="H265" s="5" t="str">
        <f>TEXT(Table3161412[[#This Row],[Value Date]],"mmmm")</f>
        <v>January</v>
      </c>
    </row>
    <row r="266" spans="1:8">
      <c r="A266" s="3">
        <f t="shared" si="4"/>
        <v>2000</v>
      </c>
      <c r="C266" s="217"/>
      <c r="H266" s="5" t="str">
        <f>TEXT(Table3161412[[#This Row],[Value Date]],"mmmm")</f>
        <v>January</v>
      </c>
    </row>
    <row r="267" spans="1:8">
      <c r="A267" s="3">
        <f t="shared" si="4"/>
        <v>2000</v>
      </c>
      <c r="C267" s="217"/>
      <c r="H267" s="5" t="str">
        <f>TEXT(Table3161412[[#This Row],[Value Date]],"mmmm")</f>
        <v>January</v>
      </c>
    </row>
    <row r="268" spans="1:8">
      <c r="A268" s="3">
        <f t="shared" si="4"/>
        <v>2000</v>
      </c>
      <c r="C268" s="217"/>
      <c r="H268" s="5" t="str">
        <f>TEXT(Table3161412[[#This Row],[Value Date]],"mmmm")</f>
        <v>January</v>
      </c>
    </row>
    <row r="269" spans="1:8">
      <c r="A269" s="3">
        <f t="shared" si="4"/>
        <v>2000</v>
      </c>
      <c r="B269" s="217"/>
      <c r="H269" s="5" t="str">
        <f>TEXT(Table3161412[[#This Row],[Value Date]],"mmmm")</f>
        <v>January</v>
      </c>
    </row>
    <row r="270" spans="1:8">
      <c r="A270" s="3">
        <f t="shared" si="4"/>
        <v>2000</v>
      </c>
      <c r="B270" s="217"/>
      <c r="H270" s="5" t="str">
        <f>TEXT(Table3161412[[#This Row],[Value Date]],"mmmm")</f>
        <v>January</v>
      </c>
    </row>
    <row r="271" spans="1:8">
      <c r="A271" s="3">
        <f t="shared" si="4"/>
        <v>2000</v>
      </c>
      <c r="C271" s="217"/>
      <c r="H271" s="5" t="str">
        <f>TEXT(Table3161412[[#This Row],[Value Date]],"mmmm")</f>
        <v>January</v>
      </c>
    </row>
    <row r="272" spans="1:8">
      <c r="A272" s="3">
        <f t="shared" si="4"/>
        <v>2000</v>
      </c>
      <c r="B272" s="217"/>
      <c r="H272" s="5" t="str">
        <f>TEXT(Table3161412[[#This Row],[Value Date]],"mmmm")</f>
        <v>January</v>
      </c>
    </row>
    <row r="273" spans="1:8">
      <c r="A273" s="3">
        <f t="shared" si="4"/>
        <v>2000</v>
      </c>
      <c r="C273" s="217"/>
      <c r="H273" s="5" t="str">
        <f>TEXT(Table3161412[[#This Row],[Value Date]],"mmmm")</f>
        <v>January</v>
      </c>
    </row>
    <row r="274" spans="1:8">
      <c r="A274" s="3">
        <f t="shared" si="4"/>
        <v>2000</v>
      </c>
      <c r="C274" s="217"/>
      <c r="H274" s="5" t="str">
        <f>TEXT(Table3161412[[#This Row],[Value Date]],"mmmm")</f>
        <v>January</v>
      </c>
    </row>
    <row r="275" spans="1:8">
      <c r="A275" s="3">
        <f t="shared" si="4"/>
        <v>2000</v>
      </c>
      <c r="B275" s="217"/>
      <c r="H275" s="5" t="str">
        <f>TEXT(Table3161412[[#This Row],[Value Date]],"mmmm")</f>
        <v>January</v>
      </c>
    </row>
    <row r="276" spans="1:8">
      <c r="A276" s="3">
        <f t="shared" si="4"/>
        <v>2000</v>
      </c>
      <c r="B276" s="217"/>
      <c r="H276" s="5" t="str">
        <f>TEXT(Table3161412[[#This Row],[Value Date]],"mmmm")</f>
        <v>January</v>
      </c>
    </row>
    <row r="277" spans="1:8">
      <c r="A277" s="3">
        <f t="shared" si="4"/>
        <v>2000</v>
      </c>
      <c r="C277" s="217"/>
      <c r="H277" s="5" t="str">
        <f>TEXT(Table3161412[[#This Row],[Value Date]],"mmmm")</f>
        <v>January</v>
      </c>
    </row>
    <row r="278" spans="1:8">
      <c r="A278" s="3">
        <f t="shared" si="4"/>
        <v>2000</v>
      </c>
      <c r="C278" s="217"/>
      <c r="H278" s="5" t="str">
        <f>TEXT(Table3161412[[#This Row],[Value Date]],"mmmm")</f>
        <v>January</v>
      </c>
    </row>
    <row r="279" spans="1:8">
      <c r="A279" s="3">
        <f t="shared" si="4"/>
        <v>2000</v>
      </c>
      <c r="C279" s="217"/>
      <c r="H279" s="5" t="str">
        <f>TEXT(Table3161412[[#This Row],[Value Date]],"mmmm")</f>
        <v>January</v>
      </c>
    </row>
    <row r="280" spans="1:8">
      <c r="A280" s="3">
        <f t="shared" si="4"/>
        <v>2000</v>
      </c>
      <c r="C280" s="217"/>
      <c r="H280" s="5" t="str">
        <f>TEXT(Table3161412[[#This Row],[Value Date]],"mmmm")</f>
        <v>January</v>
      </c>
    </row>
    <row r="281" spans="1:8">
      <c r="A281" s="3">
        <f t="shared" si="4"/>
        <v>2000</v>
      </c>
      <c r="C281" s="217"/>
      <c r="H281" s="5" t="str">
        <f>TEXT(Table3161412[[#This Row],[Value Date]],"mmmm")</f>
        <v>January</v>
      </c>
    </row>
    <row r="282" spans="1:8">
      <c r="A282" s="3">
        <f t="shared" si="4"/>
        <v>2000</v>
      </c>
      <c r="C282" s="217"/>
      <c r="H282" s="5" t="str">
        <f>TEXT(Table3161412[[#This Row],[Value Date]],"mmmm")</f>
        <v>January</v>
      </c>
    </row>
    <row r="283" spans="1:8">
      <c r="A283" s="3">
        <f t="shared" si="4"/>
        <v>2000</v>
      </c>
      <c r="C283" s="217"/>
      <c r="H283" s="5" t="str">
        <f>TEXT(Table3161412[[#This Row],[Value Date]],"mmmm")</f>
        <v>January</v>
      </c>
    </row>
    <row r="284" spans="1:8">
      <c r="A284" s="3">
        <f t="shared" si="4"/>
        <v>2000</v>
      </c>
      <c r="C284" s="217"/>
      <c r="H284" s="5" t="str">
        <f>TEXT(Table3161412[[#This Row],[Value Date]],"mmmm")</f>
        <v>January</v>
      </c>
    </row>
    <row r="285" spans="1:8">
      <c r="A285" s="3">
        <f t="shared" si="4"/>
        <v>2000</v>
      </c>
      <c r="C285" s="217"/>
      <c r="H285" s="5" t="str">
        <f>TEXT(Table3161412[[#This Row],[Value Date]],"mmmm")</f>
        <v>January</v>
      </c>
    </row>
    <row r="286" spans="1:8">
      <c r="A286" s="3">
        <f t="shared" si="4"/>
        <v>2000</v>
      </c>
      <c r="C286" s="216"/>
      <c r="H286" s="5" t="str">
        <f>TEXT(Table3161412[[#This Row],[Value Date]],"mmmm")</f>
        <v>January</v>
      </c>
    </row>
    <row r="287" spans="1:8">
      <c r="A287" s="3">
        <f t="shared" si="4"/>
        <v>2000</v>
      </c>
      <c r="B287" s="217"/>
      <c r="H287" s="5" t="str">
        <f>TEXT(Table3161412[[#This Row],[Value Date]],"mmmm")</f>
        <v>January</v>
      </c>
    </row>
    <row r="288" spans="1:8">
      <c r="A288" s="3">
        <f t="shared" si="4"/>
        <v>2000</v>
      </c>
      <c r="C288" s="217"/>
      <c r="H288" s="5" t="str">
        <f>TEXT(Table3161412[[#This Row],[Value Date]],"mmmm")</f>
        <v>January</v>
      </c>
    </row>
    <row r="289" spans="1:8">
      <c r="A289" s="3">
        <f t="shared" si="4"/>
        <v>2000</v>
      </c>
      <c r="C289" s="217"/>
      <c r="H289" s="5" t="str">
        <f>TEXT(Table3161412[[#This Row],[Value Date]],"mmmm")</f>
        <v>January</v>
      </c>
    </row>
    <row r="290" spans="1:8">
      <c r="A290" s="3">
        <f t="shared" si="4"/>
        <v>2000</v>
      </c>
      <c r="C290" s="217"/>
      <c r="H290" s="5" t="str">
        <f>TEXT(Table3161412[[#This Row],[Value Date]],"mmmm")</f>
        <v>January</v>
      </c>
    </row>
    <row r="291" spans="1:8">
      <c r="A291" s="3">
        <f t="shared" si="4"/>
        <v>2000</v>
      </c>
      <c r="C291" s="217"/>
      <c r="H291" s="5" t="str">
        <f>TEXT(Table3161412[[#This Row],[Value Date]],"mmmm")</f>
        <v>January</v>
      </c>
    </row>
    <row r="292" spans="1:8">
      <c r="A292" s="3">
        <f t="shared" si="4"/>
        <v>2000</v>
      </c>
      <c r="B292" s="217"/>
      <c r="H292" s="5" t="str">
        <f>TEXT(Table3161412[[#This Row],[Value Date]],"mmmm")</f>
        <v>January</v>
      </c>
    </row>
    <row r="293" spans="1:8">
      <c r="A293" s="3">
        <f t="shared" si="4"/>
        <v>2000</v>
      </c>
      <c r="B293" s="217"/>
      <c r="H293" s="5" t="str">
        <f>TEXT(Table3161412[[#This Row],[Value Date]],"mmmm")</f>
        <v>January</v>
      </c>
    </row>
    <row r="294" spans="1:8">
      <c r="A294" s="3">
        <f t="shared" si="4"/>
        <v>2000</v>
      </c>
      <c r="C294" s="217"/>
      <c r="H294" s="5" t="str">
        <f>TEXT(Table3161412[[#This Row],[Value Date]],"mmmm")</f>
        <v>January</v>
      </c>
    </row>
    <row r="295" spans="1:8">
      <c r="A295" s="3">
        <f t="shared" si="4"/>
        <v>2000</v>
      </c>
      <c r="B295" s="217"/>
      <c r="H295" s="5" t="str">
        <f>TEXT(Table3161412[[#This Row],[Value Date]],"mmmm")</f>
        <v>January</v>
      </c>
    </row>
    <row r="296" spans="1:8">
      <c r="A296" s="3">
        <f t="shared" si="4"/>
        <v>2000</v>
      </c>
      <c r="C296" s="217"/>
      <c r="H296" s="5" t="str">
        <f>TEXT(Table3161412[[#This Row],[Value Date]],"mmmm")</f>
        <v>January</v>
      </c>
    </row>
    <row r="297" spans="1:8">
      <c r="A297" s="3">
        <f t="shared" si="4"/>
        <v>2000</v>
      </c>
      <c r="C297" s="217"/>
      <c r="H297" s="5" t="str">
        <f>TEXT(Table3161412[[#This Row],[Value Date]],"mmmm")</f>
        <v>January</v>
      </c>
    </row>
    <row r="298" spans="1:8">
      <c r="A298" s="3">
        <f t="shared" si="4"/>
        <v>2000</v>
      </c>
      <c r="B298" s="217"/>
      <c r="H298" s="5" t="str">
        <f>TEXT(Table3161412[[#This Row],[Value Date]],"mmmm")</f>
        <v>January</v>
      </c>
    </row>
    <row r="299" spans="1:8">
      <c r="A299" s="3">
        <f t="shared" si="4"/>
        <v>2000</v>
      </c>
      <c r="C299" s="217"/>
      <c r="H299" s="5" t="str">
        <f>TEXT(Table3161412[[#This Row],[Value Date]],"mmmm")</f>
        <v>January</v>
      </c>
    </row>
    <row r="300" spans="1:8">
      <c r="A300" s="3">
        <f t="shared" si="4"/>
        <v>2000</v>
      </c>
      <c r="B300" s="217"/>
      <c r="H300" s="5" t="str">
        <f>TEXT(Table3161412[[#This Row],[Value Date]],"mmmm")</f>
        <v>January</v>
      </c>
    </row>
    <row r="301" spans="1:8">
      <c r="A301" s="3">
        <f t="shared" si="4"/>
        <v>2000</v>
      </c>
      <c r="B301" s="217"/>
      <c r="H301" s="5" t="str">
        <f>TEXT(Table3161412[[#This Row],[Value Date]],"mmmm")</f>
        <v>January</v>
      </c>
    </row>
    <row r="302" spans="1:8">
      <c r="A302" s="3">
        <f t="shared" si="4"/>
        <v>2000</v>
      </c>
      <c r="C302" s="217"/>
      <c r="H302" s="5" t="str">
        <f>TEXT(Table3161412[[#This Row],[Value Date]],"mmmm")</f>
        <v>January</v>
      </c>
    </row>
    <row r="303" spans="1:8">
      <c r="A303" s="3">
        <f t="shared" si="4"/>
        <v>2000</v>
      </c>
      <c r="B303" s="217"/>
      <c r="H303" s="5" t="str">
        <f>TEXT(Table3161412[[#This Row],[Value Date]],"mmmm")</f>
        <v>January</v>
      </c>
    </row>
    <row r="304" spans="1:8">
      <c r="A304" s="3">
        <f t="shared" si="4"/>
        <v>2000</v>
      </c>
      <c r="C304" s="217"/>
      <c r="H304" s="5" t="str">
        <f>TEXT(Table3161412[[#This Row],[Value Date]],"mmmm")</f>
        <v>January</v>
      </c>
    </row>
    <row r="305" spans="1:8">
      <c r="A305" s="3">
        <f t="shared" si="4"/>
        <v>2000</v>
      </c>
      <c r="C305" s="217"/>
      <c r="H305" s="5" t="str">
        <f>TEXT(Table3161412[[#This Row],[Value Date]],"mmmm")</f>
        <v>January</v>
      </c>
    </row>
    <row r="306" spans="1:8">
      <c r="A306" s="3">
        <f t="shared" si="4"/>
        <v>2000</v>
      </c>
      <c r="C306" s="217"/>
      <c r="H306" s="5" t="str">
        <f>TEXT(Table3161412[[#This Row],[Value Date]],"mmmm")</f>
        <v>January</v>
      </c>
    </row>
    <row r="307" spans="1:8">
      <c r="A307" s="3">
        <f t="shared" si="4"/>
        <v>2000</v>
      </c>
      <c r="C307" s="217"/>
      <c r="H307" s="5" t="str">
        <f>TEXT(Table3161412[[#This Row],[Value Date]],"mmmm")</f>
        <v>January</v>
      </c>
    </row>
    <row r="308" spans="1:8">
      <c r="A308" s="3">
        <f t="shared" si="4"/>
        <v>2000</v>
      </c>
      <c r="C308" s="217"/>
      <c r="H308" s="5" t="str">
        <f>TEXT(Table3161412[[#This Row],[Value Date]],"mmmm")</f>
        <v>January</v>
      </c>
    </row>
    <row r="309" spans="1:8">
      <c r="A309" s="3">
        <f t="shared" si="4"/>
        <v>2000</v>
      </c>
      <c r="C309" s="217"/>
      <c r="H309" s="5" t="str">
        <f>TEXT(Table3161412[[#This Row],[Value Date]],"mmmm")</f>
        <v>January</v>
      </c>
    </row>
    <row r="310" spans="1:8">
      <c r="A310" s="3">
        <f t="shared" si="4"/>
        <v>2000</v>
      </c>
      <c r="C310" s="217"/>
      <c r="H310" s="5" t="str">
        <f>TEXT(Table3161412[[#This Row],[Value Date]],"mmmm")</f>
        <v>January</v>
      </c>
    </row>
    <row r="311" spans="1:8">
      <c r="A311" s="3">
        <f t="shared" si="4"/>
        <v>2000</v>
      </c>
      <c r="C311" s="217"/>
      <c r="H311" s="5" t="str">
        <f>TEXT(Table3161412[[#This Row],[Value Date]],"mmmm")</f>
        <v>January</v>
      </c>
    </row>
    <row r="312" spans="1:8">
      <c r="A312" s="3">
        <f t="shared" si="4"/>
        <v>2000</v>
      </c>
      <c r="B312" s="217"/>
      <c r="H312" s="5" t="str">
        <f>TEXT(Table3161412[[#This Row],[Value Date]],"mmmm")</f>
        <v>January</v>
      </c>
    </row>
    <row r="313" spans="1:8">
      <c r="A313" s="3">
        <f t="shared" si="4"/>
        <v>2000</v>
      </c>
      <c r="C313" s="217"/>
      <c r="H313" s="5" t="str">
        <f>TEXT(Table3161412[[#This Row],[Value Date]],"mmmm")</f>
        <v>January</v>
      </c>
    </row>
    <row r="314" spans="1:8">
      <c r="A314" s="3">
        <f t="shared" si="4"/>
        <v>2000</v>
      </c>
      <c r="C314" s="217"/>
      <c r="H314" s="5" t="str">
        <f>TEXT(Table3161412[[#This Row],[Value Date]],"mmmm")</f>
        <v>January</v>
      </c>
    </row>
    <row r="315" spans="1:8">
      <c r="A315" s="3">
        <f t="shared" si="4"/>
        <v>2000</v>
      </c>
      <c r="B315" s="217"/>
      <c r="H315" s="5" t="str">
        <f>TEXT(Table3161412[[#This Row],[Value Date]],"mmmm")</f>
        <v>January</v>
      </c>
    </row>
    <row r="316" spans="1:8">
      <c r="A316" s="3">
        <f t="shared" si="4"/>
        <v>2000</v>
      </c>
      <c r="C316" s="217"/>
      <c r="H316" s="5" t="str">
        <f>TEXT(Table3161412[[#This Row],[Value Date]],"mmmm")</f>
        <v>January</v>
      </c>
    </row>
    <row r="317" spans="1:8">
      <c r="A317" s="3">
        <f t="shared" si="4"/>
        <v>2000</v>
      </c>
      <c r="C317" s="217"/>
      <c r="H317" s="5" t="str">
        <f>TEXT(Table3161412[[#This Row],[Value Date]],"mmmm")</f>
        <v>January</v>
      </c>
    </row>
    <row r="318" spans="1:8">
      <c r="A318" s="3">
        <f t="shared" si="4"/>
        <v>2000</v>
      </c>
      <c r="C318" s="217"/>
      <c r="H318" s="5" t="str">
        <f>TEXT(Table3161412[[#This Row],[Value Date]],"mmmm")</f>
        <v>January</v>
      </c>
    </row>
    <row r="319" spans="1:8">
      <c r="A319" s="3">
        <f t="shared" si="4"/>
        <v>2000</v>
      </c>
      <c r="C319" s="217"/>
      <c r="H319" s="5" t="str">
        <f>TEXT(Table3161412[[#This Row],[Value Date]],"mmmm")</f>
        <v>January</v>
      </c>
    </row>
    <row r="320" spans="1:8">
      <c r="A320" s="3">
        <f t="shared" si="4"/>
        <v>2000</v>
      </c>
      <c r="C320" s="217"/>
      <c r="H320" s="5" t="str">
        <f>TEXT(Table3161412[[#This Row],[Value Date]],"mmmm")</f>
        <v>January</v>
      </c>
    </row>
    <row r="321" spans="1:8">
      <c r="A321" s="3">
        <f t="shared" si="4"/>
        <v>2000</v>
      </c>
      <c r="B321" s="217"/>
      <c r="H321" s="5" t="str">
        <f>TEXT(Table3161412[[#This Row],[Value Date]],"mmmm")</f>
        <v>January</v>
      </c>
    </row>
    <row r="322" spans="1:8">
      <c r="A322" s="3">
        <f t="shared" si="4"/>
        <v>2000</v>
      </c>
      <c r="C322" s="217"/>
      <c r="H322" s="5" t="str">
        <f>TEXT(Table3161412[[#This Row],[Value Date]],"mmmm")</f>
        <v>January</v>
      </c>
    </row>
    <row r="323" spans="1:8">
      <c r="A323" s="3">
        <f t="shared" si="4"/>
        <v>2000</v>
      </c>
      <c r="C323" s="217"/>
      <c r="H323" s="5" t="str">
        <f>TEXT(Table3161412[[#This Row],[Value Date]],"mmmm")</f>
        <v>January</v>
      </c>
    </row>
    <row r="324" spans="1:8">
      <c r="A324" s="3">
        <f t="shared" si="4"/>
        <v>2000</v>
      </c>
      <c r="B324" s="217"/>
      <c r="H324" s="5" t="str">
        <f>TEXT(Table3161412[[#This Row],[Value Date]],"mmmm")</f>
        <v>January</v>
      </c>
    </row>
    <row r="325" spans="1:8">
      <c r="A325" s="3">
        <f t="shared" si="4"/>
        <v>2000</v>
      </c>
      <c r="B325" s="217"/>
      <c r="H325" s="5" t="str">
        <f>TEXT(Table3161412[[#This Row],[Value Date]],"mmmm")</f>
        <v>January</v>
      </c>
    </row>
    <row r="326" spans="1:8">
      <c r="A326" s="3">
        <f t="shared" ref="A326:A389" si="5">A325+B326-C326</f>
        <v>2000</v>
      </c>
      <c r="C326" s="217"/>
      <c r="H326" s="5" t="str">
        <f>TEXT(Table3161412[[#This Row],[Value Date]],"mmmm")</f>
        <v>January</v>
      </c>
    </row>
    <row r="327" spans="1:8">
      <c r="A327" s="3">
        <f t="shared" si="5"/>
        <v>2000</v>
      </c>
      <c r="C327" s="217"/>
      <c r="H327" s="5" t="str">
        <f>TEXT(Table3161412[[#This Row],[Value Date]],"mmmm")</f>
        <v>January</v>
      </c>
    </row>
    <row r="328" spans="1:8">
      <c r="A328" s="3">
        <f t="shared" si="5"/>
        <v>2000</v>
      </c>
      <c r="C328" s="217"/>
      <c r="H328" s="5" t="str">
        <f>TEXT(Table3161412[[#This Row],[Value Date]],"mmmm")</f>
        <v>January</v>
      </c>
    </row>
    <row r="329" spans="1:8">
      <c r="A329" s="3">
        <f t="shared" si="5"/>
        <v>2000</v>
      </c>
      <c r="C329" s="217"/>
      <c r="H329" s="5" t="str">
        <f>TEXT(Table3161412[[#This Row],[Value Date]],"mmmm")</f>
        <v>January</v>
      </c>
    </row>
    <row r="330" spans="1:8">
      <c r="A330" s="3">
        <f t="shared" si="5"/>
        <v>2000</v>
      </c>
      <c r="B330" s="217"/>
      <c r="H330" s="5" t="str">
        <f>TEXT(Table3161412[[#This Row],[Value Date]],"mmmm")</f>
        <v>January</v>
      </c>
    </row>
    <row r="331" spans="1:8">
      <c r="A331" s="3">
        <f t="shared" si="5"/>
        <v>2000</v>
      </c>
      <c r="C331" s="217"/>
      <c r="H331" s="5" t="str">
        <f>TEXT(Table3161412[[#This Row],[Value Date]],"mmmm")</f>
        <v>January</v>
      </c>
    </row>
    <row r="332" spans="1:8">
      <c r="A332" s="3">
        <f t="shared" si="5"/>
        <v>2000</v>
      </c>
      <c r="C332" s="217"/>
      <c r="H332" s="5" t="str">
        <f>TEXT(Table3161412[[#This Row],[Value Date]],"mmmm")</f>
        <v>January</v>
      </c>
    </row>
    <row r="333" spans="1:8">
      <c r="A333" s="3">
        <f t="shared" si="5"/>
        <v>2000</v>
      </c>
      <c r="C333" s="217"/>
      <c r="H333" s="5" t="str">
        <f>TEXT(Table3161412[[#This Row],[Value Date]],"mmmm")</f>
        <v>January</v>
      </c>
    </row>
    <row r="334" spans="1:8">
      <c r="A334" s="3">
        <f t="shared" si="5"/>
        <v>2000</v>
      </c>
      <c r="C334" s="217"/>
      <c r="H334" s="5" t="str">
        <f>TEXT(Table3161412[[#This Row],[Value Date]],"mmmm")</f>
        <v>January</v>
      </c>
    </row>
    <row r="335" spans="1:8">
      <c r="A335" s="3">
        <f t="shared" si="5"/>
        <v>2000</v>
      </c>
      <c r="C335" s="217"/>
      <c r="H335" s="5" t="str">
        <f>TEXT(Table3161412[[#This Row],[Value Date]],"mmmm")</f>
        <v>January</v>
      </c>
    </row>
    <row r="336" spans="1:8">
      <c r="A336" s="3">
        <f t="shared" si="5"/>
        <v>2000</v>
      </c>
      <c r="C336" s="217"/>
      <c r="H336" s="5" t="str">
        <f>TEXT(Table3161412[[#This Row],[Value Date]],"mmmm")</f>
        <v>January</v>
      </c>
    </row>
    <row r="337" spans="1:8">
      <c r="A337" s="3">
        <f t="shared" si="5"/>
        <v>2000</v>
      </c>
      <c r="C337" s="217"/>
      <c r="H337" s="5" t="str">
        <f>TEXT(Table3161412[[#This Row],[Value Date]],"mmmm")</f>
        <v>January</v>
      </c>
    </row>
    <row r="338" spans="1:8">
      <c r="A338" s="3">
        <f t="shared" si="5"/>
        <v>2000</v>
      </c>
      <c r="C338" s="217"/>
      <c r="H338" s="5" t="str">
        <f>TEXT(Table3161412[[#This Row],[Value Date]],"mmmm")</f>
        <v>January</v>
      </c>
    </row>
    <row r="339" spans="1:8">
      <c r="A339" s="3">
        <f t="shared" si="5"/>
        <v>2000</v>
      </c>
      <c r="C339" s="216"/>
      <c r="H339" s="5" t="str">
        <f>TEXT(Table3161412[[#This Row],[Value Date]],"mmmm")</f>
        <v>January</v>
      </c>
    </row>
    <row r="340" spans="1:8">
      <c r="A340" s="3">
        <f t="shared" si="5"/>
        <v>2000</v>
      </c>
      <c r="C340" s="216"/>
      <c r="H340" s="5" t="str">
        <f>TEXT(Table3161412[[#This Row],[Value Date]],"mmmm")</f>
        <v>January</v>
      </c>
    </row>
    <row r="341" spans="1:8">
      <c r="A341" s="3">
        <f t="shared" si="5"/>
        <v>2000</v>
      </c>
      <c r="C341" s="216"/>
      <c r="H341" s="5" t="str">
        <f>TEXT(Table3161412[[#This Row],[Value Date]],"mmmm")</f>
        <v>January</v>
      </c>
    </row>
    <row r="342" spans="1:8">
      <c r="A342" s="3">
        <f t="shared" si="5"/>
        <v>2000</v>
      </c>
      <c r="C342" s="217"/>
      <c r="H342" s="5" t="str">
        <f>TEXT(Table3161412[[#This Row],[Value Date]],"mmmm")</f>
        <v>January</v>
      </c>
    </row>
    <row r="343" spans="1:8">
      <c r="A343" s="3">
        <f t="shared" si="5"/>
        <v>2000</v>
      </c>
      <c r="H343" s="5" t="str">
        <f>TEXT(Table3161412[[#This Row],[Value Date]],"mmmm")</f>
        <v>January</v>
      </c>
    </row>
    <row r="344" spans="1:8">
      <c r="A344" s="3">
        <f t="shared" si="5"/>
        <v>2000</v>
      </c>
      <c r="H344" s="5" t="str">
        <f>TEXT(Table3161412[[#This Row],[Value Date]],"mmmm")</f>
        <v>January</v>
      </c>
    </row>
    <row r="345" spans="1:8">
      <c r="A345" s="3">
        <f t="shared" si="5"/>
        <v>2000</v>
      </c>
      <c r="H345" s="5" t="str">
        <f>TEXT(Table3161412[[#This Row],[Value Date]],"mmmm")</f>
        <v>January</v>
      </c>
    </row>
    <row r="346" spans="1:8">
      <c r="A346" s="3">
        <f t="shared" si="5"/>
        <v>2000</v>
      </c>
      <c r="H346" s="5" t="str">
        <f>TEXT(Table3161412[[#This Row],[Value Date]],"mmmm")</f>
        <v>January</v>
      </c>
    </row>
    <row r="347" spans="1:8">
      <c r="A347" s="3">
        <f t="shared" si="5"/>
        <v>2000</v>
      </c>
      <c r="H347" s="5" t="str">
        <f>TEXT(Table3161412[[#This Row],[Value Date]],"mmmm")</f>
        <v>January</v>
      </c>
    </row>
    <row r="348" spans="1:8">
      <c r="A348" s="3">
        <f t="shared" si="5"/>
        <v>2000</v>
      </c>
      <c r="H348" s="5" t="str">
        <f>TEXT(Table3161412[[#This Row],[Value Date]],"mmmm")</f>
        <v>January</v>
      </c>
    </row>
    <row r="349" spans="1:8">
      <c r="A349" s="3">
        <f t="shared" si="5"/>
        <v>2000</v>
      </c>
      <c r="H349" s="5" t="str">
        <f>TEXT(Table3161412[[#This Row],[Value Date]],"mmmm")</f>
        <v>January</v>
      </c>
    </row>
    <row r="350" spans="1:8">
      <c r="A350" s="3">
        <f t="shared" si="5"/>
        <v>2000</v>
      </c>
      <c r="H350" s="5" t="str">
        <f>TEXT(Table3161412[[#This Row],[Value Date]],"mmmm")</f>
        <v>January</v>
      </c>
    </row>
    <row r="351" spans="1:8">
      <c r="A351" s="3">
        <f t="shared" si="5"/>
        <v>2000</v>
      </c>
      <c r="H351" s="5" t="str">
        <f>TEXT(Table3161412[[#This Row],[Value Date]],"mmmm")</f>
        <v>January</v>
      </c>
    </row>
    <row r="352" spans="1:8">
      <c r="A352" s="3">
        <f t="shared" si="5"/>
        <v>2000</v>
      </c>
      <c r="H352" s="5" t="str">
        <f>TEXT(Table3161412[[#This Row],[Value Date]],"mmmm")</f>
        <v>January</v>
      </c>
    </row>
    <row r="353" spans="1:8">
      <c r="A353" s="3">
        <f t="shared" si="5"/>
        <v>2000</v>
      </c>
      <c r="H353" s="5" t="str">
        <f>TEXT(Table3161412[[#This Row],[Value Date]],"mmmm")</f>
        <v>January</v>
      </c>
    </row>
    <row r="354" spans="1:8">
      <c r="A354" s="3">
        <f t="shared" si="5"/>
        <v>2000</v>
      </c>
      <c r="H354" s="5" t="str">
        <f>TEXT(Table3161412[[#This Row],[Value Date]],"mmmm")</f>
        <v>January</v>
      </c>
    </row>
    <row r="355" spans="1:8">
      <c r="A355" s="3">
        <f t="shared" si="5"/>
        <v>2000</v>
      </c>
      <c r="H355" s="5" t="str">
        <f>TEXT(Table3161412[[#This Row],[Value Date]],"mmmm")</f>
        <v>January</v>
      </c>
    </row>
    <row r="356" spans="1:8">
      <c r="A356" s="3">
        <f t="shared" si="5"/>
        <v>2000</v>
      </c>
      <c r="H356" s="5" t="str">
        <f>TEXT(Table3161412[[#This Row],[Value Date]],"mmmm")</f>
        <v>January</v>
      </c>
    </row>
    <row r="357" spans="1:8">
      <c r="A357" s="3">
        <f t="shared" si="5"/>
        <v>2000</v>
      </c>
      <c r="H357" s="5" t="str">
        <f>TEXT(Table3161412[[#This Row],[Value Date]],"mmmm")</f>
        <v>January</v>
      </c>
    </row>
    <row r="358" spans="1:8">
      <c r="A358" s="3">
        <f t="shared" si="5"/>
        <v>2000</v>
      </c>
      <c r="H358" s="5" t="str">
        <f>TEXT(Table3161412[[#This Row],[Value Date]],"mmmm")</f>
        <v>January</v>
      </c>
    </row>
    <row r="359" spans="1:8">
      <c r="A359" s="3">
        <f t="shared" si="5"/>
        <v>2000</v>
      </c>
      <c r="H359" s="5" t="str">
        <f>TEXT(Table3161412[[#This Row],[Value Date]],"mmmm")</f>
        <v>January</v>
      </c>
    </row>
    <row r="360" spans="1:8">
      <c r="A360" s="3">
        <f t="shared" si="5"/>
        <v>2000</v>
      </c>
      <c r="H360" s="5" t="str">
        <f>TEXT(Table3161412[[#This Row],[Value Date]],"mmmm")</f>
        <v>January</v>
      </c>
    </row>
    <row r="361" spans="1:8">
      <c r="A361" s="3">
        <f t="shared" si="5"/>
        <v>2000</v>
      </c>
      <c r="H361" s="5" t="str">
        <f>TEXT(Table3161412[[#This Row],[Value Date]],"mmmm")</f>
        <v>January</v>
      </c>
    </row>
    <row r="362" spans="1:8">
      <c r="A362" s="3">
        <f t="shared" si="5"/>
        <v>2000</v>
      </c>
      <c r="H362" s="5" t="str">
        <f>TEXT(Table3161412[[#This Row],[Value Date]],"mmmm")</f>
        <v>January</v>
      </c>
    </row>
    <row r="363" spans="1:8">
      <c r="A363" s="3">
        <f t="shared" si="5"/>
        <v>2000</v>
      </c>
      <c r="H363" s="5" t="str">
        <f>TEXT(Table3161412[[#This Row],[Value Date]],"mmmm")</f>
        <v>January</v>
      </c>
    </row>
    <row r="364" spans="1:8">
      <c r="A364" s="3">
        <f t="shared" si="5"/>
        <v>2000</v>
      </c>
      <c r="H364" s="5" t="str">
        <f>TEXT(Table3161412[[#This Row],[Value Date]],"mmmm")</f>
        <v>January</v>
      </c>
    </row>
    <row r="365" spans="1:8">
      <c r="A365" s="3">
        <f t="shared" si="5"/>
        <v>2000</v>
      </c>
      <c r="H365" s="5" t="str">
        <f>TEXT(Table3161412[[#This Row],[Value Date]],"mmmm")</f>
        <v>January</v>
      </c>
    </row>
    <row r="366" spans="1:8">
      <c r="A366" s="3">
        <f t="shared" si="5"/>
        <v>2000</v>
      </c>
      <c r="H366" s="5" t="str">
        <f>TEXT(Table3161412[[#This Row],[Value Date]],"mmmm")</f>
        <v>January</v>
      </c>
    </row>
    <row r="367" spans="1:8">
      <c r="A367" s="3">
        <f t="shared" si="5"/>
        <v>2000</v>
      </c>
      <c r="H367" s="5" t="str">
        <f>TEXT(Table3161412[[#This Row],[Value Date]],"mmmm")</f>
        <v>January</v>
      </c>
    </row>
    <row r="368" spans="1:8">
      <c r="A368" s="3">
        <f t="shared" si="5"/>
        <v>2000</v>
      </c>
      <c r="H368" s="5" t="str">
        <f>TEXT(Table3161412[[#This Row],[Value Date]],"mmmm")</f>
        <v>January</v>
      </c>
    </row>
    <row r="369" spans="1:8">
      <c r="A369" s="3">
        <f t="shared" si="5"/>
        <v>2000</v>
      </c>
      <c r="H369" s="5" t="str">
        <f>TEXT(Table3161412[[#This Row],[Value Date]],"mmmm")</f>
        <v>January</v>
      </c>
    </row>
    <row r="370" spans="1:8">
      <c r="A370" s="3">
        <f t="shared" si="5"/>
        <v>2000</v>
      </c>
      <c r="H370" s="5" t="str">
        <f>TEXT(Table3161412[[#This Row],[Value Date]],"mmmm")</f>
        <v>January</v>
      </c>
    </row>
    <row r="371" spans="1:8">
      <c r="A371" s="3">
        <f t="shared" si="5"/>
        <v>2000</v>
      </c>
      <c r="H371" s="5" t="str">
        <f>TEXT(Table3161412[[#This Row],[Value Date]],"mmmm")</f>
        <v>January</v>
      </c>
    </row>
    <row r="372" spans="1:8">
      <c r="A372" s="3">
        <f t="shared" si="5"/>
        <v>2000</v>
      </c>
      <c r="H372" s="5" t="str">
        <f>TEXT(Table3161412[[#This Row],[Value Date]],"mmmm")</f>
        <v>January</v>
      </c>
    </row>
    <row r="373" spans="1:8">
      <c r="A373" s="3">
        <f t="shared" si="5"/>
        <v>2000</v>
      </c>
      <c r="H373" s="5" t="str">
        <f>TEXT(Table3161412[[#This Row],[Value Date]],"mmmm")</f>
        <v>January</v>
      </c>
    </row>
    <row r="374" spans="1:8">
      <c r="A374" s="3">
        <f t="shared" si="5"/>
        <v>2000</v>
      </c>
      <c r="H374" s="5" t="str">
        <f>TEXT(Table3161412[[#This Row],[Value Date]],"mmmm")</f>
        <v>January</v>
      </c>
    </row>
    <row r="375" spans="1:8">
      <c r="A375" s="3">
        <f t="shared" si="5"/>
        <v>2000</v>
      </c>
      <c r="H375" s="5" t="str">
        <f>TEXT(Table3161412[[#This Row],[Value Date]],"mmmm")</f>
        <v>January</v>
      </c>
    </row>
    <row r="376" spans="1:8">
      <c r="A376" s="3">
        <f t="shared" si="5"/>
        <v>2000</v>
      </c>
      <c r="H376" s="5" t="str">
        <f>TEXT(Table3161412[[#This Row],[Value Date]],"mmmm")</f>
        <v>January</v>
      </c>
    </row>
    <row r="377" spans="1:8">
      <c r="A377" s="3">
        <f t="shared" si="5"/>
        <v>2000</v>
      </c>
      <c r="H377" s="5" t="str">
        <f>TEXT(Table3161412[[#This Row],[Value Date]],"mmmm")</f>
        <v>January</v>
      </c>
    </row>
    <row r="378" spans="1:8">
      <c r="A378" s="3">
        <f t="shared" si="5"/>
        <v>2000</v>
      </c>
      <c r="H378" s="5" t="str">
        <f>TEXT(Table3161412[[#This Row],[Value Date]],"mmmm")</f>
        <v>January</v>
      </c>
    </row>
    <row r="379" spans="1:8">
      <c r="A379" s="3">
        <f t="shared" si="5"/>
        <v>2000</v>
      </c>
      <c r="H379" s="5" t="str">
        <f>TEXT(Table3161412[[#This Row],[Value Date]],"mmmm")</f>
        <v>January</v>
      </c>
    </row>
    <row r="380" spans="1:8">
      <c r="A380" s="3">
        <f t="shared" si="5"/>
        <v>2000</v>
      </c>
      <c r="H380" s="5" t="str">
        <f>TEXT(Table3161412[[#This Row],[Value Date]],"mmmm")</f>
        <v>January</v>
      </c>
    </row>
    <row r="381" spans="1:8">
      <c r="A381" s="3">
        <f t="shared" si="5"/>
        <v>2000</v>
      </c>
      <c r="H381" s="5" t="str">
        <f>TEXT(Table3161412[[#This Row],[Value Date]],"mmmm")</f>
        <v>January</v>
      </c>
    </row>
    <row r="382" spans="1:8">
      <c r="A382" s="3">
        <f t="shared" si="5"/>
        <v>2000</v>
      </c>
      <c r="H382" s="5" t="str">
        <f>TEXT(Table3161412[[#This Row],[Value Date]],"mmmm")</f>
        <v>January</v>
      </c>
    </row>
    <row r="383" spans="1:8">
      <c r="A383" s="3">
        <f t="shared" si="5"/>
        <v>2000</v>
      </c>
      <c r="H383" s="5" t="str">
        <f>TEXT(Table3161412[[#This Row],[Value Date]],"mmmm")</f>
        <v>January</v>
      </c>
    </row>
    <row r="384" spans="1:8">
      <c r="A384" s="3">
        <f t="shared" si="5"/>
        <v>2000</v>
      </c>
      <c r="H384" s="5" t="str">
        <f>TEXT(Table3161412[[#This Row],[Value Date]],"mmmm")</f>
        <v>January</v>
      </c>
    </row>
    <row r="385" spans="1:8">
      <c r="A385" s="3">
        <f t="shared" si="5"/>
        <v>2000</v>
      </c>
      <c r="H385" s="5" t="str">
        <f>TEXT(Table3161412[[#This Row],[Value Date]],"mmmm")</f>
        <v>January</v>
      </c>
    </row>
    <row r="386" spans="1:8">
      <c r="A386" s="3">
        <f t="shared" si="5"/>
        <v>2000</v>
      </c>
      <c r="H386" s="5" t="str">
        <f>TEXT(Table3161412[[#This Row],[Value Date]],"mmmm")</f>
        <v>January</v>
      </c>
    </row>
    <row r="387" spans="1:8">
      <c r="A387" s="3">
        <f t="shared" si="5"/>
        <v>2000</v>
      </c>
      <c r="H387" s="5" t="str">
        <f>TEXT(Table3161412[[#This Row],[Value Date]],"mmmm")</f>
        <v>January</v>
      </c>
    </row>
    <row r="388" spans="1:8">
      <c r="A388" s="3">
        <f t="shared" si="5"/>
        <v>2000</v>
      </c>
      <c r="H388" s="5" t="str">
        <f>TEXT(Table3161412[[#This Row],[Value Date]],"mmmm")</f>
        <v>January</v>
      </c>
    </row>
    <row r="389" spans="1:8">
      <c r="A389" s="3">
        <f t="shared" si="5"/>
        <v>2000</v>
      </c>
      <c r="H389" s="5" t="str">
        <f>TEXT(Table3161412[[#This Row],[Value Date]],"mmmm")</f>
        <v>January</v>
      </c>
    </row>
    <row r="390" spans="1:8">
      <c r="A390" s="3">
        <f t="shared" ref="A390:A439" si="6">A389+B390-C390</f>
        <v>2000</v>
      </c>
      <c r="H390" s="5" t="str">
        <f>TEXT(Table3161412[[#This Row],[Value Date]],"mmmm")</f>
        <v>January</v>
      </c>
    </row>
    <row r="391" spans="1:8">
      <c r="A391" s="3">
        <f t="shared" si="6"/>
        <v>2000</v>
      </c>
      <c r="H391" s="5" t="str">
        <f>TEXT(Table3161412[[#This Row],[Value Date]],"mmmm")</f>
        <v>January</v>
      </c>
    </row>
    <row r="392" spans="1:8">
      <c r="A392" s="3">
        <f t="shared" si="6"/>
        <v>2000</v>
      </c>
      <c r="H392" s="5" t="str">
        <f>TEXT(Table3161412[[#This Row],[Value Date]],"mmmm")</f>
        <v>January</v>
      </c>
    </row>
    <row r="393" spans="1:8">
      <c r="A393" s="3">
        <f t="shared" si="6"/>
        <v>2000</v>
      </c>
      <c r="H393" s="5" t="str">
        <f>TEXT(Table3161412[[#This Row],[Value Date]],"mmmm")</f>
        <v>January</v>
      </c>
    </row>
    <row r="394" spans="1:8">
      <c r="A394" s="3">
        <f t="shared" si="6"/>
        <v>2000</v>
      </c>
      <c r="H394" s="5" t="str">
        <f>TEXT(Table3161412[[#This Row],[Value Date]],"mmmm")</f>
        <v>January</v>
      </c>
    </row>
    <row r="395" spans="1:8">
      <c r="A395" s="3">
        <f t="shared" si="6"/>
        <v>2000</v>
      </c>
      <c r="H395" s="5" t="str">
        <f>TEXT(Table3161412[[#This Row],[Value Date]],"mmmm")</f>
        <v>January</v>
      </c>
    </row>
    <row r="396" spans="1:8">
      <c r="A396" s="3">
        <f t="shared" si="6"/>
        <v>2000</v>
      </c>
      <c r="H396" s="5" t="str">
        <f>TEXT(Table3161412[[#This Row],[Value Date]],"mmmm")</f>
        <v>January</v>
      </c>
    </row>
    <row r="397" spans="1:8">
      <c r="A397" s="3">
        <f t="shared" si="6"/>
        <v>2000</v>
      </c>
      <c r="H397" s="5" t="str">
        <f>TEXT(Table3161412[[#This Row],[Value Date]],"mmmm")</f>
        <v>January</v>
      </c>
    </row>
    <row r="398" spans="1:8">
      <c r="A398" s="3">
        <f t="shared" si="6"/>
        <v>2000</v>
      </c>
      <c r="H398" s="5" t="str">
        <f>TEXT(Table3161412[[#This Row],[Value Date]],"mmmm")</f>
        <v>January</v>
      </c>
    </row>
    <row r="399" spans="1:8">
      <c r="A399" s="3">
        <f t="shared" si="6"/>
        <v>2000</v>
      </c>
      <c r="H399" s="5" t="str">
        <f>TEXT(Table3161412[[#This Row],[Value Date]],"mmmm")</f>
        <v>January</v>
      </c>
    </row>
    <row r="400" spans="1:8">
      <c r="A400" s="3">
        <f t="shared" si="6"/>
        <v>2000</v>
      </c>
      <c r="H400" s="5" t="str">
        <f>TEXT(Table3161412[[#This Row],[Value Date]],"mmmm")</f>
        <v>January</v>
      </c>
    </row>
    <row r="401" spans="1:8">
      <c r="A401" s="3">
        <f t="shared" si="6"/>
        <v>2000</v>
      </c>
      <c r="H401" s="5" t="str">
        <f>TEXT(Table3161412[[#This Row],[Value Date]],"mmmm")</f>
        <v>January</v>
      </c>
    </row>
    <row r="402" spans="1:8">
      <c r="A402" s="3">
        <f t="shared" si="6"/>
        <v>2000</v>
      </c>
      <c r="H402" s="5" t="str">
        <f>TEXT(Table3161412[[#This Row],[Value Date]],"mmmm")</f>
        <v>January</v>
      </c>
    </row>
    <row r="403" spans="1:8">
      <c r="A403" s="3">
        <f t="shared" si="6"/>
        <v>2000</v>
      </c>
      <c r="H403" s="5" t="str">
        <f>TEXT(Table3161412[[#This Row],[Value Date]],"mmmm")</f>
        <v>January</v>
      </c>
    </row>
    <row r="404" spans="1:8">
      <c r="A404" s="3">
        <f t="shared" si="6"/>
        <v>2000</v>
      </c>
      <c r="H404" s="5" t="str">
        <f>TEXT(Table3161412[[#This Row],[Value Date]],"mmmm")</f>
        <v>January</v>
      </c>
    </row>
    <row r="405" spans="1:8">
      <c r="A405" s="3">
        <f t="shared" si="6"/>
        <v>2000</v>
      </c>
      <c r="H405" s="5" t="str">
        <f>TEXT(Table3161412[[#This Row],[Value Date]],"mmmm")</f>
        <v>January</v>
      </c>
    </row>
    <row r="406" spans="1:8">
      <c r="A406" s="3">
        <f t="shared" si="6"/>
        <v>2000</v>
      </c>
      <c r="H406" s="5" t="str">
        <f>TEXT(Table3161412[[#This Row],[Value Date]],"mmmm")</f>
        <v>January</v>
      </c>
    </row>
    <row r="407" spans="1:8">
      <c r="A407" s="3">
        <f t="shared" si="6"/>
        <v>2000</v>
      </c>
      <c r="H407" s="5" t="str">
        <f>TEXT(Table3161412[[#This Row],[Value Date]],"mmmm")</f>
        <v>January</v>
      </c>
    </row>
    <row r="408" spans="1:8">
      <c r="A408" s="3">
        <f t="shared" si="6"/>
        <v>2000</v>
      </c>
      <c r="H408" s="5" t="str">
        <f>TEXT(Table3161412[[#This Row],[Value Date]],"mmmm")</f>
        <v>January</v>
      </c>
    </row>
    <row r="409" spans="1:8">
      <c r="A409" s="3">
        <f t="shared" si="6"/>
        <v>2000</v>
      </c>
      <c r="H409" s="5" t="str">
        <f>TEXT(Table3161412[[#This Row],[Value Date]],"mmmm")</f>
        <v>January</v>
      </c>
    </row>
    <row r="410" spans="1:8">
      <c r="A410" s="3">
        <f t="shared" si="6"/>
        <v>2000</v>
      </c>
      <c r="H410" s="5" t="str">
        <f>TEXT(Table3161412[[#This Row],[Value Date]],"mmmm")</f>
        <v>January</v>
      </c>
    </row>
    <row r="411" spans="1:8">
      <c r="A411" s="3">
        <f t="shared" si="6"/>
        <v>2000</v>
      </c>
      <c r="H411" s="5" t="str">
        <f>TEXT(Table3161412[[#This Row],[Value Date]],"mmmm")</f>
        <v>January</v>
      </c>
    </row>
    <row r="412" spans="1:8">
      <c r="A412" s="3">
        <f t="shared" si="6"/>
        <v>2000</v>
      </c>
      <c r="H412" s="5" t="str">
        <f>TEXT(Table3161412[[#This Row],[Value Date]],"mmmm")</f>
        <v>January</v>
      </c>
    </row>
    <row r="413" spans="1:8">
      <c r="A413" s="3">
        <f t="shared" si="6"/>
        <v>2000</v>
      </c>
      <c r="H413" s="5" t="str">
        <f>TEXT(Table3161412[[#This Row],[Value Date]],"mmmm")</f>
        <v>January</v>
      </c>
    </row>
    <row r="414" spans="1:8">
      <c r="A414" s="3">
        <f t="shared" si="6"/>
        <v>2000</v>
      </c>
      <c r="H414" s="5" t="str">
        <f>TEXT(Table3161412[[#This Row],[Value Date]],"mmmm")</f>
        <v>January</v>
      </c>
    </row>
    <row r="415" spans="1:8">
      <c r="A415" s="3">
        <f t="shared" si="6"/>
        <v>2000</v>
      </c>
      <c r="H415" s="5" t="str">
        <f>TEXT(Table3161412[[#This Row],[Value Date]],"mmmm")</f>
        <v>January</v>
      </c>
    </row>
    <row r="416" spans="1:8">
      <c r="A416" s="3">
        <f t="shared" si="6"/>
        <v>2000</v>
      </c>
      <c r="H416" s="5" t="str">
        <f>TEXT(Table3161412[[#This Row],[Value Date]],"mmmm")</f>
        <v>January</v>
      </c>
    </row>
    <row r="417" spans="1:8">
      <c r="A417" s="3">
        <f t="shared" si="6"/>
        <v>2000</v>
      </c>
      <c r="H417" s="5" t="str">
        <f>TEXT(Table3161412[[#This Row],[Value Date]],"mmmm")</f>
        <v>January</v>
      </c>
    </row>
    <row r="418" spans="1:8">
      <c r="A418" s="3">
        <f t="shared" si="6"/>
        <v>2000</v>
      </c>
      <c r="H418" s="5" t="str">
        <f>TEXT(Table3161412[[#This Row],[Value Date]],"mmmm")</f>
        <v>January</v>
      </c>
    </row>
    <row r="419" spans="1:8">
      <c r="A419" s="3">
        <f t="shared" si="6"/>
        <v>2000</v>
      </c>
      <c r="H419" s="5" t="str">
        <f>TEXT(Table3161412[[#This Row],[Value Date]],"mmmm")</f>
        <v>January</v>
      </c>
    </row>
    <row r="420" spans="1:8">
      <c r="A420" s="3">
        <f t="shared" si="6"/>
        <v>2000</v>
      </c>
      <c r="H420" s="5" t="str">
        <f>TEXT(Table3161412[[#This Row],[Value Date]],"mmmm")</f>
        <v>January</v>
      </c>
    </row>
    <row r="421" spans="1:8">
      <c r="A421" s="3">
        <f t="shared" si="6"/>
        <v>2000</v>
      </c>
      <c r="H421" s="5" t="str">
        <f>TEXT(Table3161412[[#This Row],[Value Date]],"mmmm")</f>
        <v>January</v>
      </c>
    </row>
    <row r="422" spans="1:8">
      <c r="A422" s="3">
        <f t="shared" si="6"/>
        <v>2000</v>
      </c>
      <c r="H422" s="5" t="str">
        <f>TEXT(Table3161412[[#This Row],[Value Date]],"mmmm")</f>
        <v>January</v>
      </c>
    </row>
    <row r="423" spans="1:8">
      <c r="A423" s="3">
        <f t="shared" si="6"/>
        <v>2000</v>
      </c>
      <c r="H423" s="5" t="str">
        <f>TEXT(Table3161412[[#This Row],[Value Date]],"mmmm")</f>
        <v>January</v>
      </c>
    </row>
    <row r="424" spans="1:8">
      <c r="A424" s="3">
        <f t="shared" si="6"/>
        <v>2000</v>
      </c>
      <c r="H424" s="5" t="str">
        <f>TEXT(Table3161412[[#This Row],[Value Date]],"mmmm")</f>
        <v>January</v>
      </c>
    </row>
    <row r="425" spans="1:8">
      <c r="A425" s="3">
        <f t="shared" si="6"/>
        <v>2000</v>
      </c>
      <c r="H425" s="5" t="str">
        <f>TEXT(Table3161412[[#This Row],[Value Date]],"mmmm")</f>
        <v>January</v>
      </c>
    </row>
    <row r="426" spans="1:8">
      <c r="A426" s="3">
        <f t="shared" si="6"/>
        <v>2000</v>
      </c>
      <c r="H426" s="5" t="str">
        <f>TEXT(Table3161412[[#This Row],[Value Date]],"mmmm")</f>
        <v>January</v>
      </c>
    </row>
    <row r="427" spans="1:8">
      <c r="A427" s="3">
        <f t="shared" si="6"/>
        <v>2000</v>
      </c>
      <c r="H427" s="5" t="str">
        <f>TEXT(Table3161412[[#This Row],[Value Date]],"mmmm")</f>
        <v>January</v>
      </c>
    </row>
    <row r="428" spans="1:8">
      <c r="A428" s="3">
        <f t="shared" si="6"/>
        <v>2000</v>
      </c>
      <c r="H428" s="5" t="str">
        <f>TEXT(Table3161412[[#This Row],[Value Date]],"mmmm")</f>
        <v>January</v>
      </c>
    </row>
    <row r="429" spans="1:8">
      <c r="A429" s="3">
        <f t="shared" si="6"/>
        <v>2000</v>
      </c>
      <c r="H429" s="5" t="str">
        <f>TEXT(Table3161412[[#This Row],[Value Date]],"mmmm")</f>
        <v>January</v>
      </c>
    </row>
    <row r="430" spans="1:8">
      <c r="A430" s="3">
        <f t="shared" si="6"/>
        <v>2000</v>
      </c>
      <c r="H430" s="5" t="str">
        <f>TEXT(Table3161412[[#This Row],[Value Date]],"mmmm")</f>
        <v>January</v>
      </c>
    </row>
    <row r="431" spans="1:8">
      <c r="A431" s="3">
        <f t="shared" si="6"/>
        <v>2000</v>
      </c>
      <c r="H431" s="5" t="str">
        <f>TEXT(Table3161412[[#This Row],[Value Date]],"mmmm")</f>
        <v>January</v>
      </c>
    </row>
    <row r="432" spans="1:8">
      <c r="A432" s="3">
        <f t="shared" si="6"/>
        <v>2000</v>
      </c>
      <c r="H432" s="5" t="str">
        <f>TEXT(Table3161412[[#This Row],[Value Date]],"mmmm")</f>
        <v>January</v>
      </c>
    </row>
    <row r="433" spans="1:11">
      <c r="A433" s="3">
        <f t="shared" si="6"/>
        <v>2000</v>
      </c>
      <c r="H433" s="5" t="str">
        <f>TEXT(Table3161412[[#This Row],[Value Date]],"mmmm")</f>
        <v>January</v>
      </c>
    </row>
    <row r="434" spans="1:11">
      <c r="A434" s="3">
        <f t="shared" si="6"/>
        <v>2000</v>
      </c>
      <c r="H434" s="5" t="str">
        <f>TEXT(Table3161412[[#This Row],[Value Date]],"mmmm")</f>
        <v>January</v>
      </c>
    </row>
    <row r="435" spans="1:11">
      <c r="A435" s="3">
        <f t="shared" si="6"/>
        <v>2000</v>
      </c>
      <c r="H435" s="5" t="str">
        <f>TEXT(Table3161412[[#This Row],[Value Date]],"mmmm")</f>
        <v>January</v>
      </c>
    </row>
    <row r="436" spans="1:11">
      <c r="A436" s="3">
        <f t="shared" si="6"/>
        <v>2000</v>
      </c>
      <c r="H436" s="5" t="str">
        <f>TEXT(Table3161412[[#This Row],[Value Date]],"mmmm")</f>
        <v>January</v>
      </c>
    </row>
    <row r="437" spans="1:11">
      <c r="A437" s="3">
        <f t="shared" si="6"/>
        <v>2000</v>
      </c>
      <c r="H437" s="5" t="str">
        <f>TEXT(Table3161412[[#This Row],[Value Date]],"mmmm")</f>
        <v>January</v>
      </c>
    </row>
    <row r="438" spans="1:11">
      <c r="A438" s="3">
        <f t="shared" si="6"/>
        <v>2000</v>
      </c>
      <c r="H438" s="5" t="str">
        <f>TEXT(Table3161412[[#This Row],[Value Date]],"mmmm")</f>
        <v>January</v>
      </c>
    </row>
    <row r="439" spans="1:11">
      <c r="A439" s="3">
        <f t="shared" si="6"/>
        <v>2000</v>
      </c>
      <c r="B439" s="12"/>
      <c r="C439" s="12"/>
      <c r="D439" s="13"/>
      <c r="E439" s="13"/>
      <c r="F439" s="13"/>
      <c r="G439" s="14" t="s">
        <v>33</v>
      </c>
      <c r="H439" s="14" t="str">
        <f>TEXT(Table3161412[[#This Row],[Value Date]],"mmmm")</f>
        <v>January</v>
      </c>
      <c r="I439" s="13"/>
      <c r="J439" s="13"/>
      <c r="K439" s="15"/>
    </row>
    <row r="440" spans="1:11" s="15" customFormat="1">
      <c r="A440" s="3"/>
      <c r="B440" s="3"/>
      <c r="C440" s="3"/>
      <c r="D440" s="4"/>
      <c r="E440" s="4"/>
      <c r="F440" s="4"/>
      <c r="G440" s="5"/>
      <c r="H440" s="5"/>
      <c r="I440" s="4"/>
      <c r="J440" s="4"/>
      <c r="K440" s="4"/>
    </row>
  </sheetData>
  <pageMargins left="0.7" right="0.7" top="0.75" bottom="0.75" header="0.3" footer="0.3"/>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FD123-D018-4537-BDCA-CFE53D8AC018}">
  <sheetPr codeName="Sheet18"/>
  <dimension ref="A1:K856"/>
  <sheetViews>
    <sheetView workbookViewId="0"/>
  </sheetViews>
  <sheetFormatPr defaultRowHeight="22.5"/>
  <cols>
    <col min="1" max="3" width="19.28515625" style="3" bestFit="1" customWidth="1"/>
    <col min="4" max="4" width="17.140625" style="4" bestFit="1" customWidth="1"/>
    <col min="5" max="5" width="24.5703125" style="4" bestFit="1" customWidth="1"/>
    <col min="6" max="6" width="23" style="4" bestFit="1" customWidth="1"/>
    <col min="7" max="7" width="163" style="5" customWidth="1"/>
    <col min="8" max="8" width="20.5703125" style="5" customWidth="1"/>
    <col min="9" max="9" width="39.85546875" style="4" bestFit="1" customWidth="1"/>
    <col min="10" max="10" width="16.42578125" style="4" bestFit="1" customWidth="1"/>
    <col min="11" max="16384" width="9.140625" style="4"/>
  </cols>
  <sheetData>
    <row r="1" spans="1:11" ht="97.5" customHeight="1">
      <c r="A1" s="2">
        <f>A856</f>
        <v>10167.950000000012</v>
      </c>
    </row>
    <row r="2" spans="1:11" ht="38.25" customHeight="1">
      <c r="A2" s="6" t="s">
        <v>15</v>
      </c>
      <c r="B2" s="6" t="s">
        <v>16</v>
      </c>
      <c r="C2" s="6" t="s">
        <v>17</v>
      </c>
      <c r="D2" s="7" t="s">
        <v>18</v>
      </c>
      <c r="E2" s="7" t="s">
        <v>19</v>
      </c>
      <c r="F2" s="7" t="s">
        <v>20</v>
      </c>
      <c r="G2" s="7" t="s">
        <v>21</v>
      </c>
      <c r="H2" s="7"/>
      <c r="I2" s="7"/>
      <c r="J2" s="8"/>
    </row>
    <row r="3" spans="1:11" ht="38.25" customHeight="1">
      <c r="A3" s="6" t="s">
        <v>22</v>
      </c>
      <c r="B3" s="6" t="s">
        <v>23</v>
      </c>
      <c r="C3" s="6" t="s">
        <v>24</v>
      </c>
      <c r="D3" s="7" t="s">
        <v>25</v>
      </c>
      <c r="E3" s="7" t="s">
        <v>26</v>
      </c>
      <c r="F3" s="7" t="s">
        <v>27</v>
      </c>
      <c r="G3" s="7" t="s">
        <v>28</v>
      </c>
      <c r="H3" s="7" t="s">
        <v>1</v>
      </c>
      <c r="I3" s="7" t="s">
        <v>29</v>
      </c>
      <c r="J3" s="7" t="s">
        <v>30</v>
      </c>
      <c r="K3" s="9" t="s">
        <v>31</v>
      </c>
    </row>
    <row r="4" spans="1:11">
      <c r="A4" s="3">
        <f>B4</f>
        <v>0</v>
      </c>
      <c r="C4" s="3">
        <v>0</v>
      </c>
      <c r="H4" s="5" t="str">
        <f>TEXT(Table313[[#This Row],[Value Date]],"mmmm")</f>
        <v>January</v>
      </c>
    </row>
    <row r="5" spans="1:11">
      <c r="A5" s="3">
        <f>A4+B5-C5</f>
        <v>30000</v>
      </c>
      <c r="B5" s="217">
        <v>30000</v>
      </c>
      <c r="D5" s="4" t="s">
        <v>601</v>
      </c>
      <c r="E5" s="4" t="s">
        <v>450</v>
      </c>
      <c r="F5" s="185" t="s">
        <v>450</v>
      </c>
      <c r="G5" s="5" t="s">
        <v>602</v>
      </c>
      <c r="H5" s="5" t="str">
        <f>TEXT(Table313[[#This Row],[Value Date]],"mmmm")</f>
        <v>January</v>
      </c>
    </row>
    <row r="6" spans="1:11">
      <c r="A6" s="3">
        <f t="shared" ref="A6:A64" si="0">A5+B6-C6</f>
        <v>29999.5</v>
      </c>
      <c r="C6" s="216">
        <v>0.5</v>
      </c>
      <c r="D6" s="4" t="s">
        <v>601</v>
      </c>
      <c r="E6" s="4" t="s">
        <v>601</v>
      </c>
      <c r="F6" s="185" t="s">
        <v>601</v>
      </c>
      <c r="G6" s="5" t="s">
        <v>603</v>
      </c>
      <c r="H6" s="5" t="str">
        <f>TEXT(Table313[[#This Row],[Value Date]],"mmmm")</f>
        <v>January</v>
      </c>
    </row>
    <row r="7" spans="1:11">
      <c r="A7" s="3">
        <f t="shared" si="0"/>
        <v>19999.5</v>
      </c>
      <c r="C7" s="217">
        <v>10000</v>
      </c>
      <c r="D7" s="4" t="s">
        <v>601</v>
      </c>
      <c r="E7" s="4" t="s">
        <v>601</v>
      </c>
      <c r="F7" s="185" t="s">
        <v>601</v>
      </c>
      <c r="G7" s="5" t="s">
        <v>604</v>
      </c>
      <c r="H7" s="5" t="str">
        <f>TEXT(Table313[[#This Row],[Value Date]],"mmmm")</f>
        <v>January</v>
      </c>
    </row>
    <row r="8" spans="1:11">
      <c r="A8" s="3">
        <f t="shared" si="0"/>
        <v>9999.5</v>
      </c>
      <c r="C8" s="217">
        <v>10000</v>
      </c>
      <c r="D8" s="4" t="s">
        <v>601</v>
      </c>
      <c r="E8" s="4" t="s">
        <v>601</v>
      </c>
      <c r="F8" s="185" t="s">
        <v>601</v>
      </c>
      <c r="G8" s="5" t="s">
        <v>604</v>
      </c>
      <c r="H8" s="5" t="str">
        <f>TEXT(Table313[[#This Row],[Value Date]],"mmmm")</f>
        <v>January</v>
      </c>
    </row>
    <row r="9" spans="1:11">
      <c r="A9" s="3">
        <f t="shared" si="0"/>
        <v>99.5</v>
      </c>
      <c r="C9" s="217">
        <v>9900</v>
      </c>
      <c r="D9" s="4" t="s">
        <v>601</v>
      </c>
      <c r="E9" s="4" t="s">
        <v>601</v>
      </c>
      <c r="F9" s="185" t="s">
        <v>601</v>
      </c>
      <c r="G9" s="5" t="s">
        <v>604</v>
      </c>
      <c r="H9" s="5" t="str">
        <f>TEXT(Table313[[#This Row],[Value Date]],"mmmm")</f>
        <v>January</v>
      </c>
    </row>
    <row r="10" spans="1:11">
      <c r="A10" s="3">
        <f t="shared" si="0"/>
        <v>20099.5</v>
      </c>
      <c r="B10" s="217">
        <v>20000</v>
      </c>
      <c r="D10" s="4" t="s">
        <v>601</v>
      </c>
      <c r="E10" s="4" t="s">
        <v>601</v>
      </c>
      <c r="F10" s="185" t="s">
        <v>601</v>
      </c>
      <c r="G10" s="5" t="s">
        <v>884</v>
      </c>
      <c r="H10" s="5" t="str">
        <f>TEXT(Table313[[#This Row],[Value Date]],"mmmm")</f>
        <v>January</v>
      </c>
    </row>
    <row r="11" spans="1:11">
      <c r="A11" s="3">
        <f t="shared" si="0"/>
        <v>20090.95</v>
      </c>
      <c r="C11" s="216">
        <v>8.5500000000000007</v>
      </c>
      <c r="D11" s="4" t="s">
        <v>601</v>
      </c>
      <c r="E11" s="4" t="s">
        <v>601</v>
      </c>
      <c r="F11" s="185" t="s">
        <v>601</v>
      </c>
      <c r="H11" s="5" t="str">
        <f>TEXT(Table313[[#This Row],[Value Date]],"mmmm")</f>
        <v>January</v>
      </c>
    </row>
    <row r="12" spans="1:11">
      <c r="A12" s="3">
        <f t="shared" si="0"/>
        <v>10090.950000000001</v>
      </c>
      <c r="C12" s="217">
        <v>10000</v>
      </c>
      <c r="D12" s="4" t="s">
        <v>615</v>
      </c>
      <c r="E12" s="4" t="s">
        <v>615</v>
      </c>
      <c r="F12" s="185" t="s">
        <v>616</v>
      </c>
      <c r="G12" s="5" t="s">
        <v>885</v>
      </c>
      <c r="H12" s="5" t="str">
        <f>TEXT(Table313[[#This Row],[Value Date]],"mmmm")</f>
        <v>January</v>
      </c>
    </row>
    <row r="13" spans="1:11">
      <c r="A13" s="3">
        <f t="shared" si="0"/>
        <v>90.950000000000728</v>
      </c>
      <c r="C13" s="217">
        <v>10000</v>
      </c>
      <c r="D13" s="4" t="s">
        <v>615</v>
      </c>
      <c r="E13" s="4" t="s">
        <v>615</v>
      </c>
      <c r="F13" s="185" t="s">
        <v>616</v>
      </c>
      <c r="G13" s="5" t="s">
        <v>885</v>
      </c>
      <c r="H13" s="5" t="str">
        <f>TEXT(Table313[[#This Row],[Value Date]],"mmmm")</f>
        <v>January</v>
      </c>
    </row>
    <row r="14" spans="1:11">
      <c r="A14" s="3">
        <f t="shared" si="0"/>
        <v>30090.95</v>
      </c>
      <c r="B14" s="217">
        <v>30000</v>
      </c>
      <c r="D14" s="4" t="s">
        <v>716</v>
      </c>
      <c r="E14" s="4" t="s">
        <v>716</v>
      </c>
      <c r="F14" s="185" t="s">
        <v>716</v>
      </c>
      <c r="G14" s="5" t="s">
        <v>884</v>
      </c>
      <c r="H14" s="5" t="str">
        <f>TEXT(Table313[[#This Row],[Value Date]],"mmmm")</f>
        <v>January</v>
      </c>
    </row>
    <row r="15" spans="1:11">
      <c r="A15" s="3">
        <f t="shared" si="0"/>
        <v>20090.95</v>
      </c>
      <c r="C15" s="217">
        <v>10000</v>
      </c>
      <c r="D15" s="4" t="s">
        <v>716</v>
      </c>
      <c r="E15" s="4" t="s">
        <v>716</v>
      </c>
      <c r="F15" s="185" t="s">
        <v>716</v>
      </c>
      <c r="G15" s="5" t="s">
        <v>885</v>
      </c>
      <c r="H15" s="5" t="str">
        <f>TEXT(Table313[[#This Row],[Value Date]],"mmmm")</f>
        <v>January</v>
      </c>
    </row>
    <row r="16" spans="1:11">
      <c r="A16" s="3">
        <f t="shared" si="0"/>
        <v>30090.95</v>
      </c>
      <c r="B16" s="217">
        <v>10000</v>
      </c>
      <c r="D16" s="4" t="s">
        <v>716</v>
      </c>
      <c r="E16" s="4" t="s">
        <v>716</v>
      </c>
      <c r="F16" s="185" t="s">
        <v>716</v>
      </c>
      <c r="G16" s="5" t="s">
        <v>885</v>
      </c>
      <c r="H16" s="5" t="str">
        <f>TEXT(Table313[[#This Row],[Value Date]],"mmmm")</f>
        <v>January</v>
      </c>
    </row>
    <row r="17" spans="1:8">
      <c r="A17" s="3">
        <f t="shared" si="0"/>
        <v>20090.95</v>
      </c>
      <c r="C17" s="217">
        <v>10000</v>
      </c>
      <c r="D17" s="4" t="s">
        <v>716</v>
      </c>
      <c r="E17" s="4" t="s">
        <v>716</v>
      </c>
      <c r="F17" s="185" t="s">
        <v>716</v>
      </c>
      <c r="G17" s="5" t="s">
        <v>885</v>
      </c>
      <c r="H17" s="5" t="str">
        <f>TEXT(Table313[[#This Row],[Value Date]],"mmmm")</f>
        <v>January</v>
      </c>
    </row>
    <row r="18" spans="1:8">
      <c r="A18" s="3">
        <f t="shared" si="0"/>
        <v>30090.95</v>
      </c>
      <c r="B18" s="217">
        <v>10000</v>
      </c>
      <c r="D18" s="4" t="s">
        <v>716</v>
      </c>
      <c r="E18" s="4" t="s">
        <v>716</v>
      </c>
      <c r="F18" s="185" t="s">
        <v>716</v>
      </c>
      <c r="G18" s="5" t="s">
        <v>885</v>
      </c>
      <c r="H18" s="5" t="str">
        <f>TEXT(Table313[[#This Row],[Value Date]],"mmmm")</f>
        <v>January</v>
      </c>
    </row>
    <row r="19" spans="1:8">
      <c r="A19" s="3">
        <f t="shared" si="0"/>
        <v>20090.95</v>
      </c>
      <c r="C19" s="217">
        <v>10000</v>
      </c>
      <c r="D19" s="4" t="s">
        <v>716</v>
      </c>
      <c r="E19" s="4" t="s">
        <v>716</v>
      </c>
      <c r="F19" s="185" t="s">
        <v>716</v>
      </c>
      <c r="G19" s="5" t="s">
        <v>886</v>
      </c>
      <c r="H19" s="5" t="str">
        <f>TEXT(Table313[[#This Row],[Value Date]],"mmmm")</f>
        <v>January</v>
      </c>
    </row>
    <row r="20" spans="1:8">
      <c r="A20" s="3">
        <f t="shared" si="0"/>
        <v>10090.950000000001</v>
      </c>
      <c r="C20" s="217">
        <v>10000</v>
      </c>
      <c r="D20" s="4" t="s">
        <v>716</v>
      </c>
      <c r="E20" s="4" t="s">
        <v>716</v>
      </c>
      <c r="F20" s="185" t="s">
        <v>716</v>
      </c>
      <c r="G20" s="5" t="s">
        <v>886</v>
      </c>
      <c r="H20" s="5" t="str">
        <f>TEXT(Table313[[#This Row],[Value Date]],"mmmm")</f>
        <v>January</v>
      </c>
    </row>
    <row r="21" spans="1:8">
      <c r="A21" s="3">
        <f t="shared" si="0"/>
        <v>20090.95</v>
      </c>
      <c r="B21" s="217">
        <v>10000</v>
      </c>
      <c r="C21" s="216"/>
      <c r="D21" s="4" t="s">
        <v>716</v>
      </c>
      <c r="E21" s="4" t="s">
        <v>716</v>
      </c>
      <c r="F21" s="185" t="s">
        <v>716</v>
      </c>
      <c r="G21" s="5" t="s">
        <v>886</v>
      </c>
      <c r="H21" s="5" t="str">
        <f>TEXT(Table313[[#This Row],[Value Date]],"mmmm")</f>
        <v>January</v>
      </c>
    </row>
    <row r="22" spans="1:8">
      <c r="A22" s="3">
        <f t="shared" si="0"/>
        <v>10090.950000000001</v>
      </c>
      <c r="B22" s="217"/>
      <c r="C22" s="217">
        <v>10000</v>
      </c>
      <c r="D22" s="4" t="s">
        <v>716</v>
      </c>
      <c r="E22" s="4" t="s">
        <v>716</v>
      </c>
      <c r="F22" s="185" t="s">
        <v>716</v>
      </c>
      <c r="G22" s="5" t="s">
        <v>886</v>
      </c>
      <c r="H22" s="5" t="str">
        <f>TEXT(Table313[[#This Row],[Value Date]],"mmmm")</f>
        <v>January</v>
      </c>
    </row>
    <row r="23" spans="1:8">
      <c r="A23" s="3">
        <f t="shared" si="0"/>
        <v>20090.95</v>
      </c>
      <c r="B23" s="217">
        <v>10000</v>
      </c>
      <c r="C23" s="216"/>
      <c r="D23" s="4" t="s">
        <v>716</v>
      </c>
      <c r="E23" s="4" t="s">
        <v>716</v>
      </c>
      <c r="F23" s="185" t="s">
        <v>716</v>
      </c>
      <c r="G23" s="5" t="s">
        <v>886</v>
      </c>
      <c r="H23" s="5" t="str">
        <f>TEXT(Table313[[#This Row],[Value Date]],"mmmm")</f>
        <v>January</v>
      </c>
    </row>
    <row r="24" spans="1:8">
      <c r="A24" s="3">
        <f t="shared" si="0"/>
        <v>10090.950000000001</v>
      </c>
      <c r="C24" s="217">
        <v>10000</v>
      </c>
      <c r="D24" s="4" t="s">
        <v>716</v>
      </c>
      <c r="E24" s="4" t="s">
        <v>716</v>
      </c>
      <c r="F24" s="185" t="s">
        <v>716</v>
      </c>
      <c r="G24" s="5" t="s">
        <v>887</v>
      </c>
      <c r="H24" s="5" t="str">
        <f>TEXT(Table313[[#This Row],[Value Date]],"mmmm")</f>
        <v>January</v>
      </c>
    </row>
    <row r="25" spans="1:8">
      <c r="A25" s="3">
        <f t="shared" si="0"/>
        <v>90.950000000000728</v>
      </c>
      <c r="C25" s="217">
        <v>10000</v>
      </c>
      <c r="D25" s="4" t="s">
        <v>716</v>
      </c>
      <c r="E25" s="4" t="s">
        <v>716</v>
      </c>
      <c r="F25" s="185" t="s">
        <v>716</v>
      </c>
      <c r="G25" s="5" t="s">
        <v>886</v>
      </c>
      <c r="H25" s="5" t="str">
        <f>TEXT(Table313[[#This Row],[Value Date]],"mmmm")</f>
        <v>January</v>
      </c>
    </row>
    <row r="26" spans="1:8">
      <c r="A26" s="3">
        <f t="shared" si="0"/>
        <v>15090.95</v>
      </c>
      <c r="B26" s="217">
        <v>15000</v>
      </c>
      <c r="C26" s="217"/>
      <c r="D26" s="4" t="s">
        <v>753</v>
      </c>
      <c r="E26" s="4" t="s">
        <v>753</v>
      </c>
      <c r="F26" s="185" t="s">
        <v>753</v>
      </c>
      <c r="G26" s="5" t="s">
        <v>884</v>
      </c>
      <c r="H26" s="5" t="str">
        <f>TEXT(Table313[[#This Row],[Value Date]],"mmmm")</f>
        <v>January</v>
      </c>
    </row>
    <row r="27" spans="1:8">
      <c r="A27" s="3">
        <f t="shared" si="0"/>
        <v>5090.9500000000007</v>
      </c>
      <c r="C27" s="217">
        <v>10000</v>
      </c>
      <c r="D27" s="4" t="s">
        <v>753</v>
      </c>
      <c r="E27" s="4" t="s">
        <v>753</v>
      </c>
      <c r="F27" s="185" t="s">
        <v>753</v>
      </c>
      <c r="G27" s="5" t="s">
        <v>885</v>
      </c>
      <c r="H27" s="5" t="str">
        <f>TEXT(Table313[[#This Row],[Value Date]],"mmmm")</f>
        <v>January</v>
      </c>
    </row>
    <row r="28" spans="1:8">
      <c r="A28" s="3">
        <f t="shared" si="0"/>
        <v>90.950000000000728</v>
      </c>
      <c r="B28" s="217"/>
      <c r="C28" s="217">
        <v>5000</v>
      </c>
      <c r="D28" s="4" t="s">
        <v>753</v>
      </c>
      <c r="E28" s="4" t="s">
        <v>753</v>
      </c>
      <c r="F28" s="185" t="s">
        <v>753</v>
      </c>
      <c r="G28" s="5" t="s">
        <v>885</v>
      </c>
      <c r="H28" s="5" t="str">
        <f>TEXT(Table313[[#This Row],[Value Date]],"mmmm")</f>
        <v>January</v>
      </c>
    </row>
    <row r="29" spans="1:8">
      <c r="A29" s="3">
        <f t="shared" si="0"/>
        <v>40.950000000000728</v>
      </c>
      <c r="C29" s="216">
        <v>50</v>
      </c>
      <c r="D29" s="4" t="s">
        <v>791</v>
      </c>
      <c r="E29" s="4" t="s">
        <v>791</v>
      </c>
      <c r="F29" s="185" t="s">
        <v>888</v>
      </c>
      <c r="G29" s="5" t="s">
        <v>889</v>
      </c>
      <c r="H29" s="5" t="str">
        <f>TEXT(Table313[[#This Row],[Value Date]],"mmmm")</f>
        <v>January</v>
      </c>
    </row>
    <row r="30" spans="1:8">
      <c r="A30" s="3">
        <f t="shared" si="0"/>
        <v>7.2475359047530219E-13</v>
      </c>
      <c r="C30" s="216">
        <v>40.950000000000003</v>
      </c>
      <c r="F30" s="185"/>
      <c r="H30" s="5" t="str">
        <f>TEXT(Table313[[#This Row],[Value Date]],"mmmm")</f>
        <v>January</v>
      </c>
    </row>
    <row r="31" spans="1:8">
      <c r="A31" s="3">
        <f t="shared" si="0"/>
        <v>7.2475359047530219E-13</v>
      </c>
      <c r="B31" s="216"/>
      <c r="F31" s="185"/>
      <c r="H31" s="5" t="str">
        <f>TEXT(Table313[[#This Row],[Value Date]],"mmmm")</f>
        <v>January</v>
      </c>
    </row>
    <row r="32" spans="1:8">
      <c r="A32" s="3">
        <f t="shared" si="0"/>
        <v>200000</v>
      </c>
      <c r="B32" s="217">
        <v>200000</v>
      </c>
      <c r="C32" s="216"/>
      <c r="D32" s="4" t="s">
        <v>1040</v>
      </c>
      <c r="E32" s="4" t="s">
        <v>1040</v>
      </c>
      <c r="F32" s="185" t="s">
        <v>1040</v>
      </c>
      <c r="G32" s="5" t="s">
        <v>1045</v>
      </c>
      <c r="H32" s="5" t="str">
        <f>TEXT(Table313[[#This Row],[Value Date]],"mmmm")</f>
        <v>April</v>
      </c>
    </row>
    <row r="33" spans="1:8">
      <c r="A33" s="3">
        <f t="shared" si="0"/>
        <v>202237</v>
      </c>
      <c r="B33" s="217">
        <v>2237</v>
      </c>
      <c r="D33" s="4" t="s">
        <v>1040</v>
      </c>
      <c r="E33" s="4" t="s">
        <v>1040</v>
      </c>
      <c r="F33" s="185" t="s">
        <v>1040</v>
      </c>
      <c r="G33" s="5" t="s">
        <v>1046</v>
      </c>
      <c r="H33" s="5" t="str">
        <f>TEXT(Table313[[#This Row],[Value Date]],"mmmm")</f>
        <v>April</v>
      </c>
    </row>
    <row r="34" spans="1:8">
      <c r="A34" s="3">
        <f t="shared" si="0"/>
        <v>202217.95</v>
      </c>
      <c r="C34" s="216">
        <v>19.05</v>
      </c>
      <c r="D34" s="4" t="s">
        <v>1040</v>
      </c>
      <c r="E34" s="4" t="s">
        <v>1040</v>
      </c>
      <c r="F34" s="185" t="s">
        <v>1040</v>
      </c>
      <c r="G34" s="5" t="s">
        <v>1047</v>
      </c>
      <c r="H34" s="5" t="str">
        <f>TEXT(Table313[[#This Row],[Value Date]],"mmmm")</f>
        <v>April</v>
      </c>
    </row>
    <row r="35" spans="1:8">
      <c r="A35" s="3">
        <f t="shared" si="0"/>
        <v>187217.95</v>
      </c>
      <c r="C35" s="217">
        <v>15000</v>
      </c>
      <c r="D35" s="4" t="s">
        <v>1057</v>
      </c>
      <c r="E35" s="4" t="s">
        <v>1057</v>
      </c>
      <c r="F35" s="185" t="s">
        <v>1057</v>
      </c>
      <c r="G35" s="5" t="s">
        <v>617</v>
      </c>
      <c r="H35" s="5" t="str">
        <f>TEXT(Table313[[#This Row],[Value Date]],"mmmm")</f>
        <v>April</v>
      </c>
    </row>
    <row r="36" spans="1:8">
      <c r="A36" s="3">
        <f t="shared" si="0"/>
        <v>202217.95</v>
      </c>
      <c r="B36" s="217">
        <v>15000</v>
      </c>
      <c r="D36" s="4" t="s">
        <v>1057</v>
      </c>
      <c r="E36" s="4" t="s">
        <v>1057</v>
      </c>
      <c r="F36" s="185" t="s">
        <v>1057</v>
      </c>
      <c r="G36" s="5" t="s">
        <v>617</v>
      </c>
      <c r="H36" s="5" t="str">
        <f>TEXT(Table313[[#This Row],[Value Date]],"mmmm")</f>
        <v>April</v>
      </c>
    </row>
    <row r="37" spans="1:8">
      <c r="A37" s="3">
        <f t="shared" si="0"/>
        <v>192217.95</v>
      </c>
      <c r="C37" s="217">
        <v>10000</v>
      </c>
      <c r="D37" s="4" t="s">
        <v>1057</v>
      </c>
      <c r="E37" s="4" t="s">
        <v>1057</v>
      </c>
      <c r="F37" s="185" t="s">
        <v>1057</v>
      </c>
      <c r="G37" s="5" t="s">
        <v>617</v>
      </c>
      <c r="H37" s="5" t="str">
        <f>TEXT(Table313[[#This Row],[Value Date]],"mmmm")</f>
        <v>April</v>
      </c>
    </row>
    <row r="38" spans="1:8">
      <c r="A38" s="3">
        <f t="shared" si="0"/>
        <v>202217.95</v>
      </c>
      <c r="B38" s="217">
        <v>10000</v>
      </c>
      <c r="D38" s="4" t="s">
        <v>1057</v>
      </c>
      <c r="E38" s="4" t="s">
        <v>1057</v>
      </c>
      <c r="F38" s="185" t="s">
        <v>1057</v>
      </c>
      <c r="G38" s="5" t="s">
        <v>617</v>
      </c>
      <c r="H38" s="5" t="str">
        <f>TEXT(Table313[[#This Row],[Value Date]],"mmmm")</f>
        <v>April</v>
      </c>
    </row>
    <row r="39" spans="1:8">
      <c r="A39" s="3">
        <f t="shared" si="0"/>
        <v>194217.95</v>
      </c>
      <c r="C39" s="217">
        <v>8000</v>
      </c>
      <c r="D39" s="4" t="s">
        <v>1057</v>
      </c>
      <c r="E39" s="4" t="s">
        <v>1057</v>
      </c>
      <c r="F39" s="185" t="s">
        <v>1057</v>
      </c>
      <c r="G39" s="5" t="s">
        <v>790</v>
      </c>
      <c r="H39" s="5" t="str">
        <f>TEXT(Table313[[#This Row],[Value Date]],"mmmm")</f>
        <v>April</v>
      </c>
    </row>
    <row r="40" spans="1:8">
      <c r="A40" s="3">
        <f t="shared" si="0"/>
        <v>186217.95</v>
      </c>
      <c r="C40" s="217">
        <v>8000</v>
      </c>
      <c r="D40" s="4" t="s">
        <v>1057</v>
      </c>
      <c r="E40" s="4" t="s">
        <v>1057</v>
      </c>
      <c r="F40" s="185" t="s">
        <v>1057</v>
      </c>
      <c r="G40" s="5" t="s">
        <v>790</v>
      </c>
      <c r="H40" s="5" t="str">
        <f>TEXT(Table313[[#This Row],[Value Date]],"mmmm")</f>
        <v>April</v>
      </c>
    </row>
    <row r="41" spans="1:8">
      <c r="A41" s="3">
        <f t="shared" si="0"/>
        <v>178217.95</v>
      </c>
      <c r="C41" s="217">
        <v>8000</v>
      </c>
      <c r="D41" s="4" t="s">
        <v>1057</v>
      </c>
      <c r="E41" s="4" t="s">
        <v>1057</v>
      </c>
      <c r="F41" s="185" t="s">
        <v>1057</v>
      </c>
      <c r="G41" s="5" t="s">
        <v>790</v>
      </c>
      <c r="H41" s="5" t="str">
        <f>TEXT(Table313[[#This Row],[Value Date]],"mmmm")</f>
        <v>April</v>
      </c>
    </row>
    <row r="42" spans="1:8">
      <c r="A42" s="3">
        <f t="shared" si="0"/>
        <v>172217.95</v>
      </c>
      <c r="C42" s="217">
        <v>6000</v>
      </c>
      <c r="D42" s="4" t="s">
        <v>1057</v>
      </c>
      <c r="E42" s="4" t="s">
        <v>1057</v>
      </c>
      <c r="F42" s="185" t="s">
        <v>1057</v>
      </c>
      <c r="G42" s="5" t="s">
        <v>790</v>
      </c>
      <c r="H42" s="5" t="str">
        <f>TEXT(Table313[[#This Row],[Value Date]],"mmmm")</f>
        <v>April</v>
      </c>
    </row>
    <row r="43" spans="1:8">
      <c r="A43" s="3">
        <f t="shared" si="0"/>
        <v>147217.95000000001</v>
      </c>
      <c r="C43" s="217">
        <v>25000</v>
      </c>
      <c r="D43" s="4" t="s">
        <v>1057</v>
      </c>
      <c r="E43" s="4" t="s">
        <v>1057</v>
      </c>
      <c r="F43" s="185" t="s">
        <v>1057</v>
      </c>
      <c r="G43" s="5" t="s">
        <v>1063</v>
      </c>
      <c r="H43" s="5" t="str">
        <f>TEXT(Table313[[#This Row],[Value Date]],"mmmm")</f>
        <v>April</v>
      </c>
    </row>
    <row r="44" spans="1:8">
      <c r="A44" s="3">
        <f t="shared" si="0"/>
        <v>147167.95000000001</v>
      </c>
      <c r="B44" s="217"/>
      <c r="C44" s="216">
        <v>50</v>
      </c>
      <c r="D44" s="4" t="s">
        <v>1057</v>
      </c>
      <c r="E44" s="4" t="s">
        <v>1057</v>
      </c>
      <c r="F44" s="185" t="s">
        <v>1057</v>
      </c>
      <c r="G44" s="5" t="s">
        <v>1047</v>
      </c>
      <c r="H44" s="5" t="str">
        <f>TEXT(Table313[[#This Row],[Value Date]],"mmmm")</f>
        <v>April</v>
      </c>
    </row>
    <row r="45" spans="1:8">
      <c r="A45" s="3">
        <f t="shared" si="0"/>
        <v>47167.950000000012</v>
      </c>
      <c r="C45" s="216">
        <v>100000</v>
      </c>
      <c r="F45" s="185"/>
      <c r="H45" s="5" t="str">
        <f>TEXT(Table313[[#This Row],[Value Date]],"mmmm")</f>
        <v>January</v>
      </c>
    </row>
    <row r="46" spans="1:8">
      <c r="A46" s="3">
        <f t="shared" si="0"/>
        <v>17167.950000000012</v>
      </c>
      <c r="C46" s="216">
        <v>30000</v>
      </c>
      <c r="F46" s="185"/>
      <c r="H46" s="5" t="str">
        <f>TEXT(Table313[[#This Row],[Value Date]],"mmmm")</f>
        <v>January</v>
      </c>
    </row>
    <row r="47" spans="1:8">
      <c r="A47" s="3">
        <f t="shared" si="0"/>
        <v>2167.9500000000116</v>
      </c>
      <c r="C47" s="216">
        <v>15000</v>
      </c>
      <c r="F47" s="185"/>
      <c r="H47" s="5" t="str">
        <f>TEXT(Table313[[#This Row],[Value Date]],"mmmm")</f>
        <v>January</v>
      </c>
    </row>
    <row r="48" spans="1:8">
      <c r="A48" s="3">
        <f t="shared" si="0"/>
        <v>20167.950000000012</v>
      </c>
      <c r="B48" s="3">
        <v>18000</v>
      </c>
      <c r="C48" s="217"/>
      <c r="F48" s="185"/>
      <c r="H48" s="5" t="str">
        <f>TEXT(Table313[[#This Row],[Value Date]],"mmmm")</f>
        <v>January</v>
      </c>
    </row>
    <row r="49" spans="1:8">
      <c r="A49" s="3">
        <f t="shared" si="0"/>
        <v>167.95000000001164</v>
      </c>
      <c r="C49" s="216">
        <v>20000</v>
      </c>
      <c r="F49" s="185"/>
      <c r="H49" s="5" t="str">
        <f>TEXT(Table313[[#This Row],[Value Date]],"mmmm")</f>
        <v>January</v>
      </c>
    </row>
    <row r="50" spans="1:8">
      <c r="A50" s="3">
        <f t="shared" si="0"/>
        <v>10167.950000000012</v>
      </c>
      <c r="B50" s="217">
        <v>10000</v>
      </c>
      <c r="F50" s="185"/>
      <c r="H50" s="5" t="str">
        <f>TEXT(Table313[[#This Row],[Value Date]],"mmmm")</f>
        <v>January</v>
      </c>
    </row>
    <row r="51" spans="1:8">
      <c r="A51" s="3">
        <f t="shared" si="0"/>
        <v>10167.950000000012</v>
      </c>
      <c r="C51" s="217"/>
      <c r="F51" s="185"/>
      <c r="H51" s="5" t="str">
        <f>TEXT(Table313[[#This Row],[Value Date]],"mmmm")</f>
        <v>January</v>
      </c>
    </row>
    <row r="52" spans="1:8">
      <c r="A52" s="3">
        <f t="shared" si="0"/>
        <v>10167.950000000012</v>
      </c>
      <c r="C52" s="217"/>
      <c r="F52" s="185"/>
      <c r="H52" s="5" t="str">
        <f>TEXT(Table313[[#This Row],[Value Date]],"mmmm")</f>
        <v>January</v>
      </c>
    </row>
    <row r="53" spans="1:8">
      <c r="A53" s="3">
        <f t="shared" si="0"/>
        <v>10167.950000000012</v>
      </c>
      <c r="C53" s="217"/>
      <c r="F53" s="185"/>
      <c r="H53" s="5" t="str">
        <f>TEXT(Table313[[#This Row],[Value Date]],"mmmm")</f>
        <v>January</v>
      </c>
    </row>
    <row r="54" spans="1:8">
      <c r="A54" s="3">
        <f t="shared" si="0"/>
        <v>10167.950000000012</v>
      </c>
      <c r="B54" s="217"/>
      <c r="D54" s="185"/>
      <c r="E54" s="185"/>
      <c r="F54" s="185"/>
      <c r="H54" s="5" t="str">
        <f>TEXT(Table313[[#This Row],[Value Date]],"mmmm")</f>
        <v>January</v>
      </c>
    </row>
    <row r="55" spans="1:8">
      <c r="A55" s="3">
        <f t="shared" si="0"/>
        <v>10167.950000000012</v>
      </c>
      <c r="C55" s="217"/>
      <c r="D55" s="185"/>
      <c r="E55" s="185"/>
      <c r="F55" s="185"/>
      <c r="H55" s="5" t="str">
        <f>TEXT(Table313[[#This Row],[Value Date]],"mmmm")</f>
        <v>January</v>
      </c>
    </row>
    <row r="56" spans="1:8">
      <c r="A56" s="3">
        <f t="shared" si="0"/>
        <v>10167.950000000012</v>
      </c>
      <c r="C56" s="216"/>
      <c r="F56" s="185"/>
      <c r="H56" s="5" t="str">
        <f>TEXT(Table313[[#This Row],[Value Date]],"mmmm")</f>
        <v>January</v>
      </c>
    </row>
    <row r="57" spans="1:8">
      <c r="A57" s="3">
        <f t="shared" si="0"/>
        <v>10167.950000000012</v>
      </c>
      <c r="C57" s="217"/>
      <c r="F57" s="185"/>
      <c r="H57" s="5" t="str">
        <f>TEXT(Table313[[#This Row],[Value Date]],"mmmm")</f>
        <v>January</v>
      </c>
    </row>
    <row r="58" spans="1:8">
      <c r="A58" s="3">
        <f t="shared" si="0"/>
        <v>10167.950000000012</v>
      </c>
      <c r="C58" s="217"/>
      <c r="F58" s="185"/>
      <c r="H58" s="5" t="str">
        <f>TEXT(Table313[[#This Row],[Value Date]],"mmmm")</f>
        <v>January</v>
      </c>
    </row>
    <row r="59" spans="1:8">
      <c r="A59" s="3">
        <f t="shared" si="0"/>
        <v>10167.950000000012</v>
      </c>
      <c r="B59" s="217"/>
      <c r="F59" s="185"/>
      <c r="H59" s="5" t="str">
        <f>TEXT(Table313[[#This Row],[Value Date]],"mmmm")</f>
        <v>January</v>
      </c>
    </row>
    <row r="60" spans="1:8">
      <c r="A60" s="3">
        <f t="shared" si="0"/>
        <v>10167.950000000012</v>
      </c>
      <c r="C60" s="217"/>
      <c r="F60" s="185"/>
      <c r="H60" s="5" t="str">
        <f>TEXT(Table313[[#This Row],[Value Date]],"mmmm")</f>
        <v>January</v>
      </c>
    </row>
    <row r="61" spans="1:8">
      <c r="A61" s="3">
        <f t="shared" si="0"/>
        <v>10167.950000000012</v>
      </c>
      <c r="C61" s="216"/>
      <c r="F61" s="185"/>
      <c r="H61" s="5" t="str">
        <f>TEXT(Table313[[#This Row],[Value Date]],"mmmm")</f>
        <v>January</v>
      </c>
    </row>
    <row r="62" spans="1:8">
      <c r="A62" s="3">
        <f t="shared" si="0"/>
        <v>10167.950000000012</v>
      </c>
      <c r="B62" s="217"/>
      <c r="F62" s="185"/>
      <c r="H62" s="5" t="str">
        <f>TEXT(Table313[[#This Row],[Value Date]],"mmmm")</f>
        <v>January</v>
      </c>
    </row>
    <row r="63" spans="1:8">
      <c r="A63" s="3">
        <f t="shared" si="0"/>
        <v>10167.950000000012</v>
      </c>
      <c r="C63" s="217"/>
      <c r="F63" s="185"/>
      <c r="H63" s="5" t="str">
        <f>TEXT(Table313[[#This Row],[Value Date]],"mmmm")</f>
        <v>January</v>
      </c>
    </row>
    <row r="64" spans="1:8">
      <c r="A64" s="3">
        <f t="shared" si="0"/>
        <v>10167.950000000012</v>
      </c>
      <c r="C64" s="216"/>
      <c r="F64" s="185"/>
      <c r="H64" s="5" t="str">
        <f>TEXT(Table313[[#This Row],[Value Date]],"mmmm")</f>
        <v>January</v>
      </c>
    </row>
    <row r="65" spans="1:8">
      <c r="A65" s="3">
        <f>A64+B65-C65</f>
        <v>10167.950000000012</v>
      </c>
      <c r="B65" s="222"/>
      <c r="C65" s="205"/>
      <c r="F65" s="185"/>
      <c r="H65" s="5" t="str">
        <f>TEXT(Table313[[#This Row],[Value Date]],"mmmm")</f>
        <v>January</v>
      </c>
    </row>
    <row r="66" spans="1:8">
      <c r="A66" s="3">
        <f>A65+B66-C66</f>
        <v>10167.950000000012</v>
      </c>
      <c r="B66" s="205"/>
      <c r="C66" s="222"/>
      <c r="F66" s="185"/>
      <c r="H66" s="5" t="str">
        <f>TEXT(Table313[[#This Row],[Value Date]],"mmmm")</f>
        <v>January</v>
      </c>
    </row>
    <row r="67" spans="1:8">
      <c r="A67" s="3">
        <f>A66+B67-C67</f>
        <v>10167.950000000012</v>
      </c>
      <c r="B67" s="205"/>
      <c r="C67" s="205"/>
      <c r="F67" s="185"/>
      <c r="H67" s="5" t="str">
        <f>TEXT(Table313[[#This Row],[Value Date]],"mmmm")</f>
        <v>January</v>
      </c>
    </row>
    <row r="68" spans="1:8">
      <c r="A68" s="3">
        <f>A67+B68-C68</f>
        <v>10167.950000000012</v>
      </c>
      <c r="F68" s="185"/>
      <c r="H68" s="5" t="str">
        <f>TEXT(Table313[[#This Row],[Value Date]],"mmmm")</f>
        <v>January</v>
      </c>
    </row>
    <row r="69" spans="1:8">
      <c r="A69" s="3">
        <f>A68+B69-C69</f>
        <v>10167.950000000012</v>
      </c>
      <c r="F69" s="185"/>
      <c r="H69" s="5" t="str">
        <f>TEXT(Table313[[#This Row],[Value Date]],"mmmm")</f>
        <v>January</v>
      </c>
    </row>
    <row r="70" spans="1:8">
      <c r="A70" s="3">
        <f t="shared" ref="A70:A133" si="1">A69+B70-C70</f>
        <v>10167.950000000012</v>
      </c>
      <c r="H70" s="5" t="str">
        <f>TEXT(Table313[[#This Row],[Value Date]],"mmmm")</f>
        <v>January</v>
      </c>
    </row>
    <row r="71" spans="1:8">
      <c r="A71" s="3">
        <f t="shared" si="1"/>
        <v>10167.950000000012</v>
      </c>
      <c r="H71" s="5" t="str">
        <f>TEXT(Table313[[#This Row],[Value Date]],"mmmm")</f>
        <v>January</v>
      </c>
    </row>
    <row r="72" spans="1:8">
      <c r="A72" s="3">
        <f t="shared" si="1"/>
        <v>10167.950000000012</v>
      </c>
      <c r="H72" s="5" t="str">
        <f>TEXT(Table313[[#This Row],[Value Date]],"mmmm")</f>
        <v>January</v>
      </c>
    </row>
    <row r="73" spans="1:8">
      <c r="A73" s="3">
        <f t="shared" si="1"/>
        <v>10167.950000000012</v>
      </c>
      <c r="H73" s="5" t="str">
        <f>TEXT(Table313[[#This Row],[Value Date]],"mmmm")</f>
        <v>January</v>
      </c>
    </row>
    <row r="74" spans="1:8">
      <c r="A74" s="3">
        <f t="shared" si="1"/>
        <v>10167.950000000012</v>
      </c>
      <c r="H74" s="5" t="str">
        <f>TEXT(Table313[[#This Row],[Value Date]],"mmmm")</f>
        <v>January</v>
      </c>
    </row>
    <row r="75" spans="1:8">
      <c r="A75" s="3">
        <f t="shared" si="1"/>
        <v>10167.950000000012</v>
      </c>
      <c r="H75" s="5" t="str">
        <f>TEXT(Table313[[#This Row],[Value Date]],"mmmm")</f>
        <v>January</v>
      </c>
    </row>
    <row r="76" spans="1:8">
      <c r="A76" s="3">
        <f t="shared" si="1"/>
        <v>10167.950000000012</v>
      </c>
      <c r="H76" s="5" t="str">
        <f>TEXT(Table313[[#This Row],[Value Date]],"mmmm")</f>
        <v>January</v>
      </c>
    </row>
    <row r="77" spans="1:8">
      <c r="A77" s="3">
        <f t="shared" si="1"/>
        <v>10167.950000000012</v>
      </c>
      <c r="H77" s="5" t="str">
        <f>TEXT(Table313[[#This Row],[Value Date]],"mmmm")</f>
        <v>January</v>
      </c>
    </row>
    <row r="78" spans="1:8">
      <c r="A78" s="3">
        <f t="shared" si="1"/>
        <v>10167.950000000012</v>
      </c>
      <c r="H78" s="5" t="str">
        <f>TEXT(Table313[[#This Row],[Value Date]],"mmmm")</f>
        <v>January</v>
      </c>
    </row>
    <row r="79" spans="1:8">
      <c r="A79" s="3">
        <f t="shared" si="1"/>
        <v>10167.950000000012</v>
      </c>
      <c r="H79" s="5" t="str">
        <f>TEXT(Table313[[#This Row],[Value Date]],"mmmm")</f>
        <v>January</v>
      </c>
    </row>
    <row r="80" spans="1:8">
      <c r="A80" s="3">
        <f t="shared" si="1"/>
        <v>10167.950000000012</v>
      </c>
      <c r="H80" s="5" t="str">
        <f>TEXT(Table313[[#This Row],[Value Date]],"mmmm")</f>
        <v>January</v>
      </c>
    </row>
    <row r="81" spans="1:8">
      <c r="A81" s="3">
        <f t="shared" si="1"/>
        <v>10167.950000000012</v>
      </c>
      <c r="H81" s="5" t="str">
        <f>TEXT(Table313[[#This Row],[Value Date]],"mmmm")</f>
        <v>January</v>
      </c>
    </row>
    <row r="82" spans="1:8">
      <c r="A82" s="3">
        <f t="shared" si="1"/>
        <v>10167.950000000012</v>
      </c>
      <c r="H82" s="5" t="str">
        <f>TEXT(Table313[[#This Row],[Value Date]],"mmmm")</f>
        <v>January</v>
      </c>
    </row>
    <row r="83" spans="1:8">
      <c r="A83" s="3">
        <f t="shared" si="1"/>
        <v>10167.950000000012</v>
      </c>
      <c r="H83" s="5" t="str">
        <f>TEXT(Table313[[#This Row],[Value Date]],"mmmm")</f>
        <v>January</v>
      </c>
    </row>
    <row r="84" spans="1:8">
      <c r="A84" s="3">
        <f t="shared" si="1"/>
        <v>10167.950000000012</v>
      </c>
      <c r="H84" s="5" t="str">
        <f>TEXT(Table313[[#This Row],[Value Date]],"mmmm")</f>
        <v>January</v>
      </c>
    </row>
    <row r="85" spans="1:8">
      <c r="A85" s="3">
        <f t="shared" si="1"/>
        <v>10167.950000000012</v>
      </c>
      <c r="H85" s="5" t="str">
        <f>TEXT(Table313[[#This Row],[Value Date]],"mmmm")</f>
        <v>January</v>
      </c>
    </row>
    <row r="86" spans="1:8">
      <c r="A86" s="3">
        <f t="shared" si="1"/>
        <v>10167.950000000012</v>
      </c>
      <c r="H86" s="5" t="str">
        <f>TEXT(Table313[[#This Row],[Value Date]],"mmmm")</f>
        <v>January</v>
      </c>
    </row>
    <row r="87" spans="1:8">
      <c r="A87" s="3">
        <f t="shared" si="1"/>
        <v>10167.950000000012</v>
      </c>
      <c r="H87" s="5" t="str">
        <f>TEXT(Table313[[#This Row],[Value Date]],"mmmm")</f>
        <v>January</v>
      </c>
    </row>
    <row r="88" spans="1:8">
      <c r="A88" s="3">
        <f t="shared" si="1"/>
        <v>10167.950000000012</v>
      </c>
      <c r="H88" s="5" t="str">
        <f>TEXT(Table313[[#This Row],[Value Date]],"mmmm")</f>
        <v>January</v>
      </c>
    </row>
    <row r="89" spans="1:8">
      <c r="A89" s="3">
        <f t="shared" si="1"/>
        <v>10167.950000000012</v>
      </c>
      <c r="H89" s="5" t="str">
        <f>TEXT(Table313[[#This Row],[Value Date]],"mmmm")</f>
        <v>January</v>
      </c>
    </row>
    <row r="90" spans="1:8">
      <c r="A90" s="3">
        <f t="shared" si="1"/>
        <v>10167.950000000012</v>
      </c>
      <c r="H90" s="5" t="str">
        <f>TEXT(Table313[[#This Row],[Value Date]],"mmmm")</f>
        <v>January</v>
      </c>
    </row>
    <row r="91" spans="1:8">
      <c r="A91" s="3">
        <f t="shared" si="1"/>
        <v>10167.950000000012</v>
      </c>
      <c r="H91" s="5" t="str">
        <f>TEXT(Table313[[#This Row],[Value Date]],"mmmm")</f>
        <v>January</v>
      </c>
    </row>
    <row r="92" spans="1:8">
      <c r="A92" s="3">
        <f t="shared" si="1"/>
        <v>10167.950000000012</v>
      </c>
      <c r="H92" s="5" t="str">
        <f>TEXT(Table313[[#This Row],[Value Date]],"mmmm")</f>
        <v>January</v>
      </c>
    </row>
    <row r="93" spans="1:8">
      <c r="A93" s="3">
        <f t="shared" si="1"/>
        <v>10167.950000000012</v>
      </c>
      <c r="H93" s="5" t="str">
        <f>TEXT(Table313[[#This Row],[Value Date]],"mmmm")</f>
        <v>January</v>
      </c>
    </row>
    <row r="94" spans="1:8">
      <c r="A94" s="3">
        <f t="shared" si="1"/>
        <v>10167.950000000012</v>
      </c>
      <c r="H94" s="5" t="str">
        <f>TEXT(Table313[[#This Row],[Value Date]],"mmmm")</f>
        <v>January</v>
      </c>
    </row>
    <row r="95" spans="1:8">
      <c r="A95" s="3">
        <f t="shared" si="1"/>
        <v>10167.950000000012</v>
      </c>
      <c r="H95" s="5" t="str">
        <f>TEXT(Table313[[#This Row],[Value Date]],"mmmm")</f>
        <v>January</v>
      </c>
    </row>
    <row r="96" spans="1:8">
      <c r="A96" s="3">
        <f t="shared" si="1"/>
        <v>10167.950000000012</v>
      </c>
      <c r="H96" s="5" t="str">
        <f>TEXT(Table313[[#This Row],[Value Date]],"mmmm")</f>
        <v>January</v>
      </c>
    </row>
    <row r="97" spans="1:8">
      <c r="A97" s="3">
        <f t="shared" si="1"/>
        <v>10167.950000000012</v>
      </c>
      <c r="H97" s="5" t="str">
        <f>TEXT(Table313[[#This Row],[Value Date]],"mmmm")</f>
        <v>January</v>
      </c>
    </row>
    <row r="98" spans="1:8">
      <c r="A98" s="3">
        <f t="shared" si="1"/>
        <v>10167.950000000012</v>
      </c>
      <c r="H98" s="5" t="str">
        <f>TEXT(Table313[[#This Row],[Value Date]],"mmmm")</f>
        <v>January</v>
      </c>
    </row>
    <row r="99" spans="1:8">
      <c r="A99" s="3">
        <f t="shared" si="1"/>
        <v>10167.950000000012</v>
      </c>
      <c r="H99" s="5" t="str">
        <f>TEXT(Table313[[#This Row],[Value Date]],"mmmm")</f>
        <v>January</v>
      </c>
    </row>
    <row r="100" spans="1:8">
      <c r="A100" s="3">
        <f t="shared" si="1"/>
        <v>10167.950000000012</v>
      </c>
      <c r="H100" s="5" t="str">
        <f>TEXT(Table313[[#This Row],[Value Date]],"mmmm")</f>
        <v>January</v>
      </c>
    </row>
    <row r="101" spans="1:8">
      <c r="A101" s="3">
        <f t="shared" si="1"/>
        <v>10167.950000000012</v>
      </c>
      <c r="H101" s="5" t="str">
        <f>TEXT(Table313[[#This Row],[Value Date]],"mmmm")</f>
        <v>January</v>
      </c>
    </row>
    <row r="102" spans="1:8">
      <c r="A102" s="3">
        <f t="shared" si="1"/>
        <v>10167.950000000012</v>
      </c>
      <c r="H102" s="5" t="str">
        <f>TEXT(Table313[[#This Row],[Value Date]],"mmmm")</f>
        <v>January</v>
      </c>
    </row>
    <row r="103" spans="1:8">
      <c r="A103" s="3">
        <f t="shared" si="1"/>
        <v>10167.950000000012</v>
      </c>
      <c r="H103" s="5" t="str">
        <f>TEXT(Table313[[#This Row],[Value Date]],"mmmm")</f>
        <v>January</v>
      </c>
    </row>
    <row r="104" spans="1:8">
      <c r="A104" s="3">
        <f t="shared" si="1"/>
        <v>10167.950000000012</v>
      </c>
      <c r="H104" s="5" t="str">
        <f>TEXT(Table313[[#This Row],[Value Date]],"mmmm")</f>
        <v>January</v>
      </c>
    </row>
    <row r="105" spans="1:8">
      <c r="A105" s="3">
        <f t="shared" si="1"/>
        <v>10167.950000000012</v>
      </c>
      <c r="H105" s="5" t="str">
        <f>TEXT(Table313[[#This Row],[Value Date]],"mmmm")</f>
        <v>January</v>
      </c>
    </row>
    <row r="106" spans="1:8">
      <c r="A106" s="3">
        <f t="shared" si="1"/>
        <v>10167.950000000012</v>
      </c>
      <c r="H106" s="5" t="str">
        <f>TEXT(Table313[[#This Row],[Value Date]],"mmmm")</f>
        <v>January</v>
      </c>
    </row>
    <row r="107" spans="1:8">
      <c r="A107" s="3">
        <f t="shared" si="1"/>
        <v>10167.950000000012</v>
      </c>
      <c r="H107" s="5" t="str">
        <f>TEXT(Table313[[#This Row],[Value Date]],"mmmm")</f>
        <v>January</v>
      </c>
    </row>
    <row r="108" spans="1:8">
      <c r="A108" s="3">
        <f t="shared" si="1"/>
        <v>10167.950000000012</v>
      </c>
      <c r="H108" s="5" t="str">
        <f>TEXT(Table313[[#This Row],[Value Date]],"mmmm")</f>
        <v>January</v>
      </c>
    </row>
    <row r="109" spans="1:8">
      <c r="A109" s="3">
        <f t="shared" si="1"/>
        <v>10167.950000000012</v>
      </c>
      <c r="H109" s="5" t="str">
        <f>TEXT(Table313[[#This Row],[Value Date]],"mmmm")</f>
        <v>January</v>
      </c>
    </row>
    <row r="110" spans="1:8">
      <c r="A110" s="3">
        <f t="shared" si="1"/>
        <v>10167.950000000012</v>
      </c>
      <c r="H110" s="5" t="str">
        <f>TEXT(Table313[[#This Row],[Value Date]],"mmmm")</f>
        <v>January</v>
      </c>
    </row>
    <row r="111" spans="1:8">
      <c r="A111" s="3">
        <f t="shared" si="1"/>
        <v>10167.950000000012</v>
      </c>
      <c r="H111" s="5" t="str">
        <f>TEXT(Table313[[#This Row],[Value Date]],"mmmm")</f>
        <v>January</v>
      </c>
    </row>
    <row r="112" spans="1:8">
      <c r="A112" s="3">
        <f t="shared" si="1"/>
        <v>10167.950000000012</v>
      </c>
      <c r="H112" s="5" t="str">
        <f>TEXT(Table313[[#This Row],[Value Date]],"mmmm")</f>
        <v>January</v>
      </c>
    </row>
    <row r="113" spans="1:8">
      <c r="A113" s="3">
        <f t="shared" si="1"/>
        <v>10167.950000000012</v>
      </c>
      <c r="H113" s="5" t="str">
        <f>TEXT(Table313[[#This Row],[Value Date]],"mmmm")</f>
        <v>January</v>
      </c>
    </row>
    <row r="114" spans="1:8">
      <c r="A114" s="3">
        <f t="shared" si="1"/>
        <v>10167.950000000012</v>
      </c>
      <c r="H114" s="5" t="str">
        <f>TEXT(Table313[[#This Row],[Value Date]],"mmmm")</f>
        <v>January</v>
      </c>
    </row>
    <row r="115" spans="1:8">
      <c r="A115" s="3">
        <f t="shared" si="1"/>
        <v>10167.950000000012</v>
      </c>
      <c r="H115" s="5" t="str">
        <f>TEXT(Table313[[#This Row],[Value Date]],"mmmm")</f>
        <v>January</v>
      </c>
    </row>
    <row r="116" spans="1:8">
      <c r="A116" s="3">
        <f t="shared" si="1"/>
        <v>10167.950000000012</v>
      </c>
      <c r="H116" s="5" t="str">
        <f>TEXT(Table313[[#This Row],[Value Date]],"mmmm")</f>
        <v>January</v>
      </c>
    </row>
    <row r="117" spans="1:8">
      <c r="A117" s="3">
        <f t="shared" si="1"/>
        <v>10167.950000000012</v>
      </c>
      <c r="H117" s="5" t="str">
        <f>TEXT(Table313[[#This Row],[Value Date]],"mmmm")</f>
        <v>January</v>
      </c>
    </row>
    <row r="118" spans="1:8">
      <c r="A118" s="3">
        <f t="shared" si="1"/>
        <v>10167.950000000012</v>
      </c>
      <c r="H118" s="5" t="str">
        <f>TEXT(Table313[[#This Row],[Value Date]],"mmmm")</f>
        <v>January</v>
      </c>
    </row>
    <row r="119" spans="1:8">
      <c r="A119" s="3">
        <f t="shared" si="1"/>
        <v>10167.950000000012</v>
      </c>
      <c r="H119" s="5" t="str">
        <f>TEXT(Table313[[#This Row],[Value Date]],"mmmm")</f>
        <v>January</v>
      </c>
    </row>
    <row r="120" spans="1:8">
      <c r="A120" s="3">
        <f t="shared" si="1"/>
        <v>10167.950000000012</v>
      </c>
      <c r="H120" s="5" t="str">
        <f>TEXT(Table313[[#This Row],[Value Date]],"mmmm")</f>
        <v>January</v>
      </c>
    </row>
    <row r="121" spans="1:8">
      <c r="A121" s="3">
        <f t="shared" si="1"/>
        <v>10167.950000000012</v>
      </c>
      <c r="H121" s="5" t="str">
        <f>TEXT(Table313[[#This Row],[Value Date]],"mmmm")</f>
        <v>January</v>
      </c>
    </row>
    <row r="122" spans="1:8">
      <c r="A122" s="3">
        <f t="shared" si="1"/>
        <v>10167.950000000012</v>
      </c>
      <c r="H122" s="5" t="str">
        <f>TEXT(Table313[[#This Row],[Value Date]],"mmmm")</f>
        <v>January</v>
      </c>
    </row>
    <row r="123" spans="1:8">
      <c r="A123" s="3">
        <f t="shared" si="1"/>
        <v>10167.950000000012</v>
      </c>
      <c r="H123" s="5" t="str">
        <f>TEXT(Table313[[#This Row],[Value Date]],"mmmm")</f>
        <v>January</v>
      </c>
    </row>
    <row r="124" spans="1:8">
      <c r="A124" s="3">
        <f t="shared" si="1"/>
        <v>10167.950000000012</v>
      </c>
      <c r="H124" s="5" t="str">
        <f>TEXT(Table313[[#This Row],[Value Date]],"mmmm")</f>
        <v>January</v>
      </c>
    </row>
    <row r="125" spans="1:8">
      <c r="A125" s="3">
        <f t="shared" si="1"/>
        <v>10167.950000000012</v>
      </c>
      <c r="H125" s="5" t="str">
        <f>TEXT(Table313[[#This Row],[Value Date]],"mmmm")</f>
        <v>January</v>
      </c>
    </row>
    <row r="126" spans="1:8">
      <c r="A126" s="3">
        <f t="shared" si="1"/>
        <v>10167.950000000012</v>
      </c>
      <c r="H126" s="5" t="str">
        <f>TEXT(Table313[[#This Row],[Value Date]],"mmmm")</f>
        <v>January</v>
      </c>
    </row>
    <row r="127" spans="1:8">
      <c r="A127" s="3">
        <f t="shared" si="1"/>
        <v>10167.950000000012</v>
      </c>
      <c r="H127" s="5" t="str">
        <f>TEXT(Table313[[#This Row],[Value Date]],"mmmm")</f>
        <v>January</v>
      </c>
    </row>
    <row r="128" spans="1:8">
      <c r="A128" s="3">
        <f t="shared" si="1"/>
        <v>10167.950000000012</v>
      </c>
      <c r="H128" s="5" t="str">
        <f>TEXT(Table313[[#This Row],[Value Date]],"mmmm")</f>
        <v>January</v>
      </c>
    </row>
    <row r="129" spans="1:8">
      <c r="A129" s="3">
        <f t="shared" si="1"/>
        <v>10167.950000000012</v>
      </c>
      <c r="H129" s="5" t="str">
        <f>TEXT(Table313[[#This Row],[Value Date]],"mmmm")</f>
        <v>January</v>
      </c>
    </row>
    <row r="130" spans="1:8">
      <c r="A130" s="3">
        <f t="shared" si="1"/>
        <v>10167.950000000012</v>
      </c>
      <c r="H130" s="5" t="str">
        <f>TEXT(Table313[[#This Row],[Value Date]],"mmmm")</f>
        <v>January</v>
      </c>
    </row>
    <row r="131" spans="1:8">
      <c r="A131" s="3">
        <f t="shared" si="1"/>
        <v>10167.950000000012</v>
      </c>
      <c r="H131" s="5" t="str">
        <f>TEXT(Table313[[#This Row],[Value Date]],"mmmm")</f>
        <v>January</v>
      </c>
    </row>
    <row r="132" spans="1:8">
      <c r="A132" s="3">
        <f t="shared" si="1"/>
        <v>10167.950000000012</v>
      </c>
      <c r="H132" s="5" t="str">
        <f>TEXT(Table313[[#This Row],[Value Date]],"mmmm")</f>
        <v>January</v>
      </c>
    </row>
    <row r="133" spans="1:8">
      <c r="A133" s="3">
        <f t="shared" si="1"/>
        <v>10167.950000000012</v>
      </c>
      <c r="H133" s="5" t="str">
        <f>TEXT(Table313[[#This Row],[Value Date]],"mmmm")</f>
        <v>January</v>
      </c>
    </row>
    <row r="134" spans="1:8">
      <c r="A134" s="3">
        <f t="shared" ref="A134:A197" si="2">A133+B134-C134</f>
        <v>10167.950000000012</v>
      </c>
      <c r="H134" s="5" t="str">
        <f>TEXT(Table313[[#This Row],[Value Date]],"mmmm")</f>
        <v>January</v>
      </c>
    </row>
    <row r="135" spans="1:8">
      <c r="A135" s="3">
        <f t="shared" si="2"/>
        <v>10167.950000000012</v>
      </c>
      <c r="H135" s="5" t="str">
        <f>TEXT(Table313[[#This Row],[Value Date]],"mmmm")</f>
        <v>January</v>
      </c>
    </row>
    <row r="136" spans="1:8">
      <c r="A136" s="3">
        <f t="shared" si="2"/>
        <v>10167.950000000012</v>
      </c>
      <c r="H136" s="5" t="str">
        <f>TEXT(Table313[[#This Row],[Value Date]],"mmmm")</f>
        <v>January</v>
      </c>
    </row>
    <row r="137" spans="1:8">
      <c r="A137" s="3">
        <f t="shared" si="2"/>
        <v>10167.950000000012</v>
      </c>
      <c r="H137" s="5" t="str">
        <f>TEXT(Table313[[#This Row],[Value Date]],"mmmm")</f>
        <v>January</v>
      </c>
    </row>
    <row r="138" spans="1:8">
      <c r="A138" s="3">
        <f t="shared" si="2"/>
        <v>10167.950000000012</v>
      </c>
      <c r="H138" s="5" t="str">
        <f>TEXT(Table313[[#This Row],[Value Date]],"mmmm")</f>
        <v>January</v>
      </c>
    </row>
    <row r="139" spans="1:8">
      <c r="A139" s="3">
        <f t="shared" si="2"/>
        <v>10167.950000000012</v>
      </c>
      <c r="H139" s="5" t="str">
        <f>TEXT(Table313[[#This Row],[Value Date]],"mmmm")</f>
        <v>January</v>
      </c>
    </row>
    <row r="140" spans="1:8">
      <c r="A140" s="3">
        <f t="shared" si="2"/>
        <v>10167.950000000012</v>
      </c>
      <c r="H140" s="5" t="str">
        <f>TEXT(Table313[[#This Row],[Value Date]],"mmmm")</f>
        <v>January</v>
      </c>
    </row>
    <row r="141" spans="1:8">
      <c r="A141" s="3">
        <f t="shared" si="2"/>
        <v>10167.950000000012</v>
      </c>
      <c r="H141" s="5" t="str">
        <f>TEXT(Table313[[#This Row],[Value Date]],"mmmm")</f>
        <v>January</v>
      </c>
    </row>
    <row r="142" spans="1:8">
      <c r="A142" s="3">
        <f t="shared" si="2"/>
        <v>10167.950000000012</v>
      </c>
      <c r="H142" s="5" t="str">
        <f>TEXT(Table313[[#This Row],[Value Date]],"mmmm")</f>
        <v>January</v>
      </c>
    </row>
    <row r="143" spans="1:8">
      <c r="A143" s="3">
        <f t="shared" si="2"/>
        <v>10167.950000000012</v>
      </c>
      <c r="H143" s="5" t="str">
        <f>TEXT(Table313[[#This Row],[Value Date]],"mmmm")</f>
        <v>January</v>
      </c>
    </row>
    <row r="144" spans="1:8">
      <c r="A144" s="3">
        <f t="shared" si="2"/>
        <v>10167.950000000012</v>
      </c>
      <c r="H144" s="5" t="str">
        <f>TEXT(Table313[[#This Row],[Value Date]],"mmmm")</f>
        <v>January</v>
      </c>
    </row>
    <row r="145" spans="1:8">
      <c r="A145" s="3">
        <f t="shared" si="2"/>
        <v>10167.950000000012</v>
      </c>
      <c r="H145" s="5" t="str">
        <f>TEXT(Table313[[#This Row],[Value Date]],"mmmm")</f>
        <v>January</v>
      </c>
    </row>
    <row r="146" spans="1:8">
      <c r="A146" s="3">
        <f t="shared" si="2"/>
        <v>10167.950000000012</v>
      </c>
      <c r="H146" s="5" t="str">
        <f>TEXT(Table313[[#This Row],[Value Date]],"mmmm")</f>
        <v>January</v>
      </c>
    </row>
    <row r="147" spans="1:8">
      <c r="A147" s="3">
        <f t="shared" si="2"/>
        <v>10167.950000000012</v>
      </c>
      <c r="H147" s="5" t="str">
        <f>TEXT(Table313[[#This Row],[Value Date]],"mmmm")</f>
        <v>January</v>
      </c>
    </row>
    <row r="148" spans="1:8">
      <c r="A148" s="3">
        <f t="shared" si="2"/>
        <v>10167.950000000012</v>
      </c>
      <c r="H148" s="5" t="str">
        <f>TEXT(Table313[[#This Row],[Value Date]],"mmmm")</f>
        <v>January</v>
      </c>
    </row>
    <row r="149" spans="1:8">
      <c r="A149" s="3">
        <f t="shared" si="2"/>
        <v>10167.950000000012</v>
      </c>
      <c r="H149" s="5" t="str">
        <f>TEXT(Table313[[#This Row],[Value Date]],"mmmm")</f>
        <v>January</v>
      </c>
    </row>
    <row r="150" spans="1:8">
      <c r="A150" s="3">
        <f t="shared" si="2"/>
        <v>10167.950000000012</v>
      </c>
      <c r="H150" s="5" t="str">
        <f>TEXT(Table313[[#This Row],[Value Date]],"mmmm")</f>
        <v>January</v>
      </c>
    </row>
    <row r="151" spans="1:8">
      <c r="A151" s="3">
        <f t="shared" si="2"/>
        <v>10167.950000000012</v>
      </c>
      <c r="H151" s="5" t="str">
        <f>TEXT(Table313[[#This Row],[Value Date]],"mmmm")</f>
        <v>January</v>
      </c>
    </row>
    <row r="152" spans="1:8">
      <c r="A152" s="3">
        <f t="shared" si="2"/>
        <v>10167.950000000012</v>
      </c>
      <c r="H152" s="5" t="str">
        <f>TEXT(Table313[[#This Row],[Value Date]],"mmmm")</f>
        <v>January</v>
      </c>
    </row>
    <row r="153" spans="1:8">
      <c r="A153" s="3">
        <f t="shared" si="2"/>
        <v>10167.950000000012</v>
      </c>
      <c r="H153" s="5" t="str">
        <f>TEXT(Table313[[#This Row],[Value Date]],"mmmm")</f>
        <v>January</v>
      </c>
    </row>
    <row r="154" spans="1:8">
      <c r="A154" s="3">
        <f t="shared" si="2"/>
        <v>10167.950000000012</v>
      </c>
      <c r="H154" s="5" t="str">
        <f>TEXT(Table313[[#This Row],[Value Date]],"mmmm")</f>
        <v>January</v>
      </c>
    </row>
    <row r="155" spans="1:8">
      <c r="A155" s="3">
        <f t="shared" si="2"/>
        <v>10167.950000000012</v>
      </c>
      <c r="H155" s="5" t="str">
        <f>TEXT(Table313[[#This Row],[Value Date]],"mmmm")</f>
        <v>January</v>
      </c>
    </row>
    <row r="156" spans="1:8">
      <c r="A156" s="3">
        <f t="shared" si="2"/>
        <v>10167.950000000012</v>
      </c>
      <c r="H156" s="5" t="str">
        <f>TEXT(Table313[[#This Row],[Value Date]],"mmmm")</f>
        <v>January</v>
      </c>
    </row>
    <row r="157" spans="1:8">
      <c r="A157" s="3">
        <f t="shared" si="2"/>
        <v>10167.950000000012</v>
      </c>
      <c r="H157" s="5" t="str">
        <f>TEXT(Table313[[#This Row],[Value Date]],"mmmm")</f>
        <v>January</v>
      </c>
    </row>
    <row r="158" spans="1:8">
      <c r="A158" s="3">
        <f t="shared" si="2"/>
        <v>10167.950000000012</v>
      </c>
      <c r="H158" s="5" t="str">
        <f>TEXT(Table313[[#This Row],[Value Date]],"mmmm")</f>
        <v>January</v>
      </c>
    </row>
    <row r="159" spans="1:8">
      <c r="A159" s="3">
        <f t="shared" si="2"/>
        <v>10167.950000000012</v>
      </c>
      <c r="H159" s="5" t="str">
        <f>TEXT(Table313[[#This Row],[Value Date]],"mmmm")</f>
        <v>January</v>
      </c>
    </row>
    <row r="160" spans="1:8">
      <c r="A160" s="3">
        <f t="shared" si="2"/>
        <v>10167.950000000012</v>
      </c>
      <c r="H160" s="5" t="str">
        <f>TEXT(Table313[[#This Row],[Value Date]],"mmmm")</f>
        <v>January</v>
      </c>
    </row>
    <row r="161" spans="1:8">
      <c r="A161" s="3">
        <f t="shared" si="2"/>
        <v>10167.950000000012</v>
      </c>
      <c r="H161" s="5" t="str">
        <f>TEXT(Table313[[#This Row],[Value Date]],"mmmm")</f>
        <v>January</v>
      </c>
    </row>
    <row r="162" spans="1:8">
      <c r="A162" s="3">
        <f t="shared" si="2"/>
        <v>10167.950000000012</v>
      </c>
      <c r="H162" s="5" t="str">
        <f>TEXT(Table313[[#This Row],[Value Date]],"mmmm")</f>
        <v>January</v>
      </c>
    </row>
    <row r="163" spans="1:8">
      <c r="A163" s="3">
        <f t="shared" si="2"/>
        <v>10167.950000000012</v>
      </c>
      <c r="H163" s="5" t="str">
        <f>TEXT(Table313[[#This Row],[Value Date]],"mmmm")</f>
        <v>January</v>
      </c>
    </row>
    <row r="164" spans="1:8">
      <c r="A164" s="3">
        <f t="shared" si="2"/>
        <v>10167.950000000012</v>
      </c>
      <c r="H164" s="5" t="str">
        <f>TEXT(Table313[[#This Row],[Value Date]],"mmmm")</f>
        <v>January</v>
      </c>
    </row>
    <row r="165" spans="1:8">
      <c r="A165" s="3">
        <f t="shared" si="2"/>
        <v>10167.950000000012</v>
      </c>
      <c r="H165" s="5" t="str">
        <f>TEXT(Table313[[#This Row],[Value Date]],"mmmm")</f>
        <v>January</v>
      </c>
    </row>
    <row r="166" spans="1:8">
      <c r="A166" s="3">
        <f t="shared" si="2"/>
        <v>10167.950000000012</v>
      </c>
      <c r="H166" s="5" t="str">
        <f>TEXT(Table313[[#This Row],[Value Date]],"mmmm")</f>
        <v>January</v>
      </c>
    </row>
    <row r="167" spans="1:8">
      <c r="A167" s="3">
        <f t="shared" si="2"/>
        <v>10167.950000000012</v>
      </c>
      <c r="H167" s="5" t="str">
        <f>TEXT(Table313[[#This Row],[Value Date]],"mmmm")</f>
        <v>January</v>
      </c>
    </row>
    <row r="168" spans="1:8">
      <c r="A168" s="3">
        <f t="shared" si="2"/>
        <v>10167.950000000012</v>
      </c>
      <c r="H168" s="5" t="str">
        <f>TEXT(Table313[[#This Row],[Value Date]],"mmmm")</f>
        <v>January</v>
      </c>
    </row>
    <row r="169" spans="1:8">
      <c r="A169" s="3">
        <f t="shared" si="2"/>
        <v>10167.950000000012</v>
      </c>
      <c r="H169" s="5" t="str">
        <f>TEXT(Table313[[#This Row],[Value Date]],"mmmm")</f>
        <v>January</v>
      </c>
    </row>
    <row r="170" spans="1:8">
      <c r="A170" s="3">
        <f t="shared" si="2"/>
        <v>10167.950000000012</v>
      </c>
      <c r="H170" s="5" t="str">
        <f>TEXT(Table313[[#This Row],[Value Date]],"mmmm")</f>
        <v>January</v>
      </c>
    </row>
    <row r="171" spans="1:8">
      <c r="A171" s="3">
        <f t="shared" si="2"/>
        <v>10167.950000000012</v>
      </c>
      <c r="H171" s="5" t="str">
        <f>TEXT(Table313[[#This Row],[Value Date]],"mmmm")</f>
        <v>January</v>
      </c>
    </row>
    <row r="172" spans="1:8">
      <c r="A172" s="3">
        <f t="shared" si="2"/>
        <v>10167.950000000012</v>
      </c>
      <c r="H172" s="5" t="str">
        <f>TEXT(Table313[[#This Row],[Value Date]],"mmmm")</f>
        <v>January</v>
      </c>
    </row>
    <row r="173" spans="1:8">
      <c r="A173" s="3">
        <f t="shared" si="2"/>
        <v>10167.950000000012</v>
      </c>
      <c r="H173" s="5" t="str">
        <f>TEXT(Table313[[#This Row],[Value Date]],"mmmm")</f>
        <v>January</v>
      </c>
    </row>
    <row r="174" spans="1:8">
      <c r="A174" s="3">
        <f t="shared" si="2"/>
        <v>10167.950000000012</v>
      </c>
      <c r="H174" s="5" t="str">
        <f>TEXT(Table313[[#This Row],[Value Date]],"mmmm")</f>
        <v>January</v>
      </c>
    </row>
    <row r="175" spans="1:8">
      <c r="A175" s="3">
        <f t="shared" si="2"/>
        <v>10167.950000000012</v>
      </c>
      <c r="H175" s="5" t="str">
        <f>TEXT(Table313[[#This Row],[Value Date]],"mmmm")</f>
        <v>January</v>
      </c>
    </row>
    <row r="176" spans="1:8">
      <c r="A176" s="3">
        <f t="shared" si="2"/>
        <v>10167.950000000012</v>
      </c>
      <c r="H176" s="5" t="str">
        <f>TEXT(Table313[[#This Row],[Value Date]],"mmmm")</f>
        <v>January</v>
      </c>
    </row>
    <row r="177" spans="1:8">
      <c r="A177" s="3">
        <f t="shared" si="2"/>
        <v>10167.950000000012</v>
      </c>
      <c r="H177" s="5" t="str">
        <f>TEXT(Table313[[#This Row],[Value Date]],"mmmm")</f>
        <v>January</v>
      </c>
    </row>
    <row r="178" spans="1:8">
      <c r="A178" s="3">
        <f t="shared" si="2"/>
        <v>10167.950000000012</v>
      </c>
      <c r="H178" s="5" t="str">
        <f>TEXT(Table313[[#This Row],[Value Date]],"mmmm")</f>
        <v>January</v>
      </c>
    </row>
    <row r="179" spans="1:8">
      <c r="A179" s="3">
        <f t="shared" si="2"/>
        <v>10167.950000000012</v>
      </c>
      <c r="H179" s="5" t="str">
        <f>TEXT(Table313[[#This Row],[Value Date]],"mmmm")</f>
        <v>January</v>
      </c>
    </row>
    <row r="180" spans="1:8">
      <c r="A180" s="3">
        <f t="shared" si="2"/>
        <v>10167.950000000012</v>
      </c>
      <c r="H180" s="5" t="str">
        <f>TEXT(Table313[[#This Row],[Value Date]],"mmmm")</f>
        <v>January</v>
      </c>
    </row>
    <row r="181" spans="1:8">
      <c r="A181" s="3">
        <f t="shared" si="2"/>
        <v>10167.950000000012</v>
      </c>
      <c r="H181" s="5" t="str">
        <f>TEXT(Table313[[#This Row],[Value Date]],"mmmm")</f>
        <v>January</v>
      </c>
    </row>
    <row r="182" spans="1:8">
      <c r="A182" s="3">
        <f t="shared" si="2"/>
        <v>10167.950000000012</v>
      </c>
      <c r="H182" s="5" t="str">
        <f>TEXT(Table313[[#This Row],[Value Date]],"mmmm")</f>
        <v>January</v>
      </c>
    </row>
    <row r="183" spans="1:8">
      <c r="A183" s="3">
        <f t="shared" si="2"/>
        <v>10167.950000000012</v>
      </c>
      <c r="H183" s="5" t="str">
        <f>TEXT(Table313[[#This Row],[Value Date]],"mmmm")</f>
        <v>January</v>
      </c>
    </row>
    <row r="184" spans="1:8">
      <c r="A184" s="3">
        <f t="shared" si="2"/>
        <v>10167.950000000012</v>
      </c>
      <c r="H184" s="5" t="str">
        <f>TEXT(Table313[[#This Row],[Value Date]],"mmmm")</f>
        <v>January</v>
      </c>
    </row>
    <row r="185" spans="1:8">
      <c r="A185" s="3">
        <f t="shared" si="2"/>
        <v>10167.950000000012</v>
      </c>
      <c r="H185" s="5" t="str">
        <f>TEXT(Table313[[#This Row],[Value Date]],"mmmm")</f>
        <v>January</v>
      </c>
    </row>
    <row r="186" spans="1:8">
      <c r="A186" s="3">
        <f t="shared" si="2"/>
        <v>10167.950000000012</v>
      </c>
      <c r="H186" s="5" t="str">
        <f>TEXT(Table313[[#This Row],[Value Date]],"mmmm")</f>
        <v>January</v>
      </c>
    </row>
    <row r="187" spans="1:8">
      <c r="A187" s="3">
        <f t="shared" si="2"/>
        <v>10167.950000000012</v>
      </c>
      <c r="H187" s="5" t="str">
        <f>TEXT(Table313[[#This Row],[Value Date]],"mmmm")</f>
        <v>January</v>
      </c>
    </row>
    <row r="188" spans="1:8">
      <c r="A188" s="3">
        <f t="shared" si="2"/>
        <v>10167.950000000012</v>
      </c>
      <c r="H188" s="5" t="str">
        <f>TEXT(Table313[[#This Row],[Value Date]],"mmmm")</f>
        <v>January</v>
      </c>
    </row>
    <row r="189" spans="1:8">
      <c r="A189" s="3">
        <f t="shared" si="2"/>
        <v>10167.950000000012</v>
      </c>
      <c r="H189" s="5" t="str">
        <f>TEXT(Table313[[#This Row],[Value Date]],"mmmm")</f>
        <v>January</v>
      </c>
    </row>
    <row r="190" spans="1:8">
      <c r="A190" s="3">
        <f t="shared" si="2"/>
        <v>10167.950000000012</v>
      </c>
      <c r="H190" s="5" t="str">
        <f>TEXT(Table313[[#This Row],[Value Date]],"mmmm")</f>
        <v>January</v>
      </c>
    </row>
    <row r="191" spans="1:8">
      <c r="A191" s="3">
        <f t="shared" si="2"/>
        <v>10167.950000000012</v>
      </c>
      <c r="H191" s="5" t="str">
        <f>TEXT(Table313[[#This Row],[Value Date]],"mmmm")</f>
        <v>January</v>
      </c>
    </row>
    <row r="192" spans="1:8">
      <c r="A192" s="3">
        <f t="shared" si="2"/>
        <v>10167.950000000012</v>
      </c>
      <c r="H192" s="5" t="str">
        <f>TEXT(Table313[[#This Row],[Value Date]],"mmmm")</f>
        <v>January</v>
      </c>
    </row>
    <row r="193" spans="1:8">
      <c r="A193" s="3">
        <f t="shared" si="2"/>
        <v>10167.950000000012</v>
      </c>
      <c r="H193" s="5" t="str">
        <f>TEXT(Table313[[#This Row],[Value Date]],"mmmm")</f>
        <v>January</v>
      </c>
    </row>
    <row r="194" spans="1:8">
      <c r="A194" s="3">
        <f t="shared" si="2"/>
        <v>10167.950000000012</v>
      </c>
      <c r="H194" s="5" t="str">
        <f>TEXT(Table313[[#This Row],[Value Date]],"mmmm")</f>
        <v>January</v>
      </c>
    </row>
    <row r="195" spans="1:8">
      <c r="A195" s="3">
        <f t="shared" si="2"/>
        <v>10167.950000000012</v>
      </c>
      <c r="H195" s="5" t="str">
        <f>TEXT(Table313[[#This Row],[Value Date]],"mmmm")</f>
        <v>January</v>
      </c>
    </row>
    <row r="196" spans="1:8">
      <c r="A196" s="3">
        <f t="shared" si="2"/>
        <v>10167.950000000012</v>
      </c>
      <c r="H196" s="5" t="str">
        <f>TEXT(Table313[[#This Row],[Value Date]],"mmmm")</f>
        <v>January</v>
      </c>
    </row>
    <row r="197" spans="1:8">
      <c r="A197" s="3">
        <f t="shared" si="2"/>
        <v>10167.950000000012</v>
      </c>
      <c r="H197" s="5" t="str">
        <f>TEXT(Table313[[#This Row],[Value Date]],"mmmm")</f>
        <v>January</v>
      </c>
    </row>
    <row r="198" spans="1:8">
      <c r="A198" s="3">
        <f t="shared" ref="A198:A261" si="3">A197+B198-C198</f>
        <v>10167.950000000012</v>
      </c>
      <c r="H198" s="5" t="str">
        <f>TEXT(Table313[[#This Row],[Value Date]],"mmmm")</f>
        <v>January</v>
      </c>
    </row>
    <row r="199" spans="1:8">
      <c r="A199" s="3">
        <f t="shared" si="3"/>
        <v>10167.950000000012</v>
      </c>
      <c r="H199" s="5" t="str">
        <f>TEXT(Table313[[#This Row],[Value Date]],"mmmm")</f>
        <v>January</v>
      </c>
    </row>
    <row r="200" spans="1:8">
      <c r="A200" s="3">
        <f t="shared" si="3"/>
        <v>10167.950000000012</v>
      </c>
      <c r="H200" s="5" t="str">
        <f>TEXT(Table313[[#This Row],[Value Date]],"mmmm")</f>
        <v>January</v>
      </c>
    </row>
    <row r="201" spans="1:8">
      <c r="A201" s="3">
        <f t="shared" si="3"/>
        <v>10167.950000000012</v>
      </c>
      <c r="H201" s="5" t="str">
        <f>TEXT(Table313[[#This Row],[Value Date]],"mmmm")</f>
        <v>January</v>
      </c>
    </row>
    <row r="202" spans="1:8">
      <c r="A202" s="3">
        <f t="shared" si="3"/>
        <v>10167.950000000012</v>
      </c>
      <c r="H202" s="5" t="str">
        <f>TEXT(Table313[[#This Row],[Value Date]],"mmmm")</f>
        <v>January</v>
      </c>
    </row>
    <row r="203" spans="1:8">
      <c r="A203" s="3">
        <f t="shared" si="3"/>
        <v>10167.950000000012</v>
      </c>
      <c r="H203" s="5" t="str">
        <f>TEXT(Table313[[#This Row],[Value Date]],"mmmm")</f>
        <v>January</v>
      </c>
    </row>
    <row r="204" spans="1:8">
      <c r="A204" s="3">
        <f t="shared" si="3"/>
        <v>10167.950000000012</v>
      </c>
      <c r="H204" s="5" t="str">
        <f>TEXT(Table313[[#This Row],[Value Date]],"mmmm")</f>
        <v>January</v>
      </c>
    </row>
    <row r="205" spans="1:8">
      <c r="A205" s="3">
        <f t="shared" si="3"/>
        <v>10167.950000000012</v>
      </c>
      <c r="H205" s="5" t="str">
        <f>TEXT(Table313[[#This Row],[Value Date]],"mmmm")</f>
        <v>January</v>
      </c>
    </row>
    <row r="206" spans="1:8">
      <c r="A206" s="3">
        <f t="shared" si="3"/>
        <v>10167.950000000012</v>
      </c>
      <c r="H206" s="5" t="str">
        <f>TEXT(Table313[[#This Row],[Value Date]],"mmmm")</f>
        <v>January</v>
      </c>
    </row>
    <row r="207" spans="1:8">
      <c r="A207" s="3">
        <f t="shared" si="3"/>
        <v>10167.950000000012</v>
      </c>
      <c r="H207" s="5" t="str">
        <f>TEXT(Table313[[#This Row],[Value Date]],"mmmm")</f>
        <v>January</v>
      </c>
    </row>
    <row r="208" spans="1:8">
      <c r="A208" s="3">
        <f t="shared" si="3"/>
        <v>10167.950000000012</v>
      </c>
      <c r="H208" s="5" t="str">
        <f>TEXT(Table313[[#This Row],[Value Date]],"mmmm")</f>
        <v>January</v>
      </c>
    </row>
    <row r="209" spans="1:8">
      <c r="A209" s="3">
        <f t="shared" si="3"/>
        <v>10167.950000000012</v>
      </c>
      <c r="H209" s="5" t="str">
        <f>TEXT(Table313[[#This Row],[Value Date]],"mmmm")</f>
        <v>January</v>
      </c>
    </row>
    <row r="210" spans="1:8">
      <c r="A210" s="3">
        <f t="shared" si="3"/>
        <v>10167.950000000012</v>
      </c>
      <c r="H210" s="5" t="str">
        <f>TEXT(Table313[[#This Row],[Value Date]],"mmmm")</f>
        <v>January</v>
      </c>
    </row>
    <row r="211" spans="1:8">
      <c r="A211" s="3">
        <f t="shared" si="3"/>
        <v>10167.950000000012</v>
      </c>
      <c r="H211" s="5" t="str">
        <f>TEXT(Table313[[#This Row],[Value Date]],"mmmm")</f>
        <v>January</v>
      </c>
    </row>
    <row r="212" spans="1:8">
      <c r="A212" s="3">
        <f t="shared" si="3"/>
        <v>10167.950000000012</v>
      </c>
      <c r="H212" s="5" t="str">
        <f>TEXT(Table313[[#This Row],[Value Date]],"mmmm")</f>
        <v>January</v>
      </c>
    </row>
    <row r="213" spans="1:8">
      <c r="A213" s="3">
        <f t="shared" si="3"/>
        <v>10167.950000000012</v>
      </c>
      <c r="H213" s="5" t="str">
        <f>TEXT(Table313[[#This Row],[Value Date]],"mmmm")</f>
        <v>January</v>
      </c>
    </row>
    <row r="214" spans="1:8">
      <c r="A214" s="3">
        <f t="shared" si="3"/>
        <v>10167.950000000012</v>
      </c>
      <c r="H214" s="5" t="str">
        <f>TEXT(Table313[[#This Row],[Value Date]],"mmmm")</f>
        <v>January</v>
      </c>
    </row>
    <row r="215" spans="1:8">
      <c r="A215" s="3">
        <f t="shared" si="3"/>
        <v>10167.950000000012</v>
      </c>
      <c r="H215" s="5" t="str">
        <f>TEXT(Table313[[#This Row],[Value Date]],"mmmm")</f>
        <v>January</v>
      </c>
    </row>
    <row r="216" spans="1:8">
      <c r="A216" s="3">
        <f t="shared" si="3"/>
        <v>10167.950000000012</v>
      </c>
      <c r="H216" s="5" t="str">
        <f>TEXT(Table313[[#This Row],[Value Date]],"mmmm")</f>
        <v>January</v>
      </c>
    </row>
    <row r="217" spans="1:8">
      <c r="A217" s="3">
        <f t="shared" si="3"/>
        <v>10167.950000000012</v>
      </c>
      <c r="H217" s="5" t="str">
        <f>TEXT(Table313[[#This Row],[Value Date]],"mmmm")</f>
        <v>January</v>
      </c>
    </row>
    <row r="218" spans="1:8">
      <c r="A218" s="3">
        <f t="shared" si="3"/>
        <v>10167.950000000012</v>
      </c>
      <c r="H218" s="5" t="str">
        <f>TEXT(Table313[[#This Row],[Value Date]],"mmmm")</f>
        <v>January</v>
      </c>
    </row>
    <row r="219" spans="1:8">
      <c r="A219" s="3">
        <f t="shared" si="3"/>
        <v>10167.950000000012</v>
      </c>
      <c r="H219" s="5" t="str">
        <f>TEXT(Table313[[#This Row],[Value Date]],"mmmm")</f>
        <v>January</v>
      </c>
    </row>
    <row r="220" spans="1:8">
      <c r="A220" s="3">
        <f t="shared" si="3"/>
        <v>10167.950000000012</v>
      </c>
      <c r="H220" s="5" t="str">
        <f>TEXT(Table313[[#This Row],[Value Date]],"mmmm")</f>
        <v>January</v>
      </c>
    </row>
    <row r="221" spans="1:8">
      <c r="A221" s="3">
        <f t="shared" si="3"/>
        <v>10167.950000000012</v>
      </c>
      <c r="H221" s="5" t="str">
        <f>TEXT(Table313[[#This Row],[Value Date]],"mmmm")</f>
        <v>January</v>
      </c>
    </row>
    <row r="222" spans="1:8">
      <c r="A222" s="3">
        <f t="shared" si="3"/>
        <v>10167.950000000012</v>
      </c>
      <c r="H222" s="5" t="str">
        <f>TEXT(Table313[[#This Row],[Value Date]],"mmmm")</f>
        <v>January</v>
      </c>
    </row>
    <row r="223" spans="1:8">
      <c r="A223" s="3">
        <f t="shared" si="3"/>
        <v>10167.950000000012</v>
      </c>
      <c r="H223" s="5" t="str">
        <f>TEXT(Table313[[#This Row],[Value Date]],"mmmm")</f>
        <v>January</v>
      </c>
    </row>
    <row r="224" spans="1:8">
      <c r="A224" s="3">
        <f t="shared" si="3"/>
        <v>10167.950000000012</v>
      </c>
      <c r="H224" s="5" t="str">
        <f>TEXT(Table313[[#This Row],[Value Date]],"mmmm")</f>
        <v>January</v>
      </c>
    </row>
    <row r="225" spans="1:8">
      <c r="A225" s="3">
        <f t="shared" si="3"/>
        <v>10167.950000000012</v>
      </c>
      <c r="H225" s="5" t="str">
        <f>TEXT(Table313[[#This Row],[Value Date]],"mmmm")</f>
        <v>January</v>
      </c>
    </row>
    <row r="226" spans="1:8">
      <c r="A226" s="3">
        <f t="shared" si="3"/>
        <v>10167.950000000012</v>
      </c>
      <c r="H226" s="5" t="str">
        <f>TEXT(Table313[[#This Row],[Value Date]],"mmmm")</f>
        <v>January</v>
      </c>
    </row>
    <row r="227" spans="1:8">
      <c r="A227" s="3">
        <f t="shared" si="3"/>
        <v>10167.950000000012</v>
      </c>
      <c r="H227" s="5" t="str">
        <f>TEXT(Table313[[#This Row],[Value Date]],"mmmm")</f>
        <v>January</v>
      </c>
    </row>
    <row r="228" spans="1:8">
      <c r="A228" s="3">
        <f t="shared" si="3"/>
        <v>10167.950000000012</v>
      </c>
      <c r="H228" s="5" t="str">
        <f>TEXT(Table313[[#This Row],[Value Date]],"mmmm")</f>
        <v>January</v>
      </c>
    </row>
    <row r="229" spans="1:8">
      <c r="A229" s="3">
        <f t="shared" si="3"/>
        <v>10167.950000000012</v>
      </c>
      <c r="H229" s="5" t="str">
        <f>TEXT(Table313[[#This Row],[Value Date]],"mmmm")</f>
        <v>January</v>
      </c>
    </row>
    <row r="230" spans="1:8">
      <c r="A230" s="3">
        <f t="shared" si="3"/>
        <v>10167.950000000012</v>
      </c>
      <c r="H230" s="5" t="str">
        <f>TEXT(Table313[[#This Row],[Value Date]],"mmmm")</f>
        <v>January</v>
      </c>
    </row>
    <row r="231" spans="1:8">
      <c r="A231" s="3">
        <f t="shared" si="3"/>
        <v>10167.950000000012</v>
      </c>
      <c r="H231" s="5" t="str">
        <f>TEXT(Table313[[#This Row],[Value Date]],"mmmm")</f>
        <v>January</v>
      </c>
    </row>
    <row r="232" spans="1:8">
      <c r="A232" s="3">
        <f t="shared" si="3"/>
        <v>10167.950000000012</v>
      </c>
      <c r="H232" s="5" t="str">
        <f>TEXT(Table313[[#This Row],[Value Date]],"mmmm")</f>
        <v>January</v>
      </c>
    </row>
    <row r="233" spans="1:8">
      <c r="A233" s="3">
        <f t="shared" si="3"/>
        <v>10167.950000000012</v>
      </c>
      <c r="H233" s="5" t="str">
        <f>TEXT(Table313[[#This Row],[Value Date]],"mmmm")</f>
        <v>January</v>
      </c>
    </row>
    <row r="234" spans="1:8">
      <c r="A234" s="3">
        <f t="shared" si="3"/>
        <v>10167.950000000012</v>
      </c>
      <c r="H234" s="5" t="str">
        <f>TEXT(Table313[[#This Row],[Value Date]],"mmmm")</f>
        <v>January</v>
      </c>
    </row>
    <row r="235" spans="1:8">
      <c r="A235" s="3">
        <f t="shared" si="3"/>
        <v>10167.950000000012</v>
      </c>
      <c r="H235" s="5" t="str">
        <f>TEXT(Table313[[#This Row],[Value Date]],"mmmm")</f>
        <v>January</v>
      </c>
    </row>
    <row r="236" spans="1:8">
      <c r="A236" s="3">
        <f t="shared" si="3"/>
        <v>10167.950000000012</v>
      </c>
      <c r="H236" s="5" t="str">
        <f>TEXT(Table313[[#This Row],[Value Date]],"mmmm")</f>
        <v>January</v>
      </c>
    </row>
    <row r="237" spans="1:8">
      <c r="A237" s="3">
        <f t="shared" si="3"/>
        <v>10167.950000000012</v>
      </c>
      <c r="H237" s="5" t="str">
        <f>TEXT(Table313[[#This Row],[Value Date]],"mmmm")</f>
        <v>January</v>
      </c>
    </row>
    <row r="238" spans="1:8">
      <c r="A238" s="3">
        <f t="shared" si="3"/>
        <v>10167.950000000012</v>
      </c>
      <c r="H238" s="5" t="str">
        <f>TEXT(Table313[[#This Row],[Value Date]],"mmmm")</f>
        <v>January</v>
      </c>
    </row>
    <row r="239" spans="1:8">
      <c r="A239" s="3">
        <f t="shared" si="3"/>
        <v>10167.950000000012</v>
      </c>
      <c r="H239" s="5" t="str">
        <f>TEXT(Table313[[#This Row],[Value Date]],"mmmm")</f>
        <v>January</v>
      </c>
    </row>
    <row r="240" spans="1:8">
      <c r="A240" s="3">
        <f t="shared" si="3"/>
        <v>10167.950000000012</v>
      </c>
      <c r="H240" s="5" t="str">
        <f>TEXT(Table313[[#This Row],[Value Date]],"mmmm")</f>
        <v>January</v>
      </c>
    </row>
    <row r="241" spans="1:8">
      <c r="A241" s="3">
        <f t="shared" si="3"/>
        <v>10167.950000000012</v>
      </c>
      <c r="H241" s="5" t="str">
        <f>TEXT(Table313[[#This Row],[Value Date]],"mmmm")</f>
        <v>January</v>
      </c>
    </row>
    <row r="242" spans="1:8">
      <c r="A242" s="3">
        <f t="shared" si="3"/>
        <v>10167.950000000012</v>
      </c>
      <c r="H242" s="5" t="str">
        <f>TEXT(Table313[[#This Row],[Value Date]],"mmmm")</f>
        <v>January</v>
      </c>
    </row>
    <row r="243" spans="1:8">
      <c r="A243" s="3">
        <f t="shared" si="3"/>
        <v>10167.950000000012</v>
      </c>
      <c r="H243" s="5" t="str">
        <f>TEXT(Table313[[#This Row],[Value Date]],"mmmm")</f>
        <v>January</v>
      </c>
    </row>
    <row r="244" spans="1:8">
      <c r="A244" s="3">
        <f t="shared" si="3"/>
        <v>10167.950000000012</v>
      </c>
      <c r="H244" s="5" t="str">
        <f>TEXT(Table313[[#This Row],[Value Date]],"mmmm")</f>
        <v>January</v>
      </c>
    </row>
    <row r="245" spans="1:8">
      <c r="A245" s="3">
        <f t="shared" si="3"/>
        <v>10167.950000000012</v>
      </c>
      <c r="H245" s="5" t="str">
        <f>TEXT(Table313[[#This Row],[Value Date]],"mmmm")</f>
        <v>January</v>
      </c>
    </row>
    <row r="246" spans="1:8">
      <c r="A246" s="3">
        <f t="shared" si="3"/>
        <v>10167.950000000012</v>
      </c>
      <c r="H246" s="5" t="str">
        <f>TEXT(Table313[[#This Row],[Value Date]],"mmmm")</f>
        <v>January</v>
      </c>
    </row>
    <row r="247" spans="1:8">
      <c r="A247" s="3">
        <f t="shared" si="3"/>
        <v>10167.950000000012</v>
      </c>
      <c r="H247" s="5" t="str">
        <f>TEXT(Table313[[#This Row],[Value Date]],"mmmm")</f>
        <v>January</v>
      </c>
    </row>
    <row r="248" spans="1:8">
      <c r="A248" s="3">
        <f t="shared" si="3"/>
        <v>10167.950000000012</v>
      </c>
      <c r="H248" s="5" t="str">
        <f>TEXT(Table313[[#This Row],[Value Date]],"mmmm")</f>
        <v>January</v>
      </c>
    </row>
    <row r="249" spans="1:8">
      <c r="A249" s="3">
        <f t="shared" si="3"/>
        <v>10167.950000000012</v>
      </c>
      <c r="H249" s="5" t="str">
        <f>TEXT(Table313[[#This Row],[Value Date]],"mmmm")</f>
        <v>January</v>
      </c>
    </row>
    <row r="250" spans="1:8">
      <c r="A250" s="3">
        <f t="shared" si="3"/>
        <v>10167.950000000012</v>
      </c>
      <c r="H250" s="5" t="str">
        <f>TEXT(Table313[[#This Row],[Value Date]],"mmmm")</f>
        <v>January</v>
      </c>
    </row>
    <row r="251" spans="1:8">
      <c r="A251" s="3">
        <f t="shared" si="3"/>
        <v>10167.950000000012</v>
      </c>
      <c r="H251" s="5" t="str">
        <f>TEXT(Table313[[#This Row],[Value Date]],"mmmm")</f>
        <v>January</v>
      </c>
    </row>
    <row r="252" spans="1:8">
      <c r="A252" s="3">
        <f t="shared" si="3"/>
        <v>10167.950000000012</v>
      </c>
      <c r="H252" s="5" t="str">
        <f>TEXT(Table313[[#This Row],[Value Date]],"mmmm")</f>
        <v>January</v>
      </c>
    </row>
    <row r="253" spans="1:8">
      <c r="A253" s="3">
        <f t="shared" si="3"/>
        <v>10167.950000000012</v>
      </c>
      <c r="H253" s="5" t="str">
        <f>TEXT(Table313[[#This Row],[Value Date]],"mmmm")</f>
        <v>January</v>
      </c>
    </row>
    <row r="254" spans="1:8">
      <c r="A254" s="3">
        <f t="shared" si="3"/>
        <v>10167.950000000012</v>
      </c>
      <c r="H254" s="5" t="str">
        <f>TEXT(Table313[[#This Row],[Value Date]],"mmmm")</f>
        <v>January</v>
      </c>
    </row>
    <row r="255" spans="1:8">
      <c r="A255" s="3">
        <f t="shared" si="3"/>
        <v>10167.950000000012</v>
      </c>
      <c r="H255" s="5" t="str">
        <f>TEXT(Table313[[#This Row],[Value Date]],"mmmm")</f>
        <v>January</v>
      </c>
    </row>
    <row r="256" spans="1:8">
      <c r="A256" s="3">
        <f t="shared" si="3"/>
        <v>10167.950000000012</v>
      </c>
      <c r="H256" s="5" t="str">
        <f>TEXT(Table313[[#This Row],[Value Date]],"mmmm")</f>
        <v>January</v>
      </c>
    </row>
    <row r="257" spans="1:8">
      <c r="A257" s="3">
        <f t="shared" si="3"/>
        <v>10167.950000000012</v>
      </c>
      <c r="H257" s="5" t="str">
        <f>TEXT(Table313[[#This Row],[Value Date]],"mmmm")</f>
        <v>January</v>
      </c>
    </row>
    <row r="258" spans="1:8">
      <c r="A258" s="3">
        <f t="shared" si="3"/>
        <v>10167.950000000012</v>
      </c>
      <c r="H258" s="5" t="str">
        <f>TEXT(Table313[[#This Row],[Value Date]],"mmmm")</f>
        <v>January</v>
      </c>
    </row>
    <row r="259" spans="1:8">
      <c r="A259" s="3">
        <f t="shared" si="3"/>
        <v>10167.950000000012</v>
      </c>
      <c r="H259" s="5" t="str">
        <f>TEXT(Table313[[#This Row],[Value Date]],"mmmm")</f>
        <v>January</v>
      </c>
    </row>
    <row r="260" spans="1:8">
      <c r="A260" s="3">
        <f t="shared" si="3"/>
        <v>10167.950000000012</v>
      </c>
      <c r="H260" s="5" t="str">
        <f>TEXT(Table313[[#This Row],[Value Date]],"mmmm")</f>
        <v>January</v>
      </c>
    </row>
    <row r="261" spans="1:8">
      <c r="A261" s="3">
        <f t="shared" si="3"/>
        <v>10167.950000000012</v>
      </c>
      <c r="H261" s="5" t="str">
        <f>TEXT(Table313[[#This Row],[Value Date]],"mmmm")</f>
        <v>January</v>
      </c>
    </row>
    <row r="262" spans="1:8">
      <c r="A262" s="3">
        <f t="shared" ref="A262:A325" si="4">A261+B262-C262</f>
        <v>10167.950000000012</v>
      </c>
      <c r="H262" s="5" t="str">
        <f>TEXT(Table313[[#This Row],[Value Date]],"mmmm")</f>
        <v>January</v>
      </c>
    </row>
    <row r="263" spans="1:8">
      <c r="A263" s="3">
        <f t="shared" si="4"/>
        <v>10167.950000000012</v>
      </c>
      <c r="H263" s="5" t="str">
        <f>TEXT(Table313[[#This Row],[Value Date]],"mmmm")</f>
        <v>January</v>
      </c>
    </row>
    <row r="264" spans="1:8">
      <c r="A264" s="3">
        <f t="shared" si="4"/>
        <v>10167.950000000012</v>
      </c>
      <c r="H264" s="5" t="str">
        <f>TEXT(Table313[[#This Row],[Value Date]],"mmmm")</f>
        <v>January</v>
      </c>
    </row>
    <row r="265" spans="1:8">
      <c r="A265" s="3">
        <f t="shared" si="4"/>
        <v>10167.950000000012</v>
      </c>
      <c r="H265" s="5" t="str">
        <f>TEXT(Table313[[#This Row],[Value Date]],"mmmm")</f>
        <v>January</v>
      </c>
    </row>
    <row r="266" spans="1:8">
      <c r="A266" s="3">
        <f t="shared" si="4"/>
        <v>10167.950000000012</v>
      </c>
      <c r="H266" s="5" t="str">
        <f>TEXT(Table313[[#This Row],[Value Date]],"mmmm")</f>
        <v>January</v>
      </c>
    </row>
    <row r="267" spans="1:8">
      <c r="A267" s="3">
        <f t="shared" si="4"/>
        <v>10167.950000000012</v>
      </c>
      <c r="H267" s="5" t="str">
        <f>TEXT(Table313[[#This Row],[Value Date]],"mmmm")</f>
        <v>January</v>
      </c>
    </row>
    <row r="268" spans="1:8">
      <c r="A268" s="3">
        <f t="shared" si="4"/>
        <v>10167.950000000012</v>
      </c>
      <c r="H268" s="5" t="str">
        <f>TEXT(Table313[[#This Row],[Value Date]],"mmmm")</f>
        <v>January</v>
      </c>
    </row>
    <row r="269" spans="1:8">
      <c r="A269" s="3">
        <f t="shared" si="4"/>
        <v>10167.950000000012</v>
      </c>
      <c r="H269" s="5" t="str">
        <f>TEXT(Table313[[#This Row],[Value Date]],"mmmm")</f>
        <v>January</v>
      </c>
    </row>
    <row r="270" spans="1:8">
      <c r="A270" s="3">
        <f t="shared" si="4"/>
        <v>10167.950000000012</v>
      </c>
      <c r="H270" s="5" t="str">
        <f>TEXT(Table313[[#This Row],[Value Date]],"mmmm")</f>
        <v>January</v>
      </c>
    </row>
    <row r="271" spans="1:8">
      <c r="A271" s="3">
        <f t="shared" si="4"/>
        <v>10167.950000000012</v>
      </c>
      <c r="H271" s="5" t="str">
        <f>TEXT(Table313[[#This Row],[Value Date]],"mmmm")</f>
        <v>January</v>
      </c>
    </row>
    <row r="272" spans="1:8">
      <c r="A272" s="3">
        <f t="shared" si="4"/>
        <v>10167.950000000012</v>
      </c>
      <c r="H272" s="5" t="str">
        <f>TEXT(Table313[[#This Row],[Value Date]],"mmmm")</f>
        <v>January</v>
      </c>
    </row>
    <row r="273" spans="1:8">
      <c r="A273" s="3">
        <f t="shared" si="4"/>
        <v>10167.950000000012</v>
      </c>
      <c r="H273" s="5" t="str">
        <f>TEXT(Table313[[#This Row],[Value Date]],"mmmm")</f>
        <v>January</v>
      </c>
    </row>
    <row r="274" spans="1:8">
      <c r="A274" s="3">
        <f t="shared" si="4"/>
        <v>10167.950000000012</v>
      </c>
      <c r="H274" s="5" t="str">
        <f>TEXT(Table313[[#This Row],[Value Date]],"mmmm")</f>
        <v>January</v>
      </c>
    </row>
    <row r="275" spans="1:8">
      <c r="A275" s="3">
        <f t="shared" si="4"/>
        <v>10167.950000000012</v>
      </c>
      <c r="H275" s="5" t="str">
        <f>TEXT(Table313[[#This Row],[Value Date]],"mmmm")</f>
        <v>January</v>
      </c>
    </row>
    <row r="276" spans="1:8">
      <c r="A276" s="3">
        <f t="shared" si="4"/>
        <v>10167.950000000012</v>
      </c>
      <c r="H276" s="5" t="str">
        <f>TEXT(Table313[[#This Row],[Value Date]],"mmmm")</f>
        <v>January</v>
      </c>
    </row>
    <row r="277" spans="1:8">
      <c r="A277" s="3">
        <f t="shared" si="4"/>
        <v>10167.950000000012</v>
      </c>
      <c r="H277" s="5" t="str">
        <f>TEXT(Table313[[#This Row],[Value Date]],"mmmm")</f>
        <v>January</v>
      </c>
    </row>
    <row r="278" spans="1:8">
      <c r="A278" s="3">
        <f t="shared" si="4"/>
        <v>10167.950000000012</v>
      </c>
      <c r="H278" s="5" t="str">
        <f>TEXT(Table313[[#This Row],[Value Date]],"mmmm")</f>
        <v>January</v>
      </c>
    </row>
    <row r="279" spans="1:8">
      <c r="A279" s="3">
        <f t="shared" si="4"/>
        <v>10167.950000000012</v>
      </c>
      <c r="H279" s="5" t="str">
        <f>TEXT(Table313[[#This Row],[Value Date]],"mmmm")</f>
        <v>January</v>
      </c>
    </row>
    <row r="280" spans="1:8">
      <c r="A280" s="3">
        <f t="shared" si="4"/>
        <v>10167.950000000012</v>
      </c>
      <c r="H280" s="5" t="str">
        <f>TEXT(Table313[[#This Row],[Value Date]],"mmmm")</f>
        <v>January</v>
      </c>
    </row>
    <row r="281" spans="1:8">
      <c r="A281" s="3">
        <f t="shared" si="4"/>
        <v>10167.950000000012</v>
      </c>
      <c r="H281" s="5" t="str">
        <f>TEXT(Table313[[#This Row],[Value Date]],"mmmm")</f>
        <v>January</v>
      </c>
    </row>
    <row r="282" spans="1:8">
      <c r="A282" s="3">
        <f t="shared" si="4"/>
        <v>10167.950000000012</v>
      </c>
      <c r="H282" s="5" t="str">
        <f>TEXT(Table313[[#This Row],[Value Date]],"mmmm")</f>
        <v>January</v>
      </c>
    </row>
    <row r="283" spans="1:8">
      <c r="A283" s="3">
        <f t="shared" si="4"/>
        <v>10167.950000000012</v>
      </c>
      <c r="H283" s="5" t="str">
        <f>TEXT(Table313[[#This Row],[Value Date]],"mmmm")</f>
        <v>January</v>
      </c>
    </row>
    <row r="284" spans="1:8">
      <c r="A284" s="3">
        <f t="shared" si="4"/>
        <v>10167.950000000012</v>
      </c>
      <c r="H284" s="5" t="str">
        <f>TEXT(Table313[[#This Row],[Value Date]],"mmmm")</f>
        <v>January</v>
      </c>
    </row>
    <row r="285" spans="1:8">
      <c r="A285" s="3">
        <f t="shared" si="4"/>
        <v>10167.950000000012</v>
      </c>
      <c r="H285" s="5" t="str">
        <f>TEXT(Table313[[#This Row],[Value Date]],"mmmm")</f>
        <v>January</v>
      </c>
    </row>
    <row r="286" spans="1:8">
      <c r="A286" s="3">
        <f t="shared" si="4"/>
        <v>10167.950000000012</v>
      </c>
      <c r="H286" s="5" t="str">
        <f>TEXT(Table313[[#This Row],[Value Date]],"mmmm")</f>
        <v>January</v>
      </c>
    </row>
    <row r="287" spans="1:8">
      <c r="A287" s="3">
        <f t="shared" si="4"/>
        <v>10167.950000000012</v>
      </c>
      <c r="H287" s="5" t="str">
        <f>TEXT(Table313[[#This Row],[Value Date]],"mmmm")</f>
        <v>January</v>
      </c>
    </row>
    <row r="288" spans="1:8">
      <c r="A288" s="3">
        <f t="shared" si="4"/>
        <v>10167.950000000012</v>
      </c>
      <c r="H288" s="5" t="str">
        <f>TEXT(Table313[[#This Row],[Value Date]],"mmmm")</f>
        <v>January</v>
      </c>
    </row>
    <row r="289" spans="1:8">
      <c r="A289" s="3">
        <f t="shared" si="4"/>
        <v>10167.950000000012</v>
      </c>
      <c r="H289" s="5" t="str">
        <f>TEXT(Table313[[#This Row],[Value Date]],"mmmm")</f>
        <v>January</v>
      </c>
    </row>
    <row r="290" spans="1:8">
      <c r="A290" s="3">
        <f t="shared" si="4"/>
        <v>10167.950000000012</v>
      </c>
      <c r="H290" s="5" t="str">
        <f>TEXT(Table313[[#This Row],[Value Date]],"mmmm")</f>
        <v>January</v>
      </c>
    </row>
    <row r="291" spans="1:8">
      <c r="A291" s="3">
        <f t="shared" si="4"/>
        <v>10167.950000000012</v>
      </c>
      <c r="H291" s="5" t="str">
        <f>TEXT(Table313[[#This Row],[Value Date]],"mmmm")</f>
        <v>January</v>
      </c>
    </row>
    <row r="292" spans="1:8">
      <c r="A292" s="3">
        <f t="shared" si="4"/>
        <v>10167.950000000012</v>
      </c>
      <c r="H292" s="5" t="str">
        <f>TEXT(Table313[[#This Row],[Value Date]],"mmmm")</f>
        <v>January</v>
      </c>
    </row>
    <row r="293" spans="1:8">
      <c r="A293" s="3">
        <f t="shared" si="4"/>
        <v>10167.950000000012</v>
      </c>
      <c r="H293" s="5" t="str">
        <f>TEXT(Table313[[#This Row],[Value Date]],"mmmm")</f>
        <v>January</v>
      </c>
    </row>
    <row r="294" spans="1:8">
      <c r="A294" s="3">
        <f t="shared" si="4"/>
        <v>10167.950000000012</v>
      </c>
      <c r="H294" s="5" t="str">
        <f>TEXT(Table313[[#This Row],[Value Date]],"mmmm")</f>
        <v>January</v>
      </c>
    </row>
    <row r="295" spans="1:8">
      <c r="A295" s="3">
        <f t="shared" si="4"/>
        <v>10167.950000000012</v>
      </c>
      <c r="H295" s="5" t="str">
        <f>TEXT(Table313[[#This Row],[Value Date]],"mmmm")</f>
        <v>January</v>
      </c>
    </row>
    <row r="296" spans="1:8">
      <c r="A296" s="3">
        <f t="shared" si="4"/>
        <v>10167.950000000012</v>
      </c>
      <c r="H296" s="5" t="str">
        <f>TEXT(Table313[[#This Row],[Value Date]],"mmmm")</f>
        <v>January</v>
      </c>
    </row>
    <row r="297" spans="1:8">
      <c r="A297" s="3">
        <f t="shared" si="4"/>
        <v>10167.950000000012</v>
      </c>
      <c r="H297" s="5" t="str">
        <f>TEXT(Table313[[#This Row],[Value Date]],"mmmm")</f>
        <v>January</v>
      </c>
    </row>
    <row r="298" spans="1:8">
      <c r="A298" s="3">
        <f t="shared" si="4"/>
        <v>10167.950000000012</v>
      </c>
      <c r="H298" s="5" t="str">
        <f>TEXT(Table313[[#This Row],[Value Date]],"mmmm")</f>
        <v>January</v>
      </c>
    </row>
    <row r="299" spans="1:8">
      <c r="A299" s="3">
        <f t="shared" si="4"/>
        <v>10167.950000000012</v>
      </c>
      <c r="H299" s="5" t="str">
        <f>TEXT(Table313[[#This Row],[Value Date]],"mmmm")</f>
        <v>January</v>
      </c>
    </row>
    <row r="300" spans="1:8">
      <c r="A300" s="3">
        <f t="shared" si="4"/>
        <v>10167.950000000012</v>
      </c>
      <c r="H300" s="5" t="str">
        <f>TEXT(Table313[[#This Row],[Value Date]],"mmmm")</f>
        <v>January</v>
      </c>
    </row>
    <row r="301" spans="1:8">
      <c r="A301" s="3">
        <f t="shared" si="4"/>
        <v>10167.950000000012</v>
      </c>
      <c r="H301" s="5" t="str">
        <f>TEXT(Table313[[#This Row],[Value Date]],"mmmm")</f>
        <v>January</v>
      </c>
    </row>
    <row r="302" spans="1:8">
      <c r="A302" s="3">
        <f t="shared" si="4"/>
        <v>10167.950000000012</v>
      </c>
      <c r="H302" s="5" t="str">
        <f>TEXT(Table313[[#This Row],[Value Date]],"mmmm")</f>
        <v>January</v>
      </c>
    </row>
    <row r="303" spans="1:8">
      <c r="A303" s="3">
        <f t="shared" si="4"/>
        <v>10167.950000000012</v>
      </c>
      <c r="H303" s="5" t="str">
        <f>TEXT(Table313[[#This Row],[Value Date]],"mmmm")</f>
        <v>January</v>
      </c>
    </row>
    <row r="304" spans="1:8">
      <c r="A304" s="3">
        <f t="shared" si="4"/>
        <v>10167.950000000012</v>
      </c>
      <c r="H304" s="5" t="str">
        <f>TEXT(Table313[[#This Row],[Value Date]],"mmmm")</f>
        <v>January</v>
      </c>
    </row>
    <row r="305" spans="1:10" s="10" customFormat="1" ht="30" customHeight="1">
      <c r="A305" s="3">
        <f t="shared" si="4"/>
        <v>10167.950000000012</v>
      </c>
      <c r="B305" s="3"/>
      <c r="C305" s="3"/>
      <c r="D305" s="4"/>
      <c r="E305" s="4"/>
      <c r="F305" s="4"/>
      <c r="G305" s="5"/>
      <c r="H305" s="5" t="str">
        <f>TEXT(Table313[[#This Row],[Value Date]],"mmmm")</f>
        <v>January</v>
      </c>
      <c r="I305" s="4"/>
      <c r="J305" s="4"/>
    </row>
    <row r="306" spans="1:10">
      <c r="A306" s="3">
        <f t="shared" si="4"/>
        <v>10167.950000000012</v>
      </c>
      <c r="H306" s="5" t="str">
        <f>TEXT(Table313[[#This Row],[Value Date]],"mmmm")</f>
        <v>January</v>
      </c>
    </row>
    <row r="307" spans="1:10">
      <c r="A307" s="3">
        <f t="shared" si="4"/>
        <v>10167.950000000012</v>
      </c>
      <c r="H307" s="5" t="str">
        <f>TEXT(Table313[[#This Row],[Value Date]],"mmmm")</f>
        <v>January</v>
      </c>
    </row>
    <row r="308" spans="1:10">
      <c r="A308" s="3">
        <f t="shared" si="4"/>
        <v>10167.950000000012</v>
      </c>
      <c r="H308" s="5" t="str">
        <f>TEXT(Table313[[#This Row],[Value Date]],"mmmm")</f>
        <v>January</v>
      </c>
    </row>
    <row r="309" spans="1:10">
      <c r="A309" s="3">
        <f t="shared" si="4"/>
        <v>10167.950000000012</v>
      </c>
      <c r="H309" s="5" t="str">
        <f>TEXT(Table313[[#This Row],[Value Date]],"mmmm")</f>
        <v>January</v>
      </c>
    </row>
    <row r="310" spans="1:10">
      <c r="A310" s="3">
        <f t="shared" si="4"/>
        <v>10167.950000000012</v>
      </c>
      <c r="H310" s="5" t="str">
        <f>TEXT(Table313[[#This Row],[Value Date]],"mmmm")</f>
        <v>January</v>
      </c>
    </row>
    <row r="311" spans="1:10">
      <c r="A311" s="3">
        <f t="shared" si="4"/>
        <v>10167.950000000012</v>
      </c>
      <c r="H311" s="5" t="str">
        <f>TEXT(Table313[[#This Row],[Value Date]],"mmmm")</f>
        <v>January</v>
      </c>
    </row>
    <row r="312" spans="1:10">
      <c r="A312" s="3">
        <f t="shared" si="4"/>
        <v>10167.950000000012</v>
      </c>
      <c r="H312" s="5" t="str">
        <f>TEXT(Table313[[#This Row],[Value Date]],"mmmm")</f>
        <v>January</v>
      </c>
    </row>
    <row r="313" spans="1:10">
      <c r="A313" s="3">
        <f t="shared" si="4"/>
        <v>10167.950000000012</v>
      </c>
      <c r="H313" s="5" t="str">
        <f>TEXT(Table313[[#This Row],[Value Date]],"mmmm")</f>
        <v>January</v>
      </c>
    </row>
    <row r="314" spans="1:10">
      <c r="A314" s="3">
        <f t="shared" si="4"/>
        <v>10167.950000000012</v>
      </c>
      <c r="H314" s="5" t="str">
        <f>TEXT(Table313[[#This Row],[Value Date]],"mmmm")</f>
        <v>January</v>
      </c>
    </row>
    <row r="315" spans="1:10">
      <c r="A315" s="3">
        <f t="shared" si="4"/>
        <v>10167.950000000012</v>
      </c>
      <c r="H315" s="5" t="str">
        <f>TEXT(Table313[[#This Row],[Value Date]],"mmmm")</f>
        <v>January</v>
      </c>
    </row>
    <row r="316" spans="1:10">
      <c r="A316" s="3">
        <f t="shared" si="4"/>
        <v>10167.950000000012</v>
      </c>
      <c r="H316" s="5" t="str">
        <f>TEXT(Table313[[#This Row],[Value Date]],"mmmm")</f>
        <v>January</v>
      </c>
    </row>
    <row r="317" spans="1:10">
      <c r="A317" s="3">
        <f t="shared" si="4"/>
        <v>10167.950000000012</v>
      </c>
      <c r="H317" s="5" t="str">
        <f>TEXT(Table313[[#This Row],[Value Date]],"mmmm")</f>
        <v>January</v>
      </c>
    </row>
    <row r="318" spans="1:10">
      <c r="A318" s="3">
        <f t="shared" si="4"/>
        <v>10167.950000000012</v>
      </c>
      <c r="H318" s="5" t="str">
        <f>TEXT(Table313[[#This Row],[Value Date]],"mmmm")</f>
        <v>January</v>
      </c>
    </row>
    <row r="319" spans="1:10">
      <c r="A319" s="3">
        <f t="shared" si="4"/>
        <v>10167.950000000012</v>
      </c>
      <c r="H319" s="5" t="str">
        <f>TEXT(Table313[[#This Row],[Value Date]],"mmmm")</f>
        <v>January</v>
      </c>
    </row>
    <row r="320" spans="1:10">
      <c r="A320" s="3">
        <f t="shared" si="4"/>
        <v>10167.950000000012</v>
      </c>
      <c r="H320" s="5" t="str">
        <f>TEXT(Table313[[#This Row],[Value Date]],"mmmm")</f>
        <v>January</v>
      </c>
    </row>
    <row r="321" spans="1:8">
      <c r="A321" s="3">
        <f t="shared" si="4"/>
        <v>10167.950000000012</v>
      </c>
      <c r="H321" s="5" t="str">
        <f>TEXT(Table313[[#This Row],[Value Date]],"mmmm")</f>
        <v>January</v>
      </c>
    </row>
    <row r="322" spans="1:8">
      <c r="A322" s="3">
        <f t="shared" si="4"/>
        <v>10167.950000000012</v>
      </c>
      <c r="H322" s="5" t="str">
        <f>TEXT(Table313[[#This Row],[Value Date]],"mmmm")</f>
        <v>January</v>
      </c>
    </row>
    <row r="323" spans="1:8">
      <c r="A323" s="3">
        <f t="shared" si="4"/>
        <v>10167.950000000012</v>
      </c>
      <c r="H323" s="5" t="str">
        <f>TEXT(Table313[[#This Row],[Value Date]],"mmmm")</f>
        <v>January</v>
      </c>
    </row>
    <row r="324" spans="1:8">
      <c r="A324" s="3">
        <f t="shared" si="4"/>
        <v>10167.950000000012</v>
      </c>
      <c r="H324" s="5" t="str">
        <f>TEXT(Table313[[#This Row],[Value Date]],"mmmm")</f>
        <v>January</v>
      </c>
    </row>
    <row r="325" spans="1:8">
      <c r="A325" s="3">
        <f t="shared" si="4"/>
        <v>10167.950000000012</v>
      </c>
      <c r="H325" s="5" t="str">
        <f>TEXT(Table313[[#This Row],[Value Date]],"mmmm")</f>
        <v>January</v>
      </c>
    </row>
    <row r="326" spans="1:8">
      <c r="A326" s="3">
        <f t="shared" ref="A326:A389" si="5">A325+B326-C326</f>
        <v>10167.950000000012</v>
      </c>
      <c r="H326" s="5" t="str">
        <f>TEXT(Table313[[#This Row],[Value Date]],"mmmm")</f>
        <v>January</v>
      </c>
    </row>
    <row r="327" spans="1:8">
      <c r="A327" s="3">
        <f t="shared" si="5"/>
        <v>10167.950000000012</v>
      </c>
      <c r="H327" s="5" t="str">
        <f>TEXT(Table313[[#This Row],[Value Date]],"mmmm")</f>
        <v>January</v>
      </c>
    </row>
    <row r="328" spans="1:8">
      <c r="A328" s="3">
        <f t="shared" si="5"/>
        <v>10167.950000000012</v>
      </c>
      <c r="H328" s="5" t="str">
        <f>TEXT(Table313[[#This Row],[Value Date]],"mmmm")</f>
        <v>January</v>
      </c>
    </row>
    <row r="329" spans="1:8">
      <c r="A329" s="3">
        <f t="shared" si="5"/>
        <v>10167.950000000012</v>
      </c>
      <c r="H329" s="5" t="str">
        <f>TEXT(Table313[[#This Row],[Value Date]],"mmmm")</f>
        <v>January</v>
      </c>
    </row>
    <row r="330" spans="1:8">
      <c r="A330" s="3">
        <f t="shared" si="5"/>
        <v>10167.950000000012</v>
      </c>
      <c r="H330" s="5" t="str">
        <f>TEXT(Table313[[#This Row],[Value Date]],"mmmm")</f>
        <v>January</v>
      </c>
    </row>
    <row r="331" spans="1:8">
      <c r="A331" s="3">
        <f t="shared" si="5"/>
        <v>10167.950000000012</v>
      </c>
      <c r="H331" s="5" t="str">
        <f>TEXT(Table313[[#This Row],[Value Date]],"mmmm")</f>
        <v>January</v>
      </c>
    </row>
    <row r="332" spans="1:8">
      <c r="A332" s="3">
        <f t="shared" si="5"/>
        <v>10167.950000000012</v>
      </c>
      <c r="H332" s="5" t="str">
        <f>TEXT(Table313[[#This Row],[Value Date]],"mmmm")</f>
        <v>January</v>
      </c>
    </row>
    <row r="333" spans="1:8">
      <c r="A333" s="3">
        <f t="shared" si="5"/>
        <v>10167.950000000012</v>
      </c>
      <c r="H333" s="5" t="str">
        <f>TEXT(Table313[[#This Row],[Value Date]],"mmmm")</f>
        <v>January</v>
      </c>
    </row>
    <row r="334" spans="1:8">
      <c r="A334" s="3">
        <f t="shared" si="5"/>
        <v>10167.950000000012</v>
      </c>
      <c r="H334" s="5" t="str">
        <f>TEXT(Table313[[#This Row],[Value Date]],"mmmm")</f>
        <v>January</v>
      </c>
    </row>
    <row r="335" spans="1:8">
      <c r="A335" s="3">
        <f t="shared" si="5"/>
        <v>10167.950000000012</v>
      </c>
      <c r="H335" s="5" t="str">
        <f>TEXT(Table313[[#This Row],[Value Date]],"mmmm")</f>
        <v>January</v>
      </c>
    </row>
    <row r="336" spans="1:8">
      <c r="A336" s="3">
        <f t="shared" si="5"/>
        <v>10167.950000000012</v>
      </c>
      <c r="H336" s="5" t="str">
        <f>TEXT(Table313[[#This Row],[Value Date]],"mmmm")</f>
        <v>January</v>
      </c>
    </row>
    <row r="337" spans="1:8">
      <c r="A337" s="3">
        <f t="shared" si="5"/>
        <v>10167.950000000012</v>
      </c>
      <c r="H337" s="5" t="str">
        <f>TEXT(Table313[[#This Row],[Value Date]],"mmmm")</f>
        <v>January</v>
      </c>
    </row>
    <row r="338" spans="1:8">
      <c r="A338" s="3">
        <f t="shared" si="5"/>
        <v>10167.950000000012</v>
      </c>
      <c r="H338" s="5" t="str">
        <f>TEXT(Table313[[#This Row],[Value Date]],"mmmm")</f>
        <v>January</v>
      </c>
    </row>
    <row r="339" spans="1:8">
      <c r="A339" s="3">
        <f t="shared" si="5"/>
        <v>10167.950000000012</v>
      </c>
      <c r="H339" s="5" t="str">
        <f>TEXT(Table313[[#This Row],[Value Date]],"mmmm")</f>
        <v>January</v>
      </c>
    </row>
    <row r="340" spans="1:8">
      <c r="A340" s="3">
        <f t="shared" si="5"/>
        <v>10167.950000000012</v>
      </c>
      <c r="H340" s="5" t="str">
        <f>TEXT(Table313[[#This Row],[Value Date]],"mmmm")</f>
        <v>January</v>
      </c>
    </row>
    <row r="341" spans="1:8">
      <c r="A341" s="3">
        <f t="shared" si="5"/>
        <v>10167.950000000012</v>
      </c>
      <c r="H341" s="5" t="str">
        <f>TEXT(Table313[[#This Row],[Value Date]],"mmmm")</f>
        <v>January</v>
      </c>
    </row>
    <row r="342" spans="1:8">
      <c r="A342" s="3">
        <f t="shared" si="5"/>
        <v>10167.950000000012</v>
      </c>
      <c r="H342" s="5" t="str">
        <f>TEXT(Table313[[#This Row],[Value Date]],"mmmm")</f>
        <v>January</v>
      </c>
    </row>
    <row r="343" spans="1:8">
      <c r="A343" s="3">
        <f t="shared" si="5"/>
        <v>10167.950000000012</v>
      </c>
      <c r="H343" s="5" t="str">
        <f>TEXT(Table313[[#This Row],[Value Date]],"mmmm")</f>
        <v>January</v>
      </c>
    </row>
    <row r="344" spans="1:8">
      <c r="A344" s="3">
        <f t="shared" si="5"/>
        <v>10167.950000000012</v>
      </c>
      <c r="H344" s="5" t="str">
        <f>TEXT(Table313[[#This Row],[Value Date]],"mmmm")</f>
        <v>January</v>
      </c>
    </row>
    <row r="345" spans="1:8">
      <c r="A345" s="3">
        <f t="shared" si="5"/>
        <v>10167.950000000012</v>
      </c>
      <c r="H345" s="5" t="str">
        <f>TEXT(Table313[[#This Row],[Value Date]],"mmmm")</f>
        <v>January</v>
      </c>
    </row>
    <row r="346" spans="1:8">
      <c r="A346" s="3">
        <f t="shared" si="5"/>
        <v>10167.950000000012</v>
      </c>
      <c r="H346" s="5" t="str">
        <f>TEXT(Table313[[#This Row],[Value Date]],"mmmm")</f>
        <v>January</v>
      </c>
    </row>
    <row r="347" spans="1:8">
      <c r="A347" s="3">
        <f t="shared" si="5"/>
        <v>10167.950000000012</v>
      </c>
      <c r="H347" s="5" t="str">
        <f>TEXT(Table313[[#This Row],[Value Date]],"mmmm")</f>
        <v>January</v>
      </c>
    </row>
    <row r="348" spans="1:8">
      <c r="A348" s="3">
        <f t="shared" si="5"/>
        <v>10167.950000000012</v>
      </c>
      <c r="H348" s="5" t="str">
        <f>TEXT(Table313[[#This Row],[Value Date]],"mmmm")</f>
        <v>January</v>
      </c>
    </row>
    <row r="349" spans="1:8">
      <c r="A349" s="3">
        <f t="shared" si="5"/>
        <v>10167.950000000012</v>
      </c>
      <c r="H349" s="5" t="str">
        <f>TEXT(Table313[[#This Row],[Value Date]],"mmmm")</f>
        <v>January</v>
      </c>
    </row>
    <row r="350" spans="1:8">
      <c r="A350" s="3">
        <f t="shared" si="5"/>
        <v>10167.950000000012</v>
      </c>
      <c r="H350" s="5" t="str">
        <f>TEXT(Table313[[#This Row],[Value Date]],"mmmm")</f>
        <v>January</v>
      </c>
    </row>
    <row r="351" spans="1:8">
      <c r="A351" s="3">
        <f t="shared" si="5"/>
        <v>10167.950000000012</v>
      </c>
      <c r="H351" s="5" t="str">
        <f>TEXT(Table313[[#This Row],[Value Date]],"mmmm")</f>
        <v>January</v>
      </c>
    </row>
    <row r="352" spans="1:8">
      <c r="A352" s="3">
        <f t="shared" si="5"/>
        <v>10167.950000000012</v>
      </c>
      <c r="H352" s="5" t="str">
        <f>TEXT(Table313[[#This Row],[Value Date]],"mmmm")</f>
        <v>January</v>
      </c>
    </row>
    <row r="353" spans="1:8">
      <c r="A353" s="3">
        <f t="shared" si="5"/>
        <v>10167.950000000012</v>
      </c>
      <c r="H353" s="5" t="str">
        <f>TEXT(Table313[[#This Row],[Value Date]],"mmmm")</f>
        <v>January</v>
      </c>
    </row>
    <row r="354" spans="1:8">
      <c r="A354" s="3">
        <f t="shared" si="5"/>
        <v>10167.950000000012</v>
      </c>
      <c r="H354" s="5" t="str">
        <f>TEXT(Table313[[#This Row],[Value Date]],"mmmm")</f>
        <v>January</v>
      </c>
    </row>
    <row r="355" spans="1:8">
      <c r="A355" s="3">
        <f t="shared" si="5"/>
        <v>10167.950000000012</v>
      </c>
      <c r="H355" s="5" t="str">
        <f>TEXT(Table313[[#This Row],[Value Date]],"mmmm")</f>
        <v>January</v>
      </c>
    </row>
    <row r="356" spans="1:8">
      <c r="A356" s="3">
        <f t="shared" si="5"/>
        <v>10167.950000000012</v>
      </c>
      <c r="H356" s="5" t="str">
        <f>TEXT(Table313[[#This Row],[Value Date]],"mmmm")</f>
        <v>January</v>
      </c>
    </row>
    <row r="357" spans="1:8">
      <c r="A357" s="3">
        <f t="shared" si="5"/>
        <v>10167.950000000012</v>
      </c>
      <c r="H357" s="5" t="str">
        <f>TEXT(Table313[[#This Row],[Value Date]],"mmmm")</f>
        <v>January</v>
      </c>
    </row>
    <row r="358" spans="1:8">
      <c r="A358" s="3">
        <f t="shared" si="5"/>
        <v>10167.950000000012</v>
      </c>
      <c r="H358" s="5" t="str">
        <f>TEXT(Table313[[#This Row],[Value Date]],"mmmm")</f>
        <v>January</v>
      </c>
    </row>
    <row r="359" spans="1:8">
      <c r="A359" s="3">
        <f t="shared" si="5"/>
        <v>10167.950000000012</v>
      </c>
      <c r="H359" s="5" t="str">
        <f>TEXT(Table313[[#This Row],[Value Date]],"mmmm")</f>
        <v>January</v>
      </c>
    </row>
    <row r="360" spans="1:8">
      <c r="A360" s="3">
        <f t="shared" si="5"/>
        <v>10167.950000000012</v>
      </c>
      <c r="H360" s="5" t="str">
        <f>TEXT(Table313[[#This Row],[Value Date]],"mmmm")</f>
        <v>January</v>
      </c>
    </row>
    <row r="361" spans="1:8">
      <c r="A361" s="3">
        <f t="shared" si="5"/>
        <v>10167.950000000012</v>
      </c>
      <c r="H361" s="5" t="str">
        <f>TEXT(Table313[[#This Row],[Value Date]],"mmmm")</f>
        <v>January</v>
      </c>
    </row>
    <row r="362" spans="1:8">
      <c r="A362" s="3">
        <f t="shared" si="5"/>
        <v>10167.950000000012</v>
      </c>
      <c r="H362" s="5" t="str">
        <f>TEXT(Table313[[#This Row],[Value Date]],"mmmm")</f>
        <v>January</v>
      </c>
    </row>
    <row r="363" spans="1:8">
      <c r="A363" s="3">
        <f t="shared" si="5"/>
        <v>10167.950000000012</v>
      </c>
      <c r="H363" s="5" t="str">
        <f>TEXT(Table313[[#This Row],[Value Date]],"mmmm")</f>
        <v>January</v>
      </c>
    </row>
    <row r="364" spans="1:8">
      <c r="A364" s="3">
        <f t="shared" si="5"/>
        <v>10167.950000000012</v>
      </c>
      <c r="H364" s="5" t="str">
        <f>TEXT(Table313[[#This Row],[Value Date]],"mmmm")</f>
        <v>January</v>
      </c>
    </row>
    <row r="365" spans="1:8">
      <c r="A365" s="3">
        <f t="shared" si="5"/>
        <v>10167.950000000012</v>
      </c>
      <c r="H365" s="5" t="str">
        <f>TEXT(Table313[[#This Row],[Value Date]],"mmmm")</f>
        <v>January</v>
      </c>
    </row>
    <row r="366" spans="1:8">
      <c r="A366" s="3">
        <f t="shared" si="5"/>
        <v>10167.950000000012</v>
      </c>
      <c r="H366" s="5" t="str">
        <f>TEXT(Table313[[#This Row],[Value Date]],"mmmm")</f>
        <v>January</v>
      </c>
    </row>
    <row r="367" spans="1:8">
      <c r="A367" s="3">
        <f t="shared" si="5"/>
        <v>10167.950000000012</v>
      </c>
      <c r="D367" s="11"/>
      <c r="E367" s="11"/>
      <c r="F367" s="11"/>
      <c r="H367" s="5" t="str">
        <f>TEXT(Table313[[#This Row],[Value Date]],"mmmm")</f>
        <v>January</v>
      </c>
    </row>
    <row r="368" spans="1:8">
      <c r="A368" s="3">
        <f t="shared" si="5"/>
        <v>10167.950000000012</v>
      </c>
      <c r="H368" s="5" t="str">
        <f>TEXT(Table313[[#This Row],[Value Date]],"mmmm")</f>
        <v>January</v>
      </c>
    </row>
    <row r="369" spans="1:8">
      <c r="A369" s="3">
        <f t="shared" si="5"/>
        <v>10167.950000000012</v>
      </c>
      <c r="H369" s="5" t="str">
        <f>TEXT(Table313[[#This Row],[Value Date]],"mmmm")</f>
        <v>January</v>
      </c>
    </row>
    <row r="370" spans="1:8">
      <c r="A370" s="3">
        <f t="shared" si="5"/>
        <v>10167.950000000012</v>
      </c>
      <c r="H370" s="5" t="str">
        <f>TEXT(Table313[[#This Row],[Value Date]],"mmmm")</f>
        <v>January</v>
      </c>
    </row>
    <row r="371" spans="1:8">
      <c r="A371" s="3">
        <f t="shared" si="5"/>
        <v>10167.950000000012</v>
      </c>
      <c r="H371" s="5" t="str">
        <f>TEXT(Table313[[#This Row],[Value Date]],"mmmm")</f>
        <v>January</v>
      </c>
    </row>
    <row r="372" spans="1:8">
      <c r="A372" s="3">
        <f t="shared" si="5"/>
        <v>10167.950000000012</v>
      </c>
      <c r="H372" s="5" t="str">
        <f>TEXT(Table313[[#This Row],[Value Date]],"mmmm")</f>
        <v>January</v>
      </c>
    </row>
    <row r="373" spans="1:8">
      <c r="A373" s="3">
        <f t="shared" si="5"/>
        <v>10167.950000000012</v>
      </c>
      <c r="H373" s="5" t="str">
        <f>TEXT(Table313[[#This Row],[Value Date]],"mmmm")</f>
        <v>January</v>
      </c>
    </row>
    <row r="374" spans="1:8">
      <c r="A374" s="3">
        <f t="shared" si="5"/>
        <v>10167.950000000012</v>
      </c>
      <c r="H374" s="5" t="str">
        <f>TEXT(Table313[[#This Row],[Value Date]],"mmmm")</f>
        <v>January</v>
      </c>
    </row>
    <row r="375" spans="1:8">
      <c r="A375" s="3">
        <f t="shared" si="5"/>
        <v>10167.950000000012</v>
      </c>
      <c r="H375" s="5" t="str">
        <f>TEXT(Table313[[#This Row],[Value Date]],"mmmm")</f>
        <v>January</v>
      </c>
    </row>
    <row r="376" spans="1:8">
      <c r="A376" s="3">
        <f t="shared" si="5"/>
        <v>10167.950000000012</v>
      </c>
      <c r="H376" s="5" t="str">
        <f>TEXT(Table313[[#This Row],[Value Date]],"mmmm")</f>
        <v>January</v>
      </c>
    </row>
    <row r="377" spans="1:8">
      <c r="A377" s="3">
        <f t="shared" si="5"/>
        <v>10167.950000000012</v>
      </c>
      <c r="H377" s="5" t="str">
        <f>TEXT(Table313[[#This Row],[Value Date]],"mmmm")</f>
        <v>January</v>
      </c>
    </row>
    <row r="378" spans="1:8">
      <c r="A378" s="3">
        <f t="shared" si="5"/>
        <v>10167.950000000012</v>
      </c>
      <c r="H378" s="5" t="str">
        <f>TEXT(Table313[[#This Row],[Value Date]],"mmmm")</f>
        <v>January</v>
      </c>
    </row>
    <row r="379" spans="1:8">
      <c r="A379" s="3">
        <f t="shared" si="5"/>
        <v>10167.950000000012</v>
      </c>
      <c r="H379" s="5" t="str">
        <f>TEXT(Table313[[#This Row],[Value Date]],"mmmm")</f>
        <v>January</v>
      </c>
    </row>
    <row r="380" spans="1:8">
      <c r="A380" s="3">
        <f t="shared" si="5"/>
        <v>10167.950000000012</v>
      </c>
      <c r="H380" s="5" t="str">
        <f>TEXT(Table313[[#This Row],[Value Date]],"mmmm")</f>
        <v>January</v>
      </c>
    </row>
    <row r="381" spans="1:8">
      <c r="A381" s="3">
        <f t="shared" si="5"/>
        <v>10167.950000000012</v>
      </c>
      <c r="H381" s="5" t="str">
        <f>TEXT(Table313[[#This Row],[Value Date]],"mmmm")</f>
        <v>January</v>
      </c>
    </row>
    <row r="382" spans="1:8">
      <c r="A382" s="3">
        <f t="shared" si="5"/>
        <v>10167.950000000012</v>
      </c>
      <c r="H382" s="5" t="str">
        <f>TEXT(Table313[[#This Row],[Value Date]],"mmmm")</f>
        <v>January</v>
      </c>
    </row>
    <row r="383" spans="1:8">
      <c r="A383" s="3">
        <f t="shared" si="5"/>
        <v>10167.950000000012</v>
      </c>
      <c r="H383" s="5" t="str">
        <f>TEXT(Table313[[#This Row],[Value Date]],"mmmm")</f>
        <v>January</v>
      </c>
    </row>
    <row r="384" spans="1:8">
      <c r="A384" s="3">
        <f t="shared" si="5"/>
        <v>10167.950000000012</v>
      </c>
      <c r="H384" s="5" t="str">
        <f>TEXT(Table313[[#This Row],[Value Date]],"mmmm")</f>
        <v>January</v>
      </c>
    </row>
    <row r="385" spans="1:8">
      <c r="A385" s="3">
        <f t="shared" si="5"/>
        <v>10167.950000000012</v>
      </c>
      <c r="H385" s="5" t="str">
        <f>TEXT(Table313[[#This Row],[Value Date]],"mmmm")</f>
        <v>January</v>
      </c>
    </row>
    <row r="386" spans="1:8">
      <c r="A386" s="3">
        <f t="shared" si="5"/>
        <v>10167.950000000012</v>
      </c>
      <c r="H386" s="5" t="str">
        <f>TEXT(Table313[[#This Row],[Value Date]],"mmmm")</f>
        <v>January</v>
      </c>
    </row>
    <row r="387" spans="1:8">
      <c r="A387" s="3">
        <f t="shared" si="5"/>
        <v>10167.950000000012</v>
      </c>
      <c r="H387" s="5" t="str">
        <f>TEXT(Table313[[#This Row],[Value Date]],"mmmm")</f>
        <v>January</v>
      </c>
    </row>
    <row r="388" spans="1:8">
      <c r="A388" s="3">
        <f t="shared" si="5"/>
        <v>10167.950000000012</v>
      </c>
      <c r="H388" s="5" t="str">
        <f>TEXT(Table313[[#This Row],[Value Date]],"mmmm")</f>
        <v>January</v>
      </c>
    </row>
    <row r="389" spans="1:8">
      <c r="A389" s="3">
        <f t="shared" si="5"/>
        <v>10167.950000000012</v>
      </c>
      <c r="H389" s="5" t="str">
        <f>TEXT(Table313[[#This Row],[Value Date]],"mmmm")</f>
        <v>January</v>
      </c>
    </row>
    <row r="390" spans="1:8">
      <c r="A390" s="3">
        <f t="shared" ref="A390:A453" si="6">A389+B390-C390</f>
        <v>10167.950000000012</v>
      </c>
      <c r="H390" s="5" t="str">
        <f>TEXT(Table313[[#This Row],[Value Date]],"mmmm")</f>
        <v>January</v>
      </c>
    </row>
    <row r="391" spans="1:8">
      <c r="A391" s="3">
        <f t="shared" si="6"/>
        <v>10167.950000000012</v>
      </c>
      <c r="H391" s="5" t="str">
        <f>TEXT(Table313[[#This Row],[Value Date]],"mmmm")</f>
        <v>January</v>
      </c>
    </row>
    <row r="392" spans="1:8">
      <c r="A392" s="3">
        <f t="shared" si="6"/>
        <v>10167.950000000012</v>
      </c>
      <c r="H392" s="5" t="str">
        <f>TEXT(Table313[[#This Row],[Value Date]],"mmmm")</f>
        <v>January</v>
      </c>
    </row>
    <row r="393" spans="1:8">
      <c r="A393" s="3">
        <f t="shared" si="6"/>
        <v>10167.950000000012</v>
      </c>
      <c r="H393" s="5" t="str">
        <f>TEXT(Table313[[#This Row],[Value Date]],"mmmm")</f>
        <v>January</v>
      </c>
    </row>
    <row r="394" spans="1:8">
      <c r="A394" s="3">
        <f t="shared" si="6"/>
        <v>10167.950000000012</v>
      </c>
      <c r="H394" s="5" t="str">
        <f>TEXT(Table313[[#This Row],[Value Date]],"mmmm")</f>
        <v>January</v>
      </c>
    </row>
    <row r="395" spans="1:8">
      <c r="A395" s="3">
        <f t="shared" si="6"/>
        <v>10167.950000000012</v>
      </c>
      <c r="H395" s="5" t="str">
        <f>TEXT(Table313[[#This Row],[Value Date]],"mmmm")</f>
        <v>January</v>
      </c>
    </row>
    <row r="396" spans="1:8">
      <c r="A396" s="3">
        <f t="shared" si="6"/>
        <v>10167.950000000012</v>
      </c>
      <c r="H396" s="5" t="str">
        <f>TEXT(Table313[[#This Row],[Value Date]],"mmmm")</f>
        <v>January</v>
      </c>
    </row>
    <row r="397" spans="1:8">
      <c r="A397" s="3">
        <f t="shared" si="6"/>
        <v>10167.950000000012</v>
      </c>
      <c r="H397" s="5" t="str">
        <f>TEXT(Table313[[#This Row],[Value Date]],"mmmm")</f>
        <v>January</v>
      </c>
    </row>
    <row r="398" spans="1:8">
      <c r="A398" s="3">
        <f t="shared" si="6"/>
        <v>10167.950000000012</v>
      </c>
      <c r="H398" s="5" t="str">
        <f>TEXT(Table313[[#This Row],[Value Date]],"mmmm")</f>
        <v>January</v>
      </c>
    </row>
    <row r="399" spans="1:8">
      <c r="A399" s="3">
        <f t="shared" si="6"/>
        <v>10167.950000000012</v>
      </c>
      <c r="H399" s="5" t="str">
        <f>TEXT(Table313[[#This Row],[Value Date]],"mmmm")</f>
        <v>January</v>
      </c>
    </row>
    <row r="400" spans="1:8">
      <c r="A400" s="3">
        <f t="shared" si="6"/>
        <v>10167.950000000012</v>
      </c>
      <c r="H400" s="5" t="str">
        <f>TEXT(Table313[[#This Row],[Value Date]],"mmmm")</f>
        <v>January</v>
      </c>
    </row>
    <row r="401" spans="1:8">
      <c r="A401" s="3">
        <f t="shared" si="6"/>
        <v>10167.950000000012</v>
      </c>
      <c r="H401" s="5" t="str">
        <f>TEXT(Table313[[#This Row],[Value Date]],"mmmm")</f>
        <v>January</v>
      </c>
    </row>
    <row r="402" spans="1:8">
      <c r="A402" s="3">
        <f t="shared" si="6"/>
        <v>10167.950000000012</v>
      </c>
      <c r="H402" s="5" t="str">
        <f>TEXT(Table313[[#This Row],[Value Date]],"mmmm")</f>
        <v>January</v>
      </c>
    </row>
    <row r="403" spans="1:8">
      <c r="A403" s="3">
        <f t="shared" si="6"/>
        <v>10167.950000000012</v>
      </c>
      <c r="H403" s="5" t="str">
        <f>TEXT(Table313[[#This Row],[Value Date]],"mmmm")</f>
        <v>January</v>
      </c>
    </row>
    <row r="404" spans="1:8">
      <c r="A404" s="3">
        <f t="shared" si="6"/>
        <v>10167.950000000012</v>
      </c>
      <c r="H404" s="5" t="str">
        <f>TEXT(Table313[[#This Row],[Value Date]],"mmmm")</f>
        <v>January</v>
      </c>
    </row>
    <row r="405" spans="1:8">
      <c r="A405" s="3">
        <f t="shared" si="6"/>
        <v>10167.950000000012</v>
      </c>
      <c r="H405" s="5" t="str">
        <f>TEXT(Table313[[#This Row],[Value Date]],"mmmm")</f>
        <v>January</v>
      </c>
    </row>
    <row r="406" spans="1:8">
      <c r="A406" s="3">
        <f t="shared" si="6"/>
        <v>10167.950000000012</v>
      </c>
      <c r="H406" s="5" t="str">
        <f>TEXT(Table313[[#This Row],[Value Date]],"mmmm")</f>
        <v>January</v>
      </c>
    </row>
    <row r="407" spans="1:8">
      <c r="A407" s="3">
        <f t="shared" si="6"/>
        <v>10167.950000000012</v>
      </c>
      <c r="H407" s="5" t="str">
        <f>TEXT(Table313[[#This Row],[Value Date]],"mmmm")</f>
        <v>January</v>
      </c>
    </row>
    <row r="408" spans="1:8">
      <c r="A408" s="3">
        <f t="shared" si="6"/>
        <v>10167.950000000012</v>
      </c>
      <c r="H408" s="5" t="str">
        <f>TEXT(Table313[[#This Row],[Value Date]],"mmmm")</f>
        <v>January</v>
      </c>
    </row>
    <row r="409" spans="1:8">
      <c r="A409" s="3">
        <f t="shared" si="6"/>
        <v>10167.950000000012</v>
      </c>
      <c r="H409" s="5" t="str">
        <f>TEXT(Table313[[#This Row],[Value Date]],"mmmm")</f>
        <v>January</v>
      </c>
    </row>
    <row r="410" spans="1:8">
      <c r="A410" s="3">
        <f t="shared" si="6"/>
        <v>10167.950000000012</v>
      </c>
      <c r="H410" s="5" t="str">
        <f>TEXT(Table313[[#This Row],[Value Date]],"mmmm")</f>
        <v>January</v>
      </c>
    </row>
    <row r="411" spans="1:8">
      <c r="A411" s="3">
        <f t="shared" si="6"/>
        <v>10167.950000000012</v>
      </c>
      <c r="H411" s="5" t="str">
        <f>TEXT(Table313[[#This Row],[Value Date]],"mmmm")</f>
        <v>January</v>
      </c>
    </row>
    <row r="412" spans="1:8">
      <c r="A412" s="3">
        <f t="shared" si="6"/>
        <v>10167.950000000012</v>
      </c>
      <c r="H412" s="5" t="str">
        <f>TEXT(Table313[[#This Row],[Value Date]],"mmmm")</f>
        <v>January</v>
      </c>
    </row>
    <row r="413" spans="1:8">
      <c r="A413" s="3">
        <f t="shared" si="6"/>
        <v>10167.950000000012</v>
      </c>
      <c r="H413" s="5" t="str">
        <f>TEXT(Table313[[#This Row],[Value Date]],"mmmm")</f>
        <v>January</v>
      </c>
    </row>
    <row r="414" spans="1:8">
      <c r="A414" s="3">
        <f t="shared" si="6"/>
        <v>10167.950000000012</v>
      </c>
      <c r="H414" s="5" t="str">
        <f>TEXT(Table313[[#This Row],[Value Date]],"mmmm")</f>
        <v>January</v>
      </c>
    </row>
    <row r="415" spans="1:8">
      <c r="A415" s="3">
        <f t="shared" si="6"/>
        <v>10167.950000000012</v>
      </c>
      <c r="H415" s="5" t="str">
        <f>TEXT(Table313[[#This Row],[Value Date]],"mmmm")</f>
        <v>January</v>
      </c>
    </row>
    <row r="416" spans="1:8">
      <c r="A416" s="3">
        <f t="shared" si="6"/>
        <v>10167.950000000012</v>
      </c>
      <c r="H416" s="5" t="str">
        <f>TEXT(Table313[[#This Row],[Value Date]],"mmmm")</f>
        <v>January</v>
      </c>
    </row>
    <row r="417" spans="1:8">
      <c r="A417" s="3">
        <f t="shared" si="6"/>
        <v>10167.950000000012</v>
      </c>
      <c r="H417" s="5" t="str">
        <f>TEXT(Table313[[#This Row],[Value Date]],"mmmm")</f>
        <v>January</v>
      </c>
    </row>
    <row r="418" spans="1:8">
      <c r="A418" s="3">
        <f t="shared" si="6"/>
        <v>10167.950000000012</v>
      </c>
      <c r="H418" s="5" t="str">
        <f>TEXT(Table313[[#This Row],[Value Date]],"mmmm")</f>
        <v>January</v>
      </c>
    </row>
    <row r="419" spans="1:8">
      <c r="A419" s="3">
        <f t="shared" si="6"/>
        <v>10167.950000000012</v>
      </c>
      <c r="H419" s="5" t="str">
        <f>TEXT(Table313[[#This Row],[Value Date]],"mmmm")</f>
        <v>January</v>
      </c>
    </row>
    <row r="420" spans="1:8">
      <c r="A420" s="3">
        <f t="shared" si="6"/>
        <v>10167.950000000012</v>
      </c>
      <c r="H420" s="5" t="str">
        <f>TEXT(Table313[[#This Row],[Value Date]],"mmmm")</f>
        <v>January</v>
      </c>
    </row>
    <row r="421" spans="1:8">
      <c r="A421" s="3">
        <f t="shared" si="6"/>
        <v>10167.950000000012</v>
      </c>
      <c r="H421" s="5" t="str">
        <f>TEXT(Table313[[#This Row],[Value Date]],"mmmm")</f>
        <v>January</v>
      </c>
    </row>
    <row r="422" spans="1:8">
      <c r="A422" s="3">
        <f t="shared" si="6"/>
        <v>10167.950000000012</v>
      </c>
      <c r="H422" s="5" t="str">
        <f>TEXT(Table313[[#This Row],[Value Date]],"mmmm")</f>
        <v>January</v>
      </c>
    </row>
    <row r="423" spans="1:8">
      <c r="A423" s="3">
        <f t="shared" si="6"/>
        <v>10167.950000000012</v>
      </c>
      <c r="H423" s="5" t="str">
        <f>TEXT(Table313[[#This Row],[Value Date]],"mmmm")</f>
        <v>January</v>
      </c>
    </row>
    <row r="424" spans="1:8">
      <c r="A424" s="3">
        <f t="shared" si="6"/>
        <v>10167.950000000012</v>
      </c>
      <c r="H424" s="5" t="str">
        <f>TEXT(Table313[[#This Row],[Value Date]],"mmmm")</f>
        <v>January</v>
      </c>
    </row>
    <row r="425" spans="1:8">
      <c r="A425" s="3">
        <f t="shared" si="6"/>
        <v>10167.950000000012</v>
      </c>
      <c r="H425" s="5" t="str">
        <f>TEXT(Table313[[#This Row],[Value Date]],"mmmm")</f>
        <v>January</v>
      </c>
    </row>
    <row r="426" spans="1:8">
      <c r="A426" s="3">
        <f t="shared" si="6"/>
        <v>10167.950000000012</v>
      </c>
      <c r="H426" s="5" t="str">
        <f>TEXT(Table313[[#This Row],[Value Date]],"mmmm")</f>
        <v>January</v>
      </c>
    </row>
    <row r="427" spans="1:8">
      <c r="A427" s="3">
        <f t="shared" si="6"/>
        <v>10167.950000000012</v>
      </c>
      <c r="H427" s="5" t="str">
        <f>TEXT(Table313[[#This Row],[Value Date]],"mmmm")</f>
        <v>January</v>
      </c>
    </row>
    <row r="428" spans="1:8">
      <c r="A428" s="3">
        <f t="shared" si="6"/>
        <v>10167.950000000012</v>
      </c>
      <c r="H428" s="5" t="str">
        <f>TEXT(Table313[[#This Row],[Value Date]],"mmmm")</f>
        <v>January</v>
      </c>
    </row>
    <row r="429" spans="1:8">
      <c r="A429" s="3">
        <f t="shared" si="6"/>
        <v>10167.950000000012</v>
      </c>
      <c r="H429" s="5" t="str">
        <f>TEXT(Table313[[#This Row],[Value Date]],"mmmm")</f>
        <v>January</v>
      </c>
    </row>
    <row r="430" spans="1:8">
      <c r="A430" s="3">
        <f t="shared" si="6"/>
        <v>10167.950000000012</v>
      </c>
      <c r="H430" s="5" t="str">
        <f>TEXT(Table313[[#This Row],[Value Date]],"mmmm")</f>
        <v>January</v>
      </c>
    </row>
    <row r="431" spans="1:8">
      <c r="A431" s="3">
        <f t="shared" si="6"/>
        <v>10167.950000000012</v>
      </c>
      <c r="H431" s="5" t="str">
        <f>TEXT(Table313[[#This Row],[Value Date]],"mmmm")</f>
        <v>January</v>
      </c>
    </row>
    <row r="432" spans="1:8">
      <c r="A432" s="3">
        <f t="shared" si="6"/>
        <v>10167.950000000012</v>
      </c>
      <c r="H432" s="5" t="str">
        <f>TEXT(Table313[[#This Row],[Value Date]],"mmmm")</f>
        <v>January</v>
      </c>
    </row>
    <row r="433" spans="1:8">
      <c r="A433" s="3">
        <f t="shared" si="6"/>
        <v>10167.950000000012</v>
      </c>
      <c r="H433" s="5" t="str">
        <f>TEXT(Table313[[#This Row],[Value Date]],"mmmm")</f>
        <v>January</v>
      </c>
    </row>
    <row r="434" spans="1:8">
      <c r="A434" s="3">
        <f t="shared" si="6"/>
        <v>10167.950000000012</v>
      </c>
      <c r="H434" s="5" t="str">
        <f>TEXT(Table313[[#This Row],[Value Date]],"mmmm")</f>
        <v>January</v>
      </c>
    </row>
    <row r="435" spans="1:8">
      <c r="A435" s="3">
        <f t="shared" si="6"/>
        <v>10167.950000000012</v>
      </c>
      <c r="H435" s="5" t="str">
        <f>TEXT(Table313[[#This Row],[Value Date]],"mmmm")</f>
        <v>January</v>
      </c>
    </row>
    <row r="436" spans="1:8">
      <c r="A436" s="3">
        <f t="shared" si="6"/>
        <v>10167.950000000012</v>
      </c>
      <c r="H436" s="5" t="str">
        <f>TEXT(Table313[[#This Row],[Value Date]],"mmmm")</f>
        <v>January</v>
      </c>
    </row>
    <row r="437" spans="1:8">
      <c r="A437" s="3">
        <f t="shared" si="6"/>
        <v>10167.950000000012</v>
      </c>
      <c r="H437" s="5" t="str">
        <f>TEXT(Table313[[#This Row],[Value Date]],"mmmm")</f>
        <v>January</v>
      </c>
    </row>
    <row r="438" spans="1:8">
      <c r="A438" s="3">
        <f t="shared" si="6"/>
        <v>10167.950000000012</v>
      </c>
      <c r="H438" s="5" t="str">
        <f>TEXT(Table313[[#This Row],[Value Date]],"mmmm")</f>
        <v>January</v>
      </c>
    </row>
    <row r="439" spans="1:8">
      <c r="A439" s="3">
        <f t="shared" si="6"/>
        <v>10167.950000000012</v>
      </c>
      <c r="H439" s="5" t="str">
        <f>TEXT(Table313[[#This Row],[Value Date]],"mmmm")</f>
        <v>January</v>
      </c>
    </row>
    <row r="440" spans="1:8">
      <c r="A440" s="3">
        <f t="shared" si="6"/>
        <v>10167.950000000012</v>
      </c>
      <c r="H440" s="5" t="str">
        <f>TEXT(Table313[[#This Row],[Value Date]],"mmmm")</f>
        <v>January</v>
      </c>
    </row>
    <row r="441" spans="1:8">
      <c r="A441" s="3">
        <f t="shared" si="6"/>
        <v>10167.950000000012</v>
      </c>
      <c r="H441" s="5" t="str">
        <f>TEXT(Table313[[#This Row],[Value Date]],"mmmm")</f>
        <v>January</v>
      </c>
    </row>
    <row r="442" spans="1:8">
      <c r="A442" s="3">
        <f t="shared" si="6"/>
        <v>10167.950000000012</v>
      </c>
      <c r="H442" s="5" t="str">
        <f>TEXT(Table313[[#This Row],[Value Date]],"mmmm")</f>
        <v>January</v>
      </c>
    </row>
    <row r="443" spans="1:8">
      <c r="A443" s="3">
        <f t="shared" si="6"/>
        <v>10167.950000000012</v>
      </c>
      <c r="H443" s="5" t="str">
        <f>TEXT(Table313[[#This Row],[Value Date]],"mmmm")</f>
        <v>January</v>
      </c>
    </row>
    <row r="444" spans="1:8">
      <c r="A444" s="3">
        <f t="shared" si="6"/>
        <v>10167.950000000012</v>
      </c>
      <c r="H444" s="5" t="str">
        <f>TEXT(Table313[[#This Row],[Value Date]],"mmmm")</f>
        <v>January</v>
      </c>
    </row>
    <row r="445" spans="1:8">
      <c r="A445" s="3">
        <f t="shared" si="6"/>
        <v>10167.950000000012</v>
      </c>
      <c r="H445" s="5" t="str">
        <f>TEXT(Table313[[#This Row],[Value Date]],"mmmm")</f>
        <v>January</v>
      </c>
    </row>
    <row r="446" spans="1:8">
      <c r="A446" s="3">
        <f t="shared" si="6"/>
        <v>10167.950000000012</v>
      </c>
      <c r="H446" s="5" t="str">
        <f>TEXT(Table313[[#This Row],[Value Date]],"mmmm")</f>
        <v>January</v>
      </c>
    </row>
    <row r="447" spans="1:8">
      <c r="A447" s="3">
        <f t="shared" si="6"/>
        <v>10167.950000000012</v>
      </c>
      <c r="H447" s="5" t="str">
        <f>TEXT(Table313[[#This Row],[Value Date]],"mmmm")</f>
        <v>January</v>
      </c>
    </row>
    <row r="448" spans="1:8">
      <c r="A448" s="3">
        <f t="shared" si="6"/>
        <v>10167.950000000012</v>
      </c>
      <c r="H448" s="5" t="str">
        <f>TEXT(Table313[[#This Row],[Value Date]],"mmmm")</f>
        <v>January</v>
      </c>
    </row>
    <row r="449" spans="1:8">
      <c r="A449" s="3">
        <f t="shared" si="6"/>
        <v>10167.950000000012</v>
      </c>
      <c r="H449" s="5" t="str">
        <f>TEXT(Table313[[#This Row],[Value Date]],"mmmm")</f>
        <v>January</v>
      </c>
    </row>
    <row r="450" spans="1:8">
      <c r="A450" s="3">
        <f t="shared" si="6"/>
        <v>10167.950000000012</v>
      </c>
      <c r="H450" s="5" t="str">
        <f>TEXT(Table313[[#This Row],[Value Date]],"mmmm")</f>
        <v>January</v>
      </c>
    </row>
    <row r="451" spans="1:8">
      <c r="A451" s="3">
        <f t="shared" si="6"/>
        <v>10167.950000000012</v>
      </c>
      <c r="H451" s="5" t="str">
        <f>TEXT(Table313[[#This Row],[Value Date]],"mmmm")</f>
        <v>January</v>
      </c>
    </row>
    <row r="452" spans="1:8">
      <c r="A452" s="3">
        <f t="shared" si="6"/>
        <v>10167.950000000012</v>
      </c>
      <c r="H452" s="5" t="str">
        <f>TEXT(Table313[[#This Row],[Value Date]],"mmmm")</f>
        <v>January</v>
      </c>
    </row>
    <row r="453" spans="1:8">
      <c r="A453" s="3">
        <f t="shared" si="6"/>
        <v>10167.950000000012</v>
      </c>
      <c r="H453" s="5" t="str">
        <f>TEXT(Table313[[#This Row],[Value Date]],"mmmm")</f>
        <v>January</v>
      </c>
    </row>
    <row r="454" spans="1:8">
      <c r="A454" s="3">
        <f t="shared" ref="A454:A517" si="7">A453+B454-C454</f>
        <v>10167.950000000012</v>
      </c>
      <c r="H454" s="5" t="str">
        <f>TEXT(Table313[[#This Row],[Value Date]],"mmmm")</f>
        <v>January</v>
      </c>
    </row>
    <row r="455" spans="1:8">
      <c r="A455" s="3">
        <f t="shared" si="7"/>
        <v>10167.950000000012</v>
      </c>
      <c r="H455" s="5" t="str">
        <f>TEXT(Table313[[#This Row],[Value Date]],"mmmm")</f>
        <v>January</v>
      </c>
    </row>
    <row r="456" spans="1:8">
      <c r="A456" s="3">
        <f t="shared" si="7"/>
        <v>10167.950000000012</v>
      </c>
      <c r="H456" s="5" t="str">
        <f>TEXT(Table313[[#This Row],[Value Date]],"mmmm")</f>
        <v>January</v>
      </c>
    </row>
    <row r="457" spans="1:8">
      <c r="A457" s="3">
        <f t="shared" si="7"/>
        <v>10167.950000000012</v>
      </c>
      <c r="H457" s="5" t="str">
        <f>TEXT(Table313[[#This Row],[Value Date]],"mmmm")</f>
        <v>January</v>
      </c>
    </row>
    <row r="458" spans="1:8">
      <c r="A458" s="3">
        <f t="shared" si="7"/>
        <v>10167.950000000012</v>
      </c>
      <c r="H458" s="5" t="str">
        <f>TEXT(Table313[[#This Row],[Value Date]],"mmmm")</f>
        <v>January</v>
      </c>
    </row>
    <row r="459" spans="1:8">
      <c r="A459" s="3">
        <f t="shared" si="7"/>
        <v>10167.950000000012</v>
      </c>
      <c r="H459" s="5" t="str">
        <f>TEXT(Table313[[#This Row],[Value Date]],"mmmm")</f>
        <v>January</v>
      </c>
    </row>
    <row r="460" spans="1:8">
      <c r="A460" s="3">
        <f t="shared" si="7"/>
        <v>10167.950000000012</v>
      </c>
      <c r="H460" s="5" t="str">
        <f>TEXT(Table313[[#This Row],[Value Date]],"mmmm")</f>
        <v>January</v>
      </c>
    </row>
    <row r="461" spans="1:8">
      <c r="A461" s="3">
        <f t="shared" si="7"/>
        <v>10167.950000000012</v>
      </c>
      <c r="H461" s="5" t="str">
        <f>TEXT(Table313[[#This Row],[Value Date]],"mmmm")</f>
        <v>January</v>
      </c>
    </row>
    <row r="462" spans="1:8">
      <c r="A462" s="3">
        <f t="shared" si="7"/>
        <v>10167.950000000012</v>
      </c>
      <c r="H462" s="5" t="str">
        <f>TEXT(Table313[[#This Row],[Value Date]],"mmmm")</f>
        <v>January</v>
      </c>
    </row>
    <row r="463" spans="1:8">
      <c r="A463" s="3">
        <f t="shared" si="7"/>
        <v>10167.950000000012</v>
      </c>
      <c r="H463" s="5" t="str">
        <f>TEXT(Table313[[#This Row],[Value Date]],"mmmm")</f>
        <v>January</v>
      </c>
    </row>
    <row r="464" spans="1:8">
      <c r="A464" s="3">
        <f t="shared" si="7"/>
        <v>10167.950000000012</v>
      </c>
      <c r="H464" s="5" t="str">
        <f>TEXT(Table313[[#This Row],[Value Date]],"mmmm")</f>
        <v>January</v>
      </c>
    </row>
    <row r="465" spans="1:8">
      <c r="A465" s="3">
        <f t="shared" si="7"/>
        <v>10167.950000000012</v>
      </c>
      <c r="H465" s="5" t="str">
        <f>TEXT(Table313[[#This Row],[Value Date]],"mmmm")</f>
        <v>January</v>
      </c>
    </row>
    <row r="466" spans="1:8">
      <c r="A466" s="3">
        <f t="shared" si="7"/>
        <v>10167.950000000012</v>
      </c>
      <c r="H466" s="5" t="str">
        <f>TEXT(Table313[[#This Row],[Value Date]],"mmmm")</f>
        <v>January</v>
      </c>
    </row>
    <row r="467" spans="1:8">
      <c r="A467" s="3">
        <f t="shared" si="7"/>
        <v>10167.950000000012</v>
      </c>
      <c r="H467" s="5" t="str">
        <f>TEXT(Table313[[#This Row],[Value Date]],"mmmm")</f>
        <v>January</v>
      </c>
    </row>
    <row r="468" spans="1:8">
      <c r="A468" s="3">
        <f t="shared" si="7"/>
        <v>10167.950000000012</v>
      </c>
      <c r="H468" s="5" t="str">
        <f>TEXT(Table313[[#This Row],[Value Date]],"mmmm")</f>
        <v>January</v>
      </c>
    </row>
    <row r="469" spans="1:8">
      <c r="A469" s="3">
        <f t="shared" si="7"/>
        <v>10167.950000000012</v>
      </c>
      <c r="H469" s="5" t="str">
        <f>TEXT(Table313[[#This Row],[Value Date]],"mmmm")</f>
        <v>January</v>
      </c>
    </row>
    <row r="470" spans="1:8">
      <c r="A470" s="3">
        <f t="shared" si="7"/>
        <v>10167.950000000012</v>
      </c>
      <c r="H470" s="5" t="str">
        <f>TEXT(Table313[[#This Row],[Value Date]],"mmmm")</f>
        <v>January</v>
      </c>
    </row>
    <row r="471" spans="1:8">
      <c r="A471" s="3">
        <f t="shared" si="7"/>
        <v>10167.950000000012</v>
      </c>
      <c r="H471" s="5" t="str">
        <f>TEXT(Table313[[#This Row],[Value Date]],"mmmm")</f>
        <v>January</v>
      </c>
    </row>
    <row r="472" spans="1:8">
      <c r="A472" s="3">
        <f t="shared" si="7"/>
        <v>10167.950000000012</v>
      </c>
      <c r="H472" s="5" t="str">
        <f>TEXT(Table313[[#This Row],[Value Date]],"mmmm")</f>
        <v>January</v>
      </c>
    </row>
    <row r="473" spans="1:8">
      <c r="A473" s="3">
        <f t="shared" si="7"/>
        <v>10167.950000000012</v>
      </c>
      <c r="H473" s="5" t="str">
        <f>TEXT(Table313[[#This Row],[Value Date]],"mmmm")</f>
        <v>January</v>
      </c>
    </row>
    <row r="474" spans="1:8">
      <c r="A474" s="3">
        <f t="shared" si="7"/>
        <v>10167.950000000012</v>
      </c>
      <c r="H474" s="5" t="str">
        <f>TEXT(Table313[[#This Row],[Value Date]],"mmmm")</f>
        <v>January</v>
      </c>
    </row>
    <row r="475" spans="1:8">
      <c r="A475" s="3">
        <f t="shared" si="7"/>
        <v>10167.950000000012</v>
      </c>
      <c r="H475" s="5" t="str">
        <f>TEXT(Table313[[#This Row],[Value Date]],"mmmm")</f>
        <v>January</v>
      </c>
    </row>
    <row r="476" spans="1:8">
      <c r="A476" s="3">
        <f t="shared" si="7"/>
        <v>10167.950000000012</v>
      </c>
      <c r="H476" s="5" t="str">
        <f>TEXT(Table313[[#This Row],[Value Date]],"mmmm")</f>
        <v>January</v>
      </c>
    </row>
    <row r="477" spans="1:8">
      <c r="A477" s="3">
        <f t="shared" si="7"/>
        <v>10167.950000000012</v>
      </c>
      <c r="H477" s="5" t="str">
        <f>TEXT(Table313[[#This Row],[Value Date]],"mmmm")</f>
        <v>January</v>
      </c>
    </row>
    <row r="478" spans="1:8">
      <c r="A478" s="3">
        <f t="shared" si="7"/>
        <v>10167.950000000012</v>
      </c>
      <c r="H478" s="5" t="str">
        <f>TEXT(Table313[[#This Row],[Value Date]],"mmmm")</f>
        <v>January</v>
      </c>
    </row>
    <row r="479" spans="1:8">
      <c r="A479" s="3">
        <f t="shared" si="7"/>
        <v>10167.950000000012</v>
      </c>
      <c r="H479" s="5" t="str">
        <f>TEXT(Table313[[#This Row],[Value Date]],"mmmm")</f>
        <v>January</v>
      </c>
    </row>
    <row r="480" spans="1:8">
      <c r="A480" s="3">
        <f t="shared" si="7"/>
        <v>10167.950000000012</v>
      </c>
      <c r="H480" s="5" t="str">
        <f>TEXT(Table313[[#This Row],[Value Date]],"mmmm")</f>
        <v>January</v>
      </c>
    </row>
    <row r="481" spans="1:8">
      <c r="A481" s="3">
        <f t="shared" si="7"/>
        <v>10167.950000000012</v>
      </c>
      <c r="H481" s="5" t="str">
        <f>TEXT(Table313[[#This Row],[Value Date]],"mmmm")</f>
        <v>January</v>
      </c>
    </row>
    <row r="482" spans="1:8">
      <c r="A482" s="3">
        <f t="shared" si="7"/>
        <v>10167.950000000012</v>
      </c>
      <c r="H482" s="5" t="str">
        <f>TEXT(Table313[[#This Row],[Value Date]],"mmmm")</f>
        <v>January</v>
      </c>
    </row>
    <row r="483" spans="1:8">
      <c r="A483" s="3">
        <f t="shared" si="7"/>
        <v>10167.950000000012</v>
      </c>
      <c r="H483" s="5" t="str">
        <f>TEXT(Table313[[#This Row],[Value Date]],"mmmm")</f>
        <v>January</v>
      </c>
    </row>
    <row r="484" spans="1:8">
      <c r="A484" s="3">
        <f t="shared" si="7"/>
        <v>10167.950000000012</v>
      </c>
      <c r="H484" s="5" t="str">
        <f>TEXT(Table313[[#This Row],[Value Date]],"mmmm")</f>
        <v>January</v>
      </c>
    </row>
    <row r="485" spans="1:8">
      <c r="A485" s="3">
        <f t="shared" si="7"/>
        <v>10167.950000000012</v>
      </c>
      <c r="H485" s="5" t="str">
        <f>TEXT(Table313[[#This Row],[Value Date]],"mmmm")</f>
        <v>January</v>
      </c>
    </row>
    <row r="486" spans="1:8">
      <c r="A486" s="3">
        <f t="shared" si="7"/>
        <v>10167.950000000012</v>
      </c>
      <c r="H486" s="5" t="str">
        <f>TEXT(Table313[[#This Row],[Value Date]],"mmmm")</f>
        <v>January</v>
      </c>
    </row>
    <row r="487" spans="1:8">
      <c r="A487" s="3">
        <f t="shared" si="7"/>
        <v>10167.950000000012</v>
      </c>
      <c r="H487" s="5" t="str">
        <f>TEXT(Table313[[#This Row],[Value Date]],"mmmm")</f>
        <v>January</v>
      </c>
    </row>
    <row r="488" spans="1:8">
      <c r="A488" s="3">
        <f t="shared" si="7"/>
        <v>10167.950000000012</v>
      </c>
      <c r="H488" s="5" t="str">
        <f>TEXT(Table313[[#This Row],[Value Date]],"mmmm")</f>
        <v>January</v>
      </c>
    </row>
    <row r="489" spans="1:8">
      <c r="A489" s="3">
        <f t="shared" si="7"/>
        <v>10167.950000000012</v>
      </c>
      <c r="H489" s="5" t="str">
        <f>TEXT(Table313[[#This Row],[Value Date]],"mmmm")</f>
        <v>January</v>
      </c>
    </row>
    <row r="490" spans="1:8">
      <c r="A490" s="3">
        <f t="shared" si="7"/>
        <v>10167.950000000012</v>
      </c>
      <c r="H490" s="5" t="str">
        <f>TEXT(Table313[[#This Row],[Value Date]],"mmmm")</f>
        <v>January</v>
      </c>
    </row>
    <row r="491" spans="1:8">
      <c r="A491" s="3">
        <f t="shared" si="7"/>
        <v>10167.950000000012</v>
      </c>
      <c r="H491" s="5" t="str">
        <f>TEXT(Table313[[#This Row],[Value Date]],"mmmm")</f>
        <v>January</v>
      </c>
    </row>
    <row r="492" spans="1:8">
      <c r="A492" s="3">
        <f t="shared" si="7"/>
        <v>10167.950000000012</v>
      </c>
      <c r="H492" s="5" t="str">
        <f>TEXT(Table313[[#This Row],[Value Date]],"mmmm")</f>
        <v>January</v>
      </c>
    </row>
    <row r="493" spans="1:8">
      <c r="A493" s="3">
        <f t="shared" si="7"/>
        <v>10167.950000000012</v>
      </c>
      <c r="H493" s="5" t="str">
        <f>TEXT(Table313[[#This Row],[Value Date]],"mmmm")</f>
        <v>January</v>
      </c>
    </row>
    <row r="494" spans="1:8">
      <c r="A494" s="3">
        <f t="shared" si="7"/>
        <v>10167.950000000012</v>
      </c>
      <c r="H494" s="5" t="str">
        <f>TEXT(Table313[[#This Row],[Value Date]],"mmmm")</f>
        <v>January</v>
      </c>
    </row>
    <row r="495" spans="1:8">
      <c r="A495" s="3">
        <f t="shared" si="7"/>
        <v>10167.950000000012</v>
      </c>
      <c r="H495" s="5" t="str">
        <f>TEXT(Table313[[#This Row],[Value Date]],"mmmm")</f>
        <v>January</v>
      </c>
    </row>
    <row r="496" spans="1:8">
      <c r="A496" s="3">
        <f t="shared" si="7"/>
        <v>10167.950000000012</v>
      </c>
      <c r="H496" s="5" t="str">
        <f>TEXT(Table313[[#This Row],[Value Date]],"mmmm")</f>
        <v>January</v>
      </c>
    </row>
    <row r="497" spans="1:8">
      <c r="A497" s="3">
        <f t="shared" si="7"/>
        <v>10167.950000000012</v>
      </c>
      <c r="H497" s="5" t="str">
        <f>TEXT(Table313[[#This Row],[Value Date]],"mmmm")</f>
        <v>January</v>
      </c>
    </row>
    <row r="498" spans="1:8">
      <c r="A498" s="3">
        <f t="shared" si="7"/>
        <v>10167.950000000012</v>
      </c>
      <c r="H498" s="5" t="str">
        <f>TEXT(Table313[[#This Row],[Value Date]],"mmmm")</f>
        <v>January</v>
      </c>
    </row>
    <row r="499" spans="1:8">
      <c r="A499" s="3">
        <f t="shared" si="7"/>
        <v>10167.950000000012</v>
      </c>
      <c r="H499" s="5" t="str">
        <f>TEXT(Table313[[#This Row],[Value Date]],"mmmm")</f>
        <v>January</v>
      </c>
    </row>
    <row r="500" spans="1:8">
      <c r="A500" s="3">
        <f t="shared" si="7"/>
        <v>10167.950000000012</v>
      </c>
      <c r="H500" s="5" t="str">
        <f>TEXT(Table313[[#This Row],[Value Date]],"mmmm")</f>
        <v>January</v>
      </c>
    </row>
    <row r="501" spans="1:8">
      <c r="A501" s="3">
        <f t="shared" si="7"/>
        <v>10167.950000000012</v>
      </c>
      <c r="H501" s="5" t="str">
        <f>TEXT(Table313[[#This Row],[Value Date]],"mmmm")</f>
        <v>January</v>
      </c>
    </row>
    <row r="502" spans="1:8">
      <c r="A502" s="3">
        <f t="shared" si="7"/>
        <v>10167.950000000012</v>
      </c>
      <c r="H502" s="5" t="str">
        <f>TEXT(Table313[[#This Row],[Value Date]],"mmmm")</f>
        <v>January</v>
      </c>
    </row>
    <row r="503" spans="1:8">
      <c r="A503" s="3">
        <f t="shared" si="7"/>
        <v>10167.950000000012</v>
      </c>
      <c r="H503" s="5" t="str">
        <f>TEXT(Table313[[#This Row],[Value Date]],"mmmm")</f>
        <v>January</v>
      </c>
    </row>
    <row r="504" spans="1:8">
      <c r="A504" s="3">
        <f t="shared" si="7"/>
        <v>10167.950000000012</v>
      </c>
      <c r="H504" s="5" t="str">
        <f>TEXT(Table313[[#This Row],[Value Date]],"mmmm")</f>
        <v>January</v>
      </c>
    </row>
    <row r="505" spans="1:8">
      <c r="A505" s="3">
        <f t="shared" si="7"/>
        <v>10167.950000000012</v>
      </c>
      <c r="H505" s="5" t="str">
        <f>TEXT(Table313[[#This Row],[Value Date]],"mmmm")</f>
        <v>January</v>
      </c>
    </row>
    <row r="506" spans="1:8">
      <c r="A506" s="3">
        <f t="shared" si="7"/>
        <v>10167.950000000012</v>
      </c>
      <c r="H506" s="5" t="str">
        <f>TEXT(Table313[[#This Row],[Value Date]],"mmmm")</f>
        <v>January</v>
      </c>
    </row>
    <row r="507" spans="1:8">
      <c r="A507" s="3">
        <f t="shared" si="7"/>
        <v>10167.950000000012</v>
      </c>
      <c r="H507" s="5" t="str">
        <f>TEXT(Table313[[#This Row],[Value Date]],"mmmm")</f>
        <v>January</v>
      </c>
    </row>
    <row r="508" spans="1:8">
      <c r="A508" s="3">
        <f t="shared" si="7"/>
        <v>10167.950000000012</v>
      </c>
      <c r="H508" s="5" t="str">
        <f>TEXT(Table313[[#This Row],[Value Date]],"mmmm")</f>
        <v>January</v>
      </c>
    </row>
    <row r="509" spans="1:8">
      <c r="A509" s="3">
        <f t="shared" si="7"/>
        <v>10167.950000000012</v>
      </c>
      <c r="H509" s="5" t="str">
        <f>TEXT(Table313[[#This Row],[Value Date]],"mmmm")</f>
        <v>January</v>
      </c>
    </row>
    <row r="510" spans="1:8">
      <c r="A510" s="3">
        <f t="shared" si="7"/>
        <v>10167.950000000012</v>
      </c>
      <c r="H510" s="5" t="str">
        <f>TEXT(Table313[[#This Row],[Value Date]],"mmmm")</f>
        <v>January</v>
      </c>
    </row>
    <row r="511" spans="1:8">
      <c r="A511" s="3">
        <f t="shared" si="7"/>
        <v>10167.950000000012</v>
      </c>
      <c r="H511" s="5" t="str">
        <f>TEXT(Table313[[#This Row],[Value Date]],"mmmm")</f>
        <v>January</v>
      </c>
    </row>
    <row r="512" spans="1:8">
      <c r="A512" s="3">
        <f t="shared" si="7"/>
        <v>10167.950000000012</v>
      </c>
      <c r="H512" s="5" t="str">
        <f>TEXT(Table313[[#This Row],[Value Date]],"mmmm")</f>
        <v>January</v>
      </c>
    </row>
    <row r="513" spans="1:8">
      <c r="A513" s="3">
        <f t="shared" si="7"/>
        <v>10167.950000000012</v>
      </c>
      <c r="H513" s="5" t="str">
        <f>TEXT(Table313[[#This Row],[Value Date]],"mmmm")</f>
        <v>January</v>
      </c>
    </row>
    <row r="514" spans="1:8">
      <c r="A514" s="3">
        <f t="shared" si="7"/>
        <v>10167.950000000012</v>
      </c>
      <c r="H514" s="5" t="str">
        <f>TEXT(Table313[[#This Row],[Value Date]],"mmmm")</f>
        <v>January</v>
      </c>
    </row>
    <row r="515" spans="1:8">
      <c r="A515" s="3">
        <f t="shared" si="7"/>
        <v>10167.950000000012</v>
      </c>
      <c r="H515" s="5" t="str">
        <f>TEXT(Table313[[#This Row],[Value Date]],"mmmm")</f>
        <v>January</v>
      </c>
    </row>
    <row r="516" spans="1:8">
      <c r="A516" s="3">
        <f t="shared" si="7"/>
        <v>10167.950000000012</v>
      </c>
      <c r="H516" s="5" t="str">
        <f>TEXT(Table313[[#This Row],[Value Date]],"mmmm")</f>
        <v>January</v>
      </c>
    </row>
    <row r="517" spans="1:8">
      <c r="A517" s="3">
        <f t="shared" si="7"/>
        <v>10167.950000000012</v>
      </c>
      <c r="H517" s="5" t="str">
        <f>TEXT(Table313[[#This Row],[Value Date]],"mmmm")</f>
        <v>January</v>
      </c>
    </row>
    <row r="518" spans="1:8">
      <c r="A518" s="3">
        <f t="shared" ref="A518:A581" si="8">A517+B518-C518</f>
        <v>10167.950000000012</v>
      </c>
      <c r="H518" s="5" t="str">
        <f>TEXT(Table313[[#This Row],[Value Date]],"mmmm")</f>
        <v>January</v>
      </c>
    </row>
    <row r="519" spans="1:8">
      <c r="A519" s="3">
        <f t="shared" si="8"/>
        <v>10167.950000000012</v>
      </c>
      <c r="H519" s="5" t="str">
        <f>TEXT(Table313[[#This Row],[Value Date]],"mmmm")</f>
        <v>January</v>
      </c>
    </row>
    <row r="520" spans="1:8">
      <c r="A520" s="3">
        <f t="shared" si="8"/>
        <v>10167.950000000012</v>
      </c>
      <c r="H520" s="5" t="str">
        <f>TEXT(Table313[[#This Row],[Value Date]],"mmmm")</f>
        <v>January</v>
      </c>
    </row>
    <row r="521" spans="1:8">
      <c r="A521" s="3">
        <f t="shared" si="8"/>
        <v>10167.950000000012</v>
      </c>
      <c r="H521" s="5" t="str">
        <f>TEXT(Table313[[#This Row],[Value Date]],"mmmm")</f>
        <v>January</v>
      </c>
    </row>
    <row r="522" spans="1:8">
      <c r="A522" s="3">
        <f t="shared" si="8"/>
        <v>10167.950000000012</v>
      </c>
      <c r="H522" s="5" t="str">
        <f>TEXT(Table313[[#This Row],[Value Date]],"mmmm")</f>
        <v>January</v>
      </c>
    </row>
    <row r="523" spans="1:8">
      <c r="A523" s="3">
        <f t="shared" si="8"/>
        <v>10167.950000000012</v>
      </c>
      <c r="H523" s="5" t="str">
        <f>TEXT(Table313[[#This Row],[Value Date]],"mmmm")</f>
        <v>January</v>
      </c>
    </row>
    <row r="524" spans="1:8">
      <c r="A524" s="3">
        <f t="shared" si="8"/>
        <v>10167.950000000012</v>
      </c>
      <c r="H524" s="5" t="str">
        <f>TEXT(Table313[[#This Row],[Value Date]],"mmmm")</f>
        <v>January</v>
      </c>
    </row>
    <row r="525" spans="1:8">
      <c r="A525" s="3">
        <f t="shared" si="8"/>
        <v>10167.950000000012</v>
      </c>
      <c r="H525" s="5" t="str">
        <f>TEXT(Table313[[#This Row],[Value Date]],"mmmm")</f>
        <v>January</v>
      </c>
    </row>
    <row r="526" spans="1:8">
      <c r="A526" s="3">
        <f t="shared" si="8"/>
        <v>10167.950000000012</v>
      </c>
      <c r="H526" s="5" t="str">
        <f>TEXT(Table313[[#This Row],[Value Date]],"mmmm")</f>
        <v>January</v>
      </c>
    </row>
    <row r="527" spans="1:8">
      <c r="A527" s="3">
        <f t="shared" si="8"/>
        <v>10167.950000000012</v>
      </c>
      <c r="H527" s="5" t="str">
        <f>TEXT(Table313[[#This Row],[Value Date]],"mmmm")</f>
        <v>January</v>
      </c>
    </row>
    <row r="528" spans="1:8">
      <c r="A528" s="3">
        <f t="shared" si="8"/>
        <v>10167.950000000012</v>
      </c>
      <c r="H528" s="5" t="str">
        <f>TEXT(Table313[[#This Row],[Value Date]],"mmmm")</f>
        <v>January</v>
      </c>
    </row>
    <row r="529" spans="1:8">
      <c r="A529" s="3">
        <f t="shared" si="8"/>
        <v>10167.950000000012</v>
      </c>
      <c r="H529" s="5" t="str">
        <f>TEXT(Table313[[#This Row],[Value Date]],"mmmm")</f>
        <v>January</v>
      </c>
    </row>
    <row r="530" spans="1:8">
      <c r="A530" s="3">
        <f t="shared" si="8"/>
        <v>10167.950000000012</v>
      </c>
      <c r="H530" s="5" t="str">
        <f>TEXT(Table313[[#This Row],[Value Date]],"mmmm")</f>
        <v>January</v>
      </c>
    </row>
    <row r="531" spans="1:8">
      <c r="A531" s="3">
        <f t="shared" si="8"/>
        <v>10167.950000000012</v>
      </c>
      <c r="H531" s="5" t="str">
        <f>TEXT(Table313[[#This Row],[Value Date]],"mmmm")</f>
        <v>January</v>
      </c>
    </row>
    <row r="532" spans="1:8">
      <c r="A532" s="3">
        <f t="shared" si="8"/>
        <v>10167.950000000012</v>
      </c>
      <c r="H532" s="5" t="str">
        <f>TEXT(Table313[[#This Row],[Value Date]],"mmmm")</f>
        <v>January</v>
      </c>
    </row>
    <row r="533" spans="1:8">
      <c r="A533" s="3">
        <f t="shared" si="8"/>
        <v>10167.950000000012</v>
      </c>
      <c r="H533" s="5" t="str">
        <f>TEXT(Table313[[#This Row],[Value Date]],"mmmm")</f>
        <v>January</v>
      </c>
    </row>
    <row r="534" spans="1:8">
      <c r="A534" s="3">
        <f t="shared" si="8"/>
        <v>10167.950000000012</v>
      </c>
      <c r="H534" s="5" t="str">
        <f>TEXT(Table313[[#This Row],[Value Date]],"mmmm")</f>
        <v>January</v>
      </c>
    </row>
    <row r="535" spans="1:8">
      <c r="A535" s="3">
        <f t="shared" si="8"/>
        <v>10167.950000000012</v>
      </c>
      <c r="H535" s="5" t="str">
        <f>TEXT(Table313[[#This Row],[Value Date]],"mmmm")</f>
        <v>January</v>
      </c>
    </row>
    <row r="536" spans="1:8">
      <c r="A536" s="3">
        <f t="shared" si="8"/>
        <v>10167.950000000012</v>
      </c>
      <c r="H536" s="5" t="str">
        <f>TEXT(Table313[[#This Row],[Value Date]],"mmmm")</f>
        <v>January</v>
      </c>
    </row>
    <row r="537" spans="1:8">
      <c r="A537" s="3">
        <f t="shared" si="8"/>
        <v>10167.950000000012</v>
      </c>
      <c r="H537" s="5" t="str">
        <f>TEXT(Table313[[#This Row],[Value Date]],"mmmm")</f>
        <v>January</v>
      </c>
    </row>
    <row r="538" spans="1:8">
      <c r="A538" s="3">
        <f t="shared" si="8"/>
        <v>10167.950000000012</v>
      </c>
      <c r="H538" s="5" t="str">
        <f>TEXT(Table313[[#This Row],[Value Date]],"mmmm")</f>
        <v>January</v>
      </c>
    </row>
    <row r="539" spans="1:8">
      <c r="A539" s="3">
        <f t="shared" si="8"/>
        <v>10167.950000000012</v>
      </c>
      <c r="H539" s="5" t="str">
        <f>TEXT(Table313[[#This Row],[Value Date]],"mmmm")</f>
        <v>January</v>
      </c>
    </row>
    <row r="540" spans="1:8">
      <c r="A540" s="3">
        <f t="shared" si="8"/>
        <v>10167.950000000012</v>
      </c>
      <c r="H540" s="5" t="str">
        <f>TEXT(Table313[[#This Row],[Value Date]],"mmmm")</f>
        <v>January</v>
      </c>
    </row>
    <row r="541" spans="1:8">
      <c r="A541" s="3">
        <f t="shared" si="8"/>
        <v>10167.950000000012</v>
      </c>
      <c r="H541" s="5" t="str">
        <f>TEXT(Table313[[#This Row],[Value Date]],"mmmm")</f>
        <v>January</v>
      </c>
    </row>
    <row r="542" spans="1:8">
      <c r="A542" s="3">
        <f t="shared" si="8"/>
        <v>10167.950000000012</v>
      </c>
      <c r="H542" s="5" t="str">
        <f>TEXT(Table313[[#This Row],[Value Date]],"mmmm")</f>
        <v>January</v>
      </c>
    </row>
    <row r="543" spans="1:8">
      <c r="A543" s="3">
        <f t="shared" si="8"/>
        <v>10167.950000000012</v>
      </c>
      <c r="H543" s="5" t="str">
        <f>TEXT(Table313[[#This Row],[Value Date]],"mmmm")</f>
        <v>January</v>
      </c>
    </row>
    <row r="544" spans="1:8">
      <c r="A544" s="3">
        <f t="shared" si="8"/>
        <v>10167.950000000012</v>
      </c>
      <c r="H544" s="5" t="str">
        <f>TEXT(Table313[[#This Row],[Value Date]],"mmmm")</f>
        <v>January</v>
      </c>
    </row>
    <row r="545" spans="1:8">
      <c r="A545" s="3">
        <f t="shared" si="8"/>
        <v>10167.950000000012</v>
      </c>
      <c r="H545" s="5" t="str">
        <f>TEXT(Table313[[#This Row],[Value Date]],"mmmm")</f>
        <v>January</v>
      </c>
    </row>
    <row r="546" spans="1:8">
      <c r="A546" s="3">
        <f t="shared" si="8"/>
        <v>10167.950000000012</v>
      </c>
      <c r="H546" s="5" t="str">
        <f>TEXT(Table313[[#This Row],[Value Date]],"mmmm")</f>
        <v>January</v>
      </c>
    </row>
    <row r="547" spans="1:8">
      <c r="A547" s="3">
        <f t="shared" si="8"/>
        <v>10167.950000000012</v>
      </c>
      <c r="H547" s="5" t="str">
        <f>TEXT(Table313[[#This Row],[Value Date]],"mmmm")</f>
        <v>January</v>
      </c>
    </row>
    <row r="548" spans="1:8">
      <c r="A548" s="3">
        <f t="shared" si="8"/>
        <v>10167.950000000012</v>
      </c>
      <c r="H548" s="5" t="str">
        <f>TEXT(Table313[[#This Row],[Value Date]],"mmmm")</f>
        <v>January</v>
      </c>
    </row>
    <row r="549" spans="1:8">
      <c r="A549" s="3">
        <f t="shared" si="8"/>
        <v>10167.950000000012</v>
      </c>
      <c r="H549" s="5" t="str">
        <f>TEXT(Table313[[#This Row],[Value Date]],"mmmm")</f>
        <v>January</v>
      </c>
    </row>
    <row r="550" spans="1:8">
      <c r="A550" s="3">
        <f t="shared" si="8"/>
        <v>10167.950000000012</v>
      </c>
      <c r="H550" s="5" t="str">
        <f>TEXT(Table313[[#This Row],[Value Date]],"mmmm")</f>
        <v>January</v>
      </c>
    </row>
    <row r="551" spans="1:8">
      <c r="A551" s="3">
        <f t="shared" si="8"/>
        <v>10167.950000000012</v>
      </c>
      <c r="H551" s="5" t="str">
        <f>TEXT(Table313[[#This Row],[Value Date]],"mmmm")</f>
        <v>January</v>
      </c>
    </row>
    <row r="552" spans="1:8">
      <c r="A552" s="3">
        <f t="shared" si="8"/>
        <v>10167.950000000012</v>
      </c>
      <c r="H552" s="5" t="str">
        <f>TEXT(Table313[[#This Row],[Value Date]],"mmmm")</f>
        <v>January</v>
      </c>
    </row>
    <row r="553" spans="1:8">
      <c r="A553" s="3">
        <f t="shared" si="8"/>
        <v>10167.950000000012</v>
      </c>
      <c r="H553" s="5" t="str">
        <f>TEXT(Table313[[#This Row],[Value Date]],"mmmm")</f>
        <v>January</v>
      </c>
    </row>
    <row r="554" spans="1:8">
      <c r="A554" s="3">
        <f t="shared" si="8"/>
        <v>10167.950000000012</v>
      </c>
      <c r="H554" s="5" t="str">
        <f>TEXT(Table313[[#This Row],[Value Date]],"mmmm")</f>
        <v>January</v>
      </c>
    </row>
    <row r="555" spans="1:8">
      <c r="A555" s="3">
        <f t="shared" si="8"/>
        <v>10167.950000000012</v>
      </c>
      <c r="H555" s="5" t="str">
        <f>TEXT(Table313[[#This Row],[Value Date]],"mmmm")</f>
        <v>January</v>
      </c>
    </row>
    <row r="556" spans="1:8">
      <c r="A556" s="3">
        <f t="shared" si="8"/>
        <v>10167.950000000012</v>
      </c>
      <c r="H556" s="5" t="str">
        <f>TEXT(Table313[[#This Row],[Value Date]],"mmmm")</f>
        <v>January</v>
      </c>
    </row>
    <row r="557" spans="1:8">
      <c r="A557" s="3">
        <f t="shared" si="8"/>
        <v>10167.950000000012</v>
      </c>
      <c r="H557" s="5" t="str">
        <f>TEXT(Table313[[#This Row],[Value Date]],"mmmm")</f>
        <v>January</v>
      </c>
    </row>
    <row r="558" spans="1:8">
      <c r="A558" s="3">
        <f t="shared" si="8"/>
        <v>10167.950000000012</v>
      </c>
      <c r="H558" s="5" t="str">
        <f>TEXT(Table313[[#This Row],[Value Date]],"mmmm")</f>
        <v>January</v>
      </c>
    </row>
    <row r="559" spans="1:8">
      <c r="A559" s="3">
        <f t="shared" si="8"/>
        <v>10167.950000000012</v>
      </c>
      <c r="H559" s="5" t="str">
        <f>TEXT(Table313[[#This Row],[Value Date]],"mmmm")</f>
        <v>January</v>
      </c>
    </row>
    <row r="560" spans="1:8">
      <c r="A560" s="3">
        <f t="shared" si="8"/>
        <v>10167.950000000012</v>
      </c>
      <c r="H560" s="5" t="str">
        <f>TEXT(Table313[[#This Row],[Value Date]],"mmmm")</f>
        <v>January</v>
      </c>
    </row>
    <row r="561" spans="1:8">
      <c r="A561" s="3">
        <f t="shared" si="8"/>
        <v>10167.950000000012</v>
      </c>
      <c r="H561" s="5" t="str">
        <f>TEXT(Table313[[#This Row],[Value Date]],"mmmm")</f>
        <v>January</v>
      </c>
    </row>
    <row r="562" spans="1:8">
      <c r="A562" s="3">
        <f t="shared" si="8"/>
        <v>10167.950000000012</v>
      </c>
      <c r="H562" s="5" t="str">
        <f>TEXT(Table313[[#This Row],[Value Date]],"mmmm")</f>
        <v>January</v>
      </c>
    </row>
    <row r="563" spans="1:8">
      <c r="A563" s="3">
        <f t="shared" si="8"/>
        <v>10167.950000000012</v>
      </c>
      <c r="H563" s="5" t="str">
        <f>TEXT(Table313[[#This Row],[Value Date]],"mmmm")</f>
        <v>January</v>
      </c>
    </row>
    <row r="564" spans="1:8">
      <c r="A564" s="3">
        <f t="shared" si="8"/>
        <v>10167.950000000012</v>
      </c>
      <c r="H564" s="5" t="str">
        <f>TEXT(Table313[[#This Row],[Value Date]],"mmmm")</f>
        <v>January</v>
      </c>
    </row>
    <row r="565" spans="1:8">
      <c r="A565" s="3">
        <f t="shared" si="8"/>
        <v>10167.950000000012</v>
      </c>
      <c r="H565" s="5" t="str">
        <f>TEXT(Table313[[#This Row],[Value Date]],"mmmm")</f>
        <v>January</v>
      </c>
    </row>
    <row r="566" spans="1:8">
      <c r="A566" s="3">
        <f t="shared" si="8"/>
        <v>10167.950000000012</v>
      </c>
      <c r="H566" s="5" t="str">
        <f>TEXT(Table313[[#This Row],[Value Date]],"mmmm")</f>
        <v>January</v>
      </c>
    </row>
    <row r="567" spans="1:8">
      <c r="A567" s="3">
        <f t="shared" si="8"/>
        <v>10167.950000000012</v>
      </c>
      <c r="H567" s="5" t="str">
        <f>TEXT(Table313[[#This Row],[Value Date]],"mmmm")</f>
        <v>January</v>
      </c>
    </row>
    <row r="568" spans="1:8">
      <c r="A568" s="3">
        <f t="shared" si="8"/>
        <v>10167.950000000012</v>
      </c>
      <c r="H568" s="5" t="str">
        <f>TEXT(Table313[[#This Row],[Value Date]],"mmmm")</f>
        <v>January</v>
      </c>
    </row>
    <row r="569" spans="1:8">
      <c r="A569" s="3">
        <f t="shared" si="8"/>
        <v>10167.950000000012</v>
      </c>
      <c r="H569" s="5" t="str">
        <f>TEXT(Table313[[#This Row],[Value Date]],"mmmm")</f>
        <v>January</v>
      </c>
    </row>
    <row r="570" spans="1:8">
      <c r="A570" s="3">
        <f t="shared" si="8"/>
        <v>10167.950000000012</v>
      </c>
      <c r="H570" s="5" t="str">
        <f>TEXT(Table313[[#This Row],[Value Date]],"mmmm")</f>
        <v>January</v>
      </c>
    </row>
    <row r="571" spans="1:8">
      <c r="A571" s="3">
        <f t="shared" si="8"/>
        <v>10167.950000000012</v>
      </c>
      <c r="H571" s="5" t="str">
        <f>TEXT(Table313[[#This Row],[Value Date]],"mmmm")</f>
        <v>January</v>
      </c>
    </row>
    <row r="572" spans="1:8">
      <c r="A572" s="3">
        <f t="shared" si="8"/>
        <v>10167.950000000012</v>
      </c>
      <c r="H572" s="5" t="str">
        <f>TEXT(Table313[[#This Row],[Value Date]],"mmmm")</f>
        <v>January</v>
      </c>
    </row>
    <row r="573" spans="1:8">
      <c r="A573" s="3">
        <f t="shared" si="8"/>
        <v>10167.950000000012</v>
      </c>
      <c r="H573" s="5" t="str">
        <f>TEXT(Table313[[#This Row],[Value Date]],"mmmm")</f>
        <v>January</v>
      </c>
    </row>
    <row r="574" spans="1:8">
      <c r="A574" s="3">
        <f t="shared" si="8"/>
        <v>10167.950000000012</v>
      </c>
      <c r="H574" s="5" t="str">
        <f>TEXT(Table313[[#This Row],[Value Date]],"mmmm")</f>
        <v>January</v>
      </c>
    </row>
    <row r="575" spans="1:8">
      <c r="A575" s="3">
        <f t="shared" si="8"/>
        <v>10167.950000000012</v>
      </c>
      <c r="H575" s="5" t="str">
        <f>TEXT(Table313[[#This Row],[Value Date]],"mmmm")</f>
        <v>January</v>
      </c>
    </row>
    <row r="576" spans="1:8">
      <c r="A576" s="3">
        <f t="shared" si="8"/>
        <v>10167.950000000012</v>
      </c>
      <c r="H576" s="5" t="str">
        <f>TEXT(Table313[[#This Row],[Value Date]],"mmmm")</f>
        <v>January</v>
      </c>
    </row>
    <row r="577" spans="1:8">
      <c r="A577" s="3">
        <f t="shared" si="8"/>
        <v>10167.950000000012</v>
      </c>
      <c r="H577" s="5" t="str">
        <f>TEXT(Table313[[#This Row],[Value Date]],"mmmm")</f>
        <v>January</v>
      </c>
    </row>
    <row r="578" spans="1:8">
      <c r="A578" s="3">
        <f t="shared" si="8"/>
        <v>10167.950000000012</v>
      </c>
      <c r="H578" s="5" t="str">
        <f>TEXT(Table313[[#This Row],[Value Date]],"mmmm")</f>
        <v>January</v>
      </c>
    </row>
    <row r="579" spans="1:8">
      <c r="A579" s="3">
        <f t="shared" si="8"/>
        <v>10167.950000000012</v>
      </c>
      <c r="H579" s="5" t="str">
        <f>TEXT(Table313[[#This Row],[Value Date]],"mmmm")</f>
        <v>January</v>
      </c>
    </row>
    <row r="580" spans="1:8">
      <c r="A580" s="3">
        <f t="shared" si="8"/>
        <v>10167.950000000012</v>
      </c>
      <c r="H580" s="5" t="str">
        <f>TEXT(Table313[[#This Row],[Value Date]],"mmmm")</f>
        <v>January</v>
      </c>
    </row>
    <row r="581" spans="1:8">
      <c r="A581" s="3">
        <f t="shared" si="8"/>
        <v>10167.950000000012</v>
      </c>
      <c r="H581" s="5" t="str">
        <f>TEXT(Table313[[#This Row],[Value Date]],"mmmm")</f>
        <v>January</v>
      </c>
    </row>
    <row r="582" spans="1:8">
      <c r="A582" s="3">
        <f t="shared" ref="A582:A645" si="9">A581+B582-C582</f>
        <v>10167.950000000012</v>
      </c>
      <c r="H582" s="5" t="str">
        <f>TEXT(Table313[[#This Row],[Value Date]],"mmmm")</f>
        <v>January</v>
      </c>
    </row>
    <row r="583" spans="1:8">
      <c r="A583" s="3">
        <f t="shared" si="9"/>
        <v>10167.950000000012</v>
      </c>
      <c r="H583" s="5" t="str">
        <f>TEXT(Table313[[#This Row],[Value Date]],"mmmm")</f>
        <v>January</v>
      </c>
    </row>
    <row r="584" spans="1:8">
      <c r="A584" s="3">
        <f t="shared" si="9"/>
        <v>10167.950000000012</v>
      </c>
      <c r="H584" s="5" t="str">
        <f>TEXT(Table313[[#This Row],[Value Date]],"mmmm")</f>
        <v>January</v>
      </c>
    </row>
    <row r="585" spans="1:8">
      <c r="A585" s="3">
        <f t="shared" si="9"/>
        <v>10167.950000000012</v>
      </c>
      <c r="H585" s="5" t="str">
        <f>TEXT(Table313[[#This Row],[Value Date]],"mmmm")</f>
        <v>January</v>
      </c>
    </row>
    <row r="586" spans="1:8">
      <c r="A586" s="3">
        <f t="shared" si="9"/>
        <v>10167.950000000012</v>
      </c>
      <c r="H586" s="5" t="str">
        <f>TEXT(Table313[[#This Row],[Value Date]],"mmmm")</f>
        <v>January</v>
      </c>
    </row>
    <row r="587" spans="1:8">
      <c r="A587" s="3">
        <f t="shared" si="9"/>
        <v>10167.950000000012</v>
      </c>
      <c r="H587" s="5" t="str">
        <f>TEXT(Table313[[#This Row],[Value Date]],"mmmm")</f>
        <v>January</v>
      </c>
    </row>
    <row r="588" spans="1:8">
      <c r="A588" s="3">
        <f t="shared" si="9"/>
        <v>10167.950000000012</v>
      </c>
      <c r="H588" s="5" t="str">
        <f>TEXT(Table313[[#This Row],[Value Date]],"mmmm")</f>
        <v>January</v>
      </c>
    </row>
    <row r="589" spans="1:8">
      <c r="A589" s="3">
        <f t="shared" si="9"/>
        <v>10167.950000000012</v>
      </c>
      <c r="H589" s="5" t="str">
        <f>TEXT(Table313[[#This Row],[Value Date]],"mmmm")</f>
        <v>January</v>
      </c>
    </row>
    <row r="590" spans="1:8">
      <c r="A590" s="3">
        <f t="shared" si="9"/>
        <v>10167.950000000012</v>
      </c>
      <c r="H590" s="5" t="str">
        <f>TEXT(Table313[[#This Row],[Value Date]],"mmmm")</f>
        <v>January</v>
      </c>
    </row>
    <row r="591" spans="1:8">
      <c r="A591" s="3">
        <f t="shared" si="9"/>
        <v>10167.950000000012</v>
      </c>
      <c r="H591" s="5" t="str">
        <f>TEXT(Table313[[#This Row],[Value Date]],"mmmm")</f>
        <v>January</v>
      </c>
    </row>
    <row r="592" spans="1:8">
      <c r="A592" s="3">
        <f t="shared" si="9"/>
        <v>10167.950000000012</v>
      </c>
      <c r="H592" s="5" t="str">
        <f>TEXT(Table313[[#This Row],[Value Date]],"mmmm")</f>
        <v>January</v>
      </c>
    </row>
    <row r="593" spans="1:8">
      <c r="A593" s="3">
        <f t="shared" si="9"/>
        <v>10167.950000000012</v>
      </c>
      <c r="H593" s="5" t="str">
        <f>TEXT(Table313[[#This Row],[Value Date]],"mmmm")</f>
        <v>January</v>
      </c>
    </row>
    <row r="594" spans="1:8">
      <c r="A594" s="3">
        <f t="shared" si="9"/>
        <v>10167.950000000012</v>
      </c>
      <c r="H594" s="5" t="str">
        <f>TEXT(Table313[[#This Row],[Value Date]],"mmmm")</f>
        <v>January</v>
      </c>
    </row>
    <row r="595" spans="1:8">
      <c r="A595" s="3">
        <f t="shared" si="9"/>
        <v>10167.950000000012</v>
      </c>
      <c r="H595" s="5" t="str">
        <f>TEXT(Table313[[#This Row],[Value Date]],"mmmm")</f>
        <v>January</v>
      </c>
    </row>
    <row r="596" spans="1:8">
      <c r="A596" s="3">
        <f t="shared" si="9"/>
        <v>10167.950000000012</v>
      </c>
      <c r="H596" s="5" t="str">
        <f>TEXT(Table313[[#This Row],[Value Date]],"mmmm")</f>
        <v>January</v>
      </c>
    </row>
    <row r="597" spans="1:8">
      <c r="A597" s="3">
        <f t="shared" si="9"/>
        <v>10167.950000000012</v>
      </c>
      <c r="H597" s="5" t="str">
        <f>TEXT(Table313[[#This Row],[Value Date]],"mmmm")</f>
        <v>January</v>
      </c>
    </row>
    <row r="598" spans="1:8">
      <c r="A598" s="3">
        <f t="shared" si="9"/>
        <v>10167.950000000012</v>
      </c>
      <c r="H598" s="5" t="str">
        <f>TEXT(Table313[[#This Row],[Value Date]],"mmmm")</f>
        <v>January</v>
      </c>
    </row>
    <row r="599" spans="1:8">
      <c r="A599" s="3">
        <f t="shared" si="9"/>
        <v>10167.950000000012</v>
      </c>
      <c r="H599" s="5" t="str">
        <f>TEXT(Table313[[#This Row],[Value Date]],"mmmm")</f>
        <v>January</v>
      </c>
    </row>
    <row r="600" spans="1:8">
      <c r="A600" s="3">
        <f t="shared" si="9"/>
        <v>10167.950000000012</v>
      </c>
      <c r="H600" s="5" t="str">
        <f>TEXT(Table313[[#This Row],[Value Date]],"mmmm")</f>
        <v>January</v>
      </c>
    </row>
    <row r="601" spans="1:8">
      <c r="A601" s="3">
        <f t="shared" si="9"/>
        <v>10167.950000000012</v>
      </c>
      <c r="H601" s="5" t="str">
        <f>TEXT(Table313[[#This Row],[Value Date]],"mmmm")</f>
        <v>January</v>
      </c>
    </row>
    <row r="602" spans="1:8">
      <c r="A602" s="3">
        <f t="shared" si="9"/>
        <v>10167.950000000012</v>
      </c>
      <c r="H602" s="5" t="str">
        <f>TEXT(Table313[[#This Row],[Value Date]],"mmmm")</f>
        <v>January</v>
      </c>
    </row>
    <row r="603" spans="1:8">
      <c r="A603" s="3">
        <f t="shared" si="9"/>
        <v>10167.950000000012</v>
      </c>
      <c r="H603" s="5" t="str">
        <f>TEXT(Table313[[#This Row],[Value Date]],"mmmm")</f>
        <v>January</v>
      </c>
    </row>
    <row r="604" spans="1:8">
      <c r="A604" s="3">
        <f t="shared" si="9"/>
        <v>10167.950000000012</v>
      </c>
      <c r="H604" s="5" t="str">
        <f>TEXT(Table313[[#This Row],[Value Date]],"mmmm")</f>
        <v>January</v>
      </c>
    </row>
    <row r="605" spans="1:8">
      <c r="A605" s="3">
        <f t="shared" si="9"/>
        <v>10167.950000000012</v>
      </c>
      <c r="H605" s="5" t="str">
        <f>TEXT(Table313[[#This Row],[Value Date]],"mmmm")</f>
        <v>January</v>
      </c>
    </row>
    <row r="606" spans="1:8">
      <c r="A606" s="3">
        <f t="shared" si="9"/>
        <v>10167.950000000012</v>
      </c>
      <c r="H606" s="5" t="str">
        <f>TEXT(Table313[[#This Row],[Value Date]],"mmmm")</f>
        <v>January</v>
      </c>
    </row>
    <row r="607" spans="1:8">
      <c r="A607" s="3">
        <f t="shared" si="9"/>
        <v>10167.950000000012</v>
      </c>
      <c r="H607" s="5" t="str">
        <f>TEXT(Table313[[#This Row],[Value Date]],"mmmm")</f>
        <v>January</v>
      </c>
    </row>
    <row r="608" spans="1:8">
      <c r="A608" s="3">
        <f t="shared" si="9"/>
        <v>10167.950000000012</v>
      </c>
      <c r="H608" s="5" t="str">
        <f>TEXT(Table313[[#This Row],[Value Date]],"mmmm")</f>
        <v>January</v>
      </c>
    </row>
    <row r="609" spans="1:8">
      <c r="A609" s="3">
        <f t="shared" si="9"/>
        <v>10167.950000000012</v>
      </c>
      <c r="H609" s="5" t="str">
        <f>TEXT(Table313[[#This Row],[Value Date]],"mmmm")</f>
        <v>January</v>
      </c>
    </row>
    <row r="610" spans="1:8">
      <c r="A610" s="3">
        <f t="shared" si="9"/>
        <v>10167.950000000012</v>
      </c>
      <c r="H610" s="5" t="str">
        <f>TEXT(Table313[[#This Row],[Value Date]],"mmmm")</f>
        <v>January</v>
      </c>
    </row>
    <row r="611" spans="1:8">
      <c r="A611" s="3">
        <f t="shared" si="9"/>
        <v>10167.950000000012</v>
      </c>
      <c r="H611" s="5" t="str">
        <f>TEXT(Table313[[#This Row],[Value Date]],"mmmm")</f>
        <v>January</v>
      </c>
    </row>
    <row r="612" spans="1:8">
      <c r="A612" s="3">
        <f t="shared" si="9"/>
        <v>10167.950000000012</v>
      </c>
      <c r="H612" s="5" t="str">
        <f>TEXT(Table313[[#This Row],[Value Date]],"mmmm")</f>
        <v>January</v>
      </c>
    </row>
    <row r="613" spans="1:8">
      <c r="A613" s="3">
        <f t="shared" si="9"/>
        <v>10167.950000000012</v>
      </c>
      <c r="H613" s="5" t="str">
        <f>TEXT(Table313[[#This Row],[Value Date]],"mmmm")</f>
        <v>January</v>
      </c>
    </row>
    <row r="614" spans="1:8">
      <c r="A614" s="3">
        <f t="shared" si="9"/>
        <v>10167.950000000012</v>
      </c>
      <c r="H614" s="5" t="str">
        <f>TEXT(Table313[[#This Row],[Value Date]],"mmmm")</f>
        <v>January</v>
      </c>
    </row>
    <row r="615" spans="1:8">
      <c r="A615" s="3">
        <f t="shared" si="9"/>
        <v>10167.950000000012</v>
      </c>
      <c r="H615" s="5" t="str">
        <f>TEXT(Table313[[#This Row],[Value Date]],"mmmm")</f>
        <v>January</v>
      </c>
    </row>
    <row r="616" spans="1:8">
      <c r="A616" s="3">
        <f t="shared" si="9"/>
        <v>10167.950000000012</v>
      </c>
      <c r="H616" s="5" t="str">
        <f>TEXT(Table313[[#This Row],[Value Date]],"mmmm")</f>
        <v>January</v>
      </c>
    </row>
    <row r="617" spans="1:8">
      <c r="A617" s="3">
        <f t="shared" si="9"/>
        <v>10167.950000000012</v>
      </c>
      <c r="H617" s="5" t="str">
        <f>TEXT(Table313[[#This Row],[Value Date]],"mmmm")</f>
        <v>January</v>
      </c>
    </row>
    <row r="618" spans="1:8">
      <c r="A618" s="3">
        <f t="shared" si="9"/>
        <v>10167.950000000012</v>
      </c>
      <c r="H618" s="5" t="str">
        <f>TEXT(Table313[[#This Row],[Value Date]],"mmmm")</f>
        <v>January</v>
      </c>
    </row>
    <row r="619" spans="1:8">
      <c r="A619" s="3">
        <f t="shared" si="9"/>
        <v>10167.950000000012</v>
      </c>
      <c r="H619" s="5" t="str">
        <f>TEXT(Table313[[#This Row],[Value Date]],"mmmm")</f>
        <v>January</v>
      </c>
    </row>
    <row r="620" spans="1:8">
      <c r="A620" s="3">
        <f t="shared" si="9"/>
        <v>10167.950000000012</v>
      </c>
      <c r="H620" s="5" t="str">
        <f>TEXT(Table313[[#This Row],[Value Date]],"mmmm")</f>
        <v>January</v>
      </c>
    </row>
    <row r="621" spans="1:8">
      <c r="A621" s="3">
        <f t="shared" si="9"/>
        <v>10167.950000000012</v>
      </c>
      <c r="H621" s="5" t="str">
        <f>TEXT(Table313[[#This Row],[Value Date]],"mmmm")</f>
        <v>January</v>
      </c>
    </row>
    <row r="622" spans="1:8">
      <c r="A622" s="3">
        <f t="shared" si="9"/>
        <v>10167.950000000012</v>
      </c>
      <c r="H622" s="5" t="str">
        <f>TEXT(Table313[[#This Row],[Value Date]],"mmmm")</f>
        <v>January</v>
      </c>
    </row>
    <row r="623" spans="1:8">
      <c r="A623" s="3">
        <f t="shared" si="9"/>
        <v>10167.950000000012</v>
      </c>
      <c r="H623" s="5" t="str">
        <f>TEXT(Table313[[#This Row],[Value Date]],"mmmm")</f>
        <v>January</v>
      </c>
    </row>
    <row r="624" spans="1:8">
      <c r="A624" s="3">
        <f t="shared" si="9"/>
        <v>10167.950000000012</v>
      </c>
      <c r="H624" s="5" t="str">
        <f>TEXT(Table313[[#This Row],[Value Date]],"mmmm")</f>
        <v>January</v>
      </c>
    </row>
    <row r="625" spans="1:8">
      <c r="A625" s="3">
        <f t="shared" si="9"/>
        <v>10167.950000000012</v>
      </c>
      <c r="H625" s="5" t="str">
        <f>TEXT(Table313[[#This Row],[Value Date]],"mmmm")</f>
        <v>January</v>
      </c>
    </row>
    <row r="626" spans="1:8">
      <c r="A626" s="3">
        <f t="shared" si="9"/>
        <v>10167.950000000012</v>
      </c>
      <c r="H626" s="5" t="str">
        <f>TEXT(Table313[[#This Row],[Value Date]],"mmmm")</f>
        <v>January</v>
      </c>
    </row>
    <row r="627" spans="1:8">
      <c r="A627" s="3">
        <f t="shared" si="9"/>
        <v>10167.950000000012</v>
      </c>
      <c r="H627" s="5" t="str">
        <f>TEXT(Table313[[#This Row],[Value Date]],"mmmm")</f>
        <v>January</v>
      </c>
    </row>
    <row r="628" spans="1:8">
      <c r="A628" s="3">
        <f t="shared" si="9"/>
        <v>10167.950000000012</v>
      </c>
      <c r="H628" s="5" t="str">
        <f>TEXT(Table313[[#This Row],[Value Date]],"mmmm")</f>
        <v>January</v>
      </c>
    </row>
    <row r="629" spans="1:8">
      <c r="A629" s="3">
        <f t="shared" si="9"/>
        <v>10167.950000000012</v>
      </c>
      <c r="H629" s="5" t="str">
        <f>TEXT(Table313[[#This Row],[Value Date]],"mmmm")</f>
        <v>January</v>
      </c>
    </row>
    <row r="630" spans="1:8">
      <c r="A630" s="3">
        <f t="shared" si="9"/>
        <v>10167.950000000012</v>
      </c>
      <c r="H630" s="5" t="str">
        <f>TEXT(Table313[[#This Row],[Value Date]],"mmmm")</f>
        <v>January</v>
      </c>
    </row>
    <row r="631" spans="1:8">
      <c r="A631" s="3">
        <f t="shared" si="9"/>
        <v>10167.950000000012</v>
      </c>
      <c r="H631" s="5" t="str">
        <f>TEXT(Table313[[#This Row],[Value Date]],"mmmm")</f>
        <v>January</v>
      </c>
    </row>
    <row r="632" spans="1:8">
      <c r="A632" s="3">
        <f t="shared" si="9"/>
        <v>10167.950000000012</v>
      </c>
      <c r="H632" s="5" t="str">
        <f>TEXT(Table313[[#This Row],[Value Date]],"mmmm")</f>
        <v>January</v>
      </c>
    </row>
    <row r="633" spans="1:8">
      <c r="A633" s="3">
        <f t="shared" si="9"/>
        <v>10167.950000000012</v>
      </c>
      <c r="H633" s="5" t="str">
        <f>TEXT(Table313[[#This Row],[Value Date]],"mmmm")</f>
        <v>January</v>
      </c>
    </row>
    <row r="634" spans="1:8">
      <c r="A634" s="3">
        <f t="shared" si="9"/>
        <v>10167.950000000012</v>
      </c>
      <c r="H634" s="5" t="str">
        <f>TEXT(Table313[[#This Row],[Value Date]],"mmmm")</f>
        <v>January</v>
      </c>
    </row>
    <row r="635" spans="1:8">
      <c r="A635" s="3">
        <f t="shared" si="9"/>
        <v>10167.950000000012</v>
      </c>
      <c r="H635" s="5" t="str">
        <f>TEXT(Table313[[#This Row],[Value Date]],"mmmm")</f>
        <v>January</v>
      </c>
    </row>
    <row r="636" spans="1:8">
      <c r="A636" s="3">
        <f t="shared" si="9"/>
        <v>10167.950000000012</v>
      </c>
      <c r="H636" s="5" t="str">
        <f>TEXT(Table313[[#This Row],[Value Date]],"mmmm")</f>
        <v>January</v>
      </c>
    </row>
    <row r="637" spans="1:8">
      <c r="A637" s="3">
        <f t="shared" si="9"/>
        <v>10167.950000000012</v>
      </c>
      <c r="H637" s="5" t="str">
        <f>TEXT(Table313[[#This Row],[Value Date]],"mmmm")</f>
        <v>January</v>
      </c>
    </row>
    <row r="638" spans="1:8">
      <c r="A638" s="3">
        <f t="shared" si="9"/>
        <v>10167.950000000012</v>
      </c>
      <c r="H638" s="5" t="str">
        <f>TEXT(Table313[[#This Row],[Value Date]],"mmmm")</f>
        <v>January</v>
      </c>
    </row>
    <row r="639" spans="1:8">
      <c r="A639" s="3">
        <f t="shared" si="9"/>
        <v>10167.950000000012</v>
      </c>
      <c r="H639" s="5" t="str">
        <f>TEXT(Table313[[#This Row],[Value Date]],"mmmm")</f>
        <v>January</v>
      </c>
    </row>
    <row r="640" spans="1:8">
      <c r="A640" s="3">
        <f t="shared" si="9"/>
        <v>10167.950000000012</v>
      </c>
      <c r="H640" s="5" t="str">
        <f>TEXT(Table313[[#This Row],[Value Date]],"mmmm")</f>
        <v>January</v>
      </c>
    </row>
    <row r="641" spans="1:8">
      <c r="A641" s="3">
        <f t="shared" si="9"/>
        <v>10167.950000000012</v>
      </c>
      <c r="H641" s="5" t="str">
        <f>TEXT(Table313[[#This Row],[Value Date]],"mmmm")</f>
        <v>January</v>
      </c>
    </row>
    <row r="642" spans="1:8">
      <c r="A642" s="3">
        <f t="shared" si="9"/>
        <v>10167.950000000012</v>
      </c>
      <c r="H642" s="5" t="str">
        <f>TEXT(Table313[[#This Row],[Value Date]],"mmmm")</f>
        <v>January</v>
      </c>
    </row>
    <row r="643" spans="1:8">
      <c r="A643" s="3">
        <f t="shared" si="9"/>
        <v>10167.950000000012</v>
      </c>
      <c r="H643" s="5" t="str">
        <f>TEXT(Table313[[#This Row],[Value Date]],"mmmm")</f>
        <v>January</v>
      </c>
    </row>
    <row r="644" spans="1:8">
      <c r="A644" s="3">
        <f t="shared" si="9"/>
        <v>10167.950000000012</v>
      </c>
      <c r="H644" s="5" t="str">
        <f>TEXT(Table313[[#This Row],[Value Date]],"mmmm")</f>
        <v>January</v>
      </c>
    </row>
    <row r="645" spans="1:8">
      <c r="A645" s="3">
        <f t="shared" si="9"/>
        <v>10167.950000000012</v>
      </c>
      <c r="H645" s="5" t="str">
        <f>TEXT(Table313[[#This Row],[Value Date]],"mmmm")</f>
        <v>January</v>
      </c>
    </row>
    <row r="646" spans="1:8">
      <c r="A646" s="3">
        <f t="shared" ref="A646:A709" si="10">A645+B646-C646</f>
        <v>10167.950000000012</v>
      </c>
      <c r="H646" s="5" t="str">
        <f>TEXT(Table313[[#This Row],[Value Date]],"mmmm")</f>
        <v>January</v>
      </c>
    </row>
    <row r="647" spans="1:8">
      <c r="A647" s="3">
        <f t="shared" si="10"/>
        <v>10167.950000000012</v>
      </c>
      <c r="H647" s="5" t="str">
        <f>TEXT(Table313[[#This Row],[Value Date]],"mmmm")</f>
        <v>January</v>
      </c>
    </row>
    <row r="648" spans="1:8">
      <c r="A648" s="3">
        <f t="shared" si="10"/>
        <v>10167.950000000012</v>
      </c>
      <c r="H648" s="5" t="str">
        <f>TEXT(Table313[[#This Row],[Value Date]],"mmmm")</f>
        <v>January</v>
      </c>
    </row>
    <row r="649" spans="1:8">
      <c r="A649" s="3">
        <f t="shared" si="10"/>
        <v>10167.950000000012</v>
      </c>
      <c r="H649" s="5" t="str">
        <f>TEXT(Table313[[#This Row],[Value Date]],"mmmm")</f>
        <v>January</v>
      </c>
    </row>
    <row r="650" spans="1:8">
      <c r="A650" s="3">
        <f t="shared" si="10"/>
        <v>10167.950000000012</v>
      </c>
      <c r="H650" s="5" t="str">
        <f>TEXT(Table313[[#This Row],[Value Date]],"mmmm")</f>
        <v>January</v>
      </c>
    </row>
    <row r="651" spans="1:8">
      <c r="A651" s="3">
        <f t="shared" si="10"/>
        <v>10167.950000000012</v>
      </c>
      <c r="H651" s="5" t="str">
        <f>TEXT(Table313[[#This Row],[Value Date]],"mmmm")</f>
        <v>January</v>
      </c>
    </row>
    <row r="652" spans="1:8">
      <c r="A652" s="3">
        <f t="shared" si="10"/>
        <v>10167.950000000012</v>
      </c>
      <c r="H652" s="5" t="str">
        <f>TEXT(Table313[[#This Row],[Value Date]],"mmmm")</f>
        <v>January</v>
      </c>
    </row>
    <row r="653" spans="1:8">
      <c r="A653" s="3">
        <f t="shared" si="10"/>
        <v>10167.950000000012</v>
      </c>
      <c r="H653" s="5" t="str">
        <f>TEXT(Table313[[#This Row],[Value Date]],"mmmm")</f>
        <v>January</v>
      </c>
    </row>
    <row r="654" spans="1:8">
      <c r="A654" s="3">
        <f t="shared" si="10"/>
        <v>10167.950000000012</v>
      </c>
      <c r="H654" s="5" t="str">
        <f>TEXT(Table313[[#This Row],[Value Date]],"mmmm")</f>
        <v>January</v>
      </c>
    </row>
    <row r="655" spans="1:8">
      <c r="A655" s="3">
        <f t="shared" si="10"/>
        <v>10167.950000000012</v>
      </c>
      <c r="H655" s="5" t="str">
        <f>TEXT(Table313[[#This Row],[Value Date]],"mmmm")</f>
        <v>January</v>
      </c>
    </row>
    <row r="656" spans="1:8">
      <c r="A656" s="3">
        <f t="shared" si="10"/>
        <v>10167.950000000012</v>
      </c>
      <c r="H656" s="5" t="str">
        <f>TEXT(Table313[[#This Row],[Value Date]],"mmmm")</f>
        <v>January</v>
      </c>
    </row>
    <row r="657" spans="1:8">
      <c r="A657" s="3">
        <f t="shared" si="10"/>
        <v>10167.950000000012</v>
      </c>
      <c r="H657" s="5" t="str">
        <f>TEXT(Table313[[#This Row],[Value Date]],"mmmm")</f>
        <v>January</v>
      </c>
    </row>
    <row r="658" spans="1:8">
      <c r="A658" s="3">
        <f t="shared" si="10"/>
        <v>10167.950000000012</v>
      </c>
      <c r="H658" s="5" t="str">
        <f>TEXT(Table313[[#This Row],[Value Date]],"mmmm")</f>
        <v>January</v>
      </c>
    </row>
    <row r="659" spans="1:8">
      <c r="A659" s="3">
        <f t="shared" si="10"/>
        <v>10167.950000000012</v>
      </c>
      <c r="H659" s="5" t="str">
        <f>TEXT(Table313[[#This Row],[Value Date]],"mmmm")</f>
        <v>January</v>
      </c>
    </row>
    <row r="660" spans="1:8">
      <c r="A660" s="3">
        <f t="shared" si="10"/>
        <v>10167.950000000012</v>
      </c>
      <c r="H660" s="5" t="str">
        <f>TEXT(Table313[[#This Row],[Value Date]],"mmmm")</f>
        <v>January</v>
      </c>
    </row>
    <row r="661" spans="1:8">
      <c r="A661" s="3">
        <f t="shared" si="10"/>
        <v>10167.950000000012</v>
      </c>
      <c r="H661" s="5" t="str">
        <f>TEXT(Table313[[#This Row],[Value Date]],"mmmm")</f>
        <v>January</v>
      </c>
    </row>
    <row r="662" spans="1:8">
      <c r="A662" s="3">
        <f t="shared" si="10"/>
        <v>10167.950000000012</v>
      </c>
      <c r="H662" s="5" t="str">
        <f>TEXT(Table313[[#This Row],[Value Date]],"mmmm")</f>
        <v>January</v>
      </c>
    </row>
    <row r="663" spans="1:8">
      <c r="A663" s="3">
        <f t="shared" si="10"/>
        <v>10167.950000000012</v>
      </c>
      <c r="H663" s="5" t="str">
        <f>TEXT(Table313[[#This Row],[Value Date]],"mmmm")</f>
        <v>January</v>
      </c>
    </row>
    <row r="664" spans="1:8">
      <c r="A664" s="3">
        <f t="shared" si="10"/>
        <v>10167.950000000012</v>
      </c>
      <c r="H664" s="5" t="str">
        <f>TEXT(Table313[[#This Row],[Value Date]],"mmmm")</f>
        <v>January</v>
      </c>
    </row>
    <row r="665" spans="1:8">
      <c r="A665" s="3">
        <f t="shared" si="10"/>
        <v>10167.950000000012</v>
      </c>
      <c r="H665" s="5" t="str">
        <f>TEXT(Table313[[#This Row],[Value Date]],"mmmm")</f>
        <v>January</v>
      </c>
    </row>
    <row r="666" spans="1:8">
      <c r="A666" s="3">
        <f t="shared" si="10"/>
        <v>10167.950000000012</v>
      </c>
      <c r="H666" s="5" t="str">
        <f>TEXT(Table313[[#This Row],[Value Date]],"mmmm")</f>
        <v>January</v>
      </c>
    </row>
    <row r="667" spans="1:8">
      <c r="A667" s="3">
        <f t="shared" si="10"/>
        <v>10167.950000000012</v>
      </c>
      <c r="H667" s="5" t="str">
        <f>TEXT(Table313[[#This Row],[Value Date]],"mmmm")</f>
        <v>January</v>
      </c>
    </row>
    <row r="668" spans="1:8">
      <c r="A668" s="3">
        <f t="shared" si="10"/>
        <v>10167.950000000012</v>
      </c>
      <c r="H668" s="5" t="str">
        <f>TEXT(Table313[[#This Row],[Value Date]],"mmmm")</f>
        <v>January</v>
      </c>
    </row>
    <row r="669" spans="1:8">
      <c r="A669" s="3">
        <f t="shared" si="10"/>
        <v>10167.950000000012</v>
      </c>
      <c r="H669" s="5" t="str">
        <f>TEXT(Table313[[#This Row],[Value Date]],"mmmm")</f>
        <v>January</v>
      </c>
    </row>
    <row r="670" spans="1:8">
      <c r="A670" s="3">
        <f t="shared" si="10"/>
        <v>10167.950000000012</v>
      </c>
      <c r="H670" s="5" t="str">
        <f>TEXT(Table313[[#This Row],[Value Date]],"mmmm")</f>
        <v>January</v>
      </c>
    </row>
    <row r="671" spans="1:8">
      <c r="A671" s="3">
        <f t="shared" si="10"/>
        <v>10167.950000000012</v>
      </c>
      <c r="H671" s="5" t="str">
        <f>TEXT(Table313[[#This Row],[Value Date]],"mmmm")</f>
        <v>January</v>
      </c>
    </row>
    <row r="672" spans="1:8">
      <c r="A672" s="3">
        <f t="shared" si="10"/>
        <v>10167.950000000012</v>
      </c>
      <c r="H672" s="5" t="str">
        <f>TEXT(Table313[[#This Row],[Value Date]],"mmmm")</f>
        <v>January</v>
      </c>
    </row>
    <row r="673" spans="1:8">
      <c r="A673" s="3">
        <f t="shared" si="10"/>
        <v>10167.950000000012</v>
      </c>
      <c r="H673" s="5" t="str">
        <f>TEXT(Table313[[#This Row],[Value Date]],"mmmm")</f>
        <v>January</v>
      </c>
    </row>
    <row r="674" spans="1:8">
      <c r="A674" s="3">
        <f t="shared" si="10"/>
        <v>10167.950000000012</v>
      </c>
      <c r="H674" s="5" t="str">
        <f>TEXT(Table313[[#This Row],[Value Date]],"mmmm")</f>
        <v>January</v>
      </c>
    </row>
    <row r="675" spans="1:8">
      <c r="A675" s="3">
        <f t="shared" si="10"/>
        <v>10167.950000000012</v>
      </c>
      <c r="H675" s="5" t="str">
        <f>TEXT(Table313[[#This Row],[Value Date]],"mmmm")</f>
        <v>January</v>
      </c>
    </row>
    <row r="676" spans="1:8">
      <c r="A676" s="3">
        <f t="shared" si="10"/>
        <v>10167.950000000012</v>
      </c>
      <c r="H676" s="5" t="str">
        <f>TEXT(Table313[[#This Row],[Value Date]],"mmmm")</f>
        <v>January</v>
      </c>
    </row>
    <row r="677" spans="1:8">
      <c r="A677" s="3">
        <f t="shared" si="10"/>
        <v>10167.950000000012</v>
      </c>
      <c r="H677" s="5" t="str">
        <f>TEXT(Table313[[#This Row],[Value Date]],"mmmm")</f>
        <v>January</v>
      </c>
    </row>
    <row r="678" spans="1:8">
      <c r="A678" s="3">
        <f t="shared" si="10"/>
        <v>10167.950000000012</v>
      </c>
      <c r="H678" s="5" t="str">
        <f>TEXT(Table313[[#This Row],[Value Date]],"mmmm")</f>
        <v>January</v>
      </c>
    </row>
    <row r="679" spans="1:8">
      <c r="A679" s="3">
        <f t="shared" si="10"/>
        <v>10167.950000000012</v>
      </c>
      <c r="H679" s="5" t="str">
        <f>TEXT(Table313[[#This Row],[Value Date]],"mmmm")</f>
        <v>January</v>
      </c>
    </row>
    <row r="680" spans="1:8">
      <c r="A680" s="3">
        <f t="shared" si="10"/>
        <v>10167.950000000012</v>
      </c>
      <c r="H680" s="5" t="str">
        <f>TEXT(Table313[[#This Row],[Value Date]],"mmmm")</f>
        <v>January</v>
      </c>
    </row>
    <row r="681" spans="1:8">
      <c r="A681" s="3">
        <f t="shared" si="10"/>
        <v>10167.950000000012</v>
      </c>
      <c r="H681" s="5" t="str">
        <f>TEXT(Table313[[#This Row],[Value Date]],"mmmm")</f>
        <v>January</v>
      </c>
    </row>
    <row r="682" spans="1:8">
      <c r="A682" s="3">
        <f t="shared" si="10"/>
        <v>10167.950000000012</v>
      </c>
      <c r="H682" s="5" t="str">
        <f>TEXT(Table313[[#This Row],[Value Date]],"mmmm")</f>
        <v>January</v>
      </c>
    </row>
    <row r="683" spans="1:8">
      <c r="A683" s="3">
        <f t="shared" si="10"/>
        <v>10167.950000000012</v>
      </c>
      <c r="H683" s="5" t="str">
        <f>TEXT(Table313[[#This Row],[Value Date]],"mmmm")</f>
        <v>January</v>
      </c>
    </row>
    <row r="684" spans="1:8">
      <c r="A684" s="3">
        <f t="shared" si="10"/>
        <v>10167.950000000012</v>
      </c>
      <c r="H684" s="5" t="str">
        <f>TEXT(Table313[[#This Row],[Value Date]],"mmmm")</f>
        <v>January</v>
      </c>
    </row>
    <row r="685" spans="1:8">
      <c r="A685" s="3">
        <f t="shared" si="10"/>
        <v>10167.950000000012</v>
      </c>
      <c r="H685" s="5" t="str">
        <f>TEXT(Table313[[#This Row],[Value Date]],"mmmm")</f>
        <v>January</v>
      </c>
    </row>
    <row r="686" spans="1:8">
      <c r="A686" s="3">
        <f t="shared" si="10"/>
        <v>10167.950000000012</v>
      </c>
      <c r="H686" s="5" t="str">
        <f>TEXT(Table313[[#This Row],[Value Date]],"mmmm")</f>
        <v>January</v>
      </c>
    </row>
    <row r="687" spans="1:8">
      <c r="A687" s="3">
        <f t="shared" si="10"/>
        <v>10167.950000000012</v>
      </c>
      <c r="H687" s="5" t="str">
        <f>TEXT(Table313[[#This Row],[Value Date]],"mmmm")</f>
        <v>January</v>
      </c>
    </row>
    <row r="688" spans="1:8">
      <c r="A688" s="3">
        <f t="shared" si="10"/>
        <v>10167.950000000012</v>
      </c>
      <c r="H688" s="5" t="str">
        <f>TEXT(Table313[[#This Row],[Value Date]],"mmmm")</f>
        <v>January</v>
      </c>
    </row>
    <row r="689" spans="1:8">
      <c r="A689" s="3">
        <f t="shared" si="10"/>
        <v>10167.950000000012</v>
      </c>
      <c r="H689" s="5" t="str">
        <f>TEXT(Table313[[#This Row],[Value Date]],"mmmm")</f>
        <v>January</v>
      </c>
    </row>
    <row r="690" spans="1:8">
      <c r="A690" s="3">
        <f t="shared" si="10"/>
        <v>10167.950000000012</v>
      </c>
      <c r="H690" s="5" t="str">
        <f>TEXT(Table313[[#This Row],[Value Date]],"mmmm")</f>
        <v>January</v>
      </c>
    </row>
    <row r="691" spans="1:8">
      <c r="A691" s="3">
        <f t="shared" si="10"/>
        <v>10167.950000000012</v>
      </c>
      <c r="H691" s="5" t="str">
        <f>TEXT(Table313[[#This Row],[Value Date]],"mmmm")</f>
        <v>January</v>
      </c>
    </row>
    <row r="692" spans="1:8">
      <c r="A692" s="3">
        <f t="shared" si="10"/>
        <v>10167.950000000012</v>
      </c>
      <c r="H692" s="5" t="str">
        <f>TEXT(Table313[[#This Row],[Value Date]],"mmmm")</f>
        <v>January</v>
      </c>
    </row>
    <row r="693" spans="1:8">
      <c r="A693" s="3">
        <f t="shared" si="10"/>
        <v>10167.950000000012</v>
      </c>
      <c r="H693" s="5" t="str">
        <f>TEXT(Table313[[#This Row],[Value Date]],"mmmm")</f>
        <v>January</v>
      </c>
    </row>
    <row r="694" spans="1:8">
      <c r="A694" s="3">
        <f t="shared" si="10"/>
        <v>10167.950000000012</v>
      </c>
      <c r="H694" s="5" t="str">
        <f>TEXT(Table313[[#This Row],[Value Date]],"mmmm")</f>
        <v>January</v>
      </c>
    </row>
    <row r="695" spans="1:8">
      <c r="A695" s="3">
        <f t="shared" si="10"/>
        <v>10167.950000000012</v>
      </c>
      <c r="H695" s="5" t="str">
        <f>TEXT(Table313[[#This Row],[Value Date]],"mmmm")</f>
        <v>January</v>
      </c>
    </row>
    <row r="696" spans="1:8">
      <c r="A696" s="3">
        <f t="shared" si="10"/>
        <v>10167.950000000012</v>
      </c>
      <c r="H696" s="5" t="str">
        <f>TEXT(Table313[[#This Row],[Value Date]],"mmmm")</f>
        <v>January</v>
      </c>
    </row>
    <row r="697" spans="1:8">
      <c r="A697" s="3">
        <f t="shared" si="10"/>
        <v>10167.950000000012</v>
      </c>
      <c r="H697" s="5" t="str">
        <f>TEXT(Table313[[#This Row],[Value Date]],"mmmm")</f>
        <v>January</v>
      </c>
    </row>
    <row r="698" spans="1:8">
      <c r="A698" s="3">
        <f t="shared" si="10"/>
        <v>10167.950000000012</v>
      </c>
      <c r="H698" s="5" t="str">
        <f>TEXT(Table313[[#This Row],[Value Date]],"mmmm")</f>
        <v>January</v>
      </c>
    </row>
    <row r="699" spans="1:8">
      <c r="A699" s="3">
        <f t="shared" si="10"/>
        <v>10167.950000000012</v>
      </c>
      <c r="H699" s="5" t="str">
        <f>TEXT(Table313[[#This Row],[Value Date]],"mmmm")</f>
        <v>January</v>
      </c>
    </row>
    <row r="700" spans="1:8">
      <c r="A700" s="3">
        <f t="shared" si="10"/>
        <v>10167.950000000012</v>
      </c>
      <c r="H700" s="5" t="str">
        <f>TEXT(Table313[[#This Row],[Value Date]],"mmmm")</f>
        <v>January</v>
      </c>
    </row>
    <row r="701" spans="1:8">
      <c r="A701" s="3">
        <f t="shared" si="10"/>
        <v>10167.950000000012</v>
      </c>
      <c r="H701" s="5" t="str">
        <f>TEXT(Table313[[#This Row],[Value Date]],"mmmm")</f>
        <v>January</v>
      </c>
    </row>
    <row r="702" spans="1:8">
      <c r="A702" s="3">
        <f t="shared" si="10"/>
        <v>10167.950000000012</v>
      </c>
      <c r="H702" s="5" t="str">
        <f>TEXT(Table313[[#This Row],[Value Date]],"mmmm")</f>
        <v>January</v>
      </c>
    </row>
    <row r="703" spans="1:8">
      <c r="A703" s="3">
        <f t="shared" si="10"/>
        <v>10167.950000000012</v>
      </c>
      <c r="H703" s="5" t="str">
        <f>TEXT(Table313[[#This Row],[Value Date]],"mmmm")</f>
        <v>January</v>
      </c>
    </row>
    <row r="704" spans="1:8">
      <c r="A704" s="3">
        <f t="shared" si="10"/>
        <v>10167.950000000012</v>
      </c>
      <c r="H704" s="5" t="str">
        <f>TEXT(Table313[[#This Row],[Value Date]],"mmmm")</f>
        <v>January</v>
      </c>
    </row>
    <row r="705" spans="1:8">
      <c r="A705" s="3">
        <f t="shared" si="10"/>
        <v>10167.950000000012</v>
      </c>
      <c r="H705" s="5" t="str">
        <f>TEXT(Table313[[#This Row],[Value Date]],"mmmm")</f>
        <v>January</v>
      </c>
    </row>
    <row r="706" spans="1:8">
      <c r="A706" s="3">
        <f t="shared" si="10"/>
        <v>10167.950000000012</v>
      </c>
      <c r="H706" s="5" t="str">
        <f>TEXT(Table313[[#This Row],[Value Date]],"mmmm")</f>
        <v>January</v>
      </c>
    </row>
    <row r="707" spans="1:8">
      <c r="A707" s="3">
        <f t="shared" si="10"/>
        <v>10167.950000000012</v>
      </c>
      <c r="H707" s="5" t="str">
        <f>TEXT(Table313[[#This Row],[Value Date]],"mmmm")</f>
        <v>January</v>
      </c>
    </row>
    <row r="708" spans="1:8">
      <c r="A708" s="3">
        <f t="shared" si="10"/>
        <v>10167.950000000012</v>
      </c>
      <c r="H708" s="5" t="str">
        <f>TEXT(Table313[[#This Row],[Value Date]],"mmmm")</f>
        <v>January</v>
      </c>
    </row>
    <row r="709" spans="1:8">
      <c r="A709" s="3">
        <f t="shared" si="10"/>
        <v>10167.950000000012</v>
      </c>
      <c r="H709" s="5" t="str">
        <f>TEXT(Table313[[#This Row],[Value Date]],"mmmm")</f>
        <v>January</v>
      </c>
    </row>
    <row r="710" spans="1:8">
      <c r="A710" s="3">
        <f t="shared" ref="A710:A773" si="11">A709+B710-C710</f>
        <v>10167.950000000012</v>
      </c>
      <c r="H710" s="5" t="str">
        <f>TEXT(Table313[[#This Row],[Value Date]],"mmmm")</f>
        <v>January</v>
      </c>
    </row>
    <row r="711" spans="1:8">
      <c r="A711" s="3">
        <f t="shared" si="11"/>
        <v>10167.950000000012</v>
      </c>
      <c r="H711" s="5" t="str">
        <f>TEXT(Table313[[#This Row],[Value Date]],"mmmm")</f>
        <v>January</v>
      </c>
    </row>
    <row r="712" spans="1:8">
      <c r="A712" s="3">
        <f t="shared" si="11"/>
        <v>10167.950000000012</v>
      </c>
      <c r="H712" s="5" t="str">
        <f>TEXT(Table313[[#This Row],[Value Date]],"mmmm")</f>
        <v>January</v>
      </c>
    </row>
    <row r="713" spans="1:8">
      <c r="A713" s="3">
        <f t="shared" si="11"/>
        <v>10167.950000000012</v>
      </c>
      <c r="H713" s="5" t="str">
        <f>TEXT(Table313[[#This Row],[Value Date]],"mmmm")</f>
        <v>January</v>
      </c>
    </row>
    <row r="714" spans="1:8">
      <c r="A714" s="3">
        <f t="shared" si="11"/>
        <v>10167.950000000012</v>
      </c>
      <c r="H714" s="5" t="str">
        <f>TEXT(Table313[[#This Row],[Value Date]],"mmmm")</f>
        <v>January</v>
      </c>
    </row>
    <row r="715" spans="1:8">
      <c r="A715" s="3">
        <f t="shared" si="11"/>
        <v>10167.950000000012</v>
      </c>
      <c r="H715" s="5" t="str">
        <f>TEXT(Table313[[#This Row],[Value Date]],"mmmm")</f>
        <v>January</v>
      </c>
    </row>
    <row r="716" spans="1:8">
      <c r="A716" s="3">
        <f t="shared" si="11"/>
        <v>10167.950000000012</v>
      </c>
      <c r="H716" s="5" t="str">
        <f>TEXT(Table313[[#This Row],[Value Date]],"mmmm")</f>
        <v>January</v>
      </c>
    </row>
    <row r="717" spans="1:8">
      <c r="A717" s="3">
        <f t="shared" si="11"/>
        <v>10167.950000000012</v>
      </c>
      <c r="H717" s="5" t="str">
        <f>TEXT(Table313[[#This Row],[Value Date]],"mmmm")</f>
        <v>January</v>
      </c>
    </row>
    <row r="718" spans="1:8">
      <c r="A718" s="3">
        <f t="shared" si="11"/>
        <v>10167.950000000012</v>
      </c>
      <c r="H718" s="5" t="str">
        <f>TEXT(Table313[[#This Row],[Value Date]],"mmmm")</f>
        <v>January</v>
      </c>
    </row>
    <row r="719" spans="1:8">
      <c r="A719" s="3">
        <f t="shared" si="11"/>
        <v>10167.950000000012</v>
      </c>
      <c r="H719" s="5" t="str">
        <f>TEXT(Table313[[#This Row],[Value Date]],"mmmm")</f>
        <v>January</v>
      </c>
    </row>
    <row r="720" spans="1:8">
      <c r="A720" s="3">
        <f t="shared" si="11"/>
        <v>10167.950000000012</v>
      </c>
      <c r="H720" s="5" t="str">
        <f>TEXT(Table313[[#This Row],[Value Date]],"mmmm")</f>
        <v>January</v>
      </c>
    </row>
    <row r="721" spans="1:8">
      <c r="A721" s="3">
        <f t="shared" si="11"/>
        <v>10167.950000000012</v>
      </c>
      <c r="H721" s="5" t="str">
        <f>TEXT(Table313[[#This Row],[Value Date]],"mmmm")</f>
        <v>January</v>
      </c>
    </row>
    <row r="722" spans="1:8">
      <c r="A722" s="3">
        <f t="shared" si="11"/>
        <v>10167.950000000012</v>
      </c>
      <c r="H722" s="5" t="str">
        <f>TEXT(Table313[[#This Row],[Value Date]],"mmmm")</f>
        <v>January</v>
      </c>
    </row>
    <row r="723" spans="1:8">
      <c r="A723" s="3">
        <f t="shared" si="11"/>
        <v>10167.950000000012</v>
      </c>
      <c r="H723" s="5" t="str">
        <f>TEXT(Table313[[#This Row],[Value Date]],"mmmm")</f>
        <v>January</v>
      </c>
    </row>
    <row r="724" spans="1:8">
      <c r="A724" s="3">
        <f t="shared" si="11"/>
        <v>10167.950000000012</v>
      </c>
      <c r="H724" s="5" t="str">
        <f>TEXT(Table313[[#This Row],[Value Date]],"mmmm")</f>
        <v>January</v>
      </c>
    </row>
    <row r="725" spans="1:8">
      <c r="A725" s="3">
        <f t="shared" si="11"/>
        <v>10167.950000000012</v>
      </c>
      <c r="H725" s="5" t="str">
        <f>TEXT(Table313[[#This Row],[Value Date]],"mmmm")</f>
        <v>January</v>
      </c>
    </row>
    <row r="726" spans="1:8">
      <c r="A726" s="3">
        <f t="shared" si="11"/>
        <v>10167.950000000012</v>
      </c>
      <c r="H726" s="5" t="str">
        <f>TEXT(Table313[[#This Row],[Value Date]],"mmmm")</f>
        <v>January</v>
      </c>
    </row>
    <row r="727" spans="1:8">
      <c r="A727" s="3">
        <f t="shared" si="11"/>
        <v>10167.950000000012</v>
      </c>
      <c r="H727" s="5" t="str">
        <f>TEXT(Table313[[#This Row],[Value Date]],"mmmm")</f>
        <v>January</v>
      </c>
    </row>
    <row r="728" spans="1:8">
      <c r="A728" s="3">
        <f t="shared" si="11"/>
        <v>10167.950000000012</v>
      </c>
      <c r="H728" s="5" t="str">
        <f>TEXT(Table313[[#This Row],[Value Date]],"mmmm")</f>
        <v>January</v>
      </c>
    </row>
    <row r="729" spans="1:8">
      <c r="A729" s="3">
        <f t="shared" si="11"/>
        <v>10167.950000000012</v>
      </c>
      <c r="H729" s="5" t="str">
        <f>TEXT(Table313[[#This Row],[Value Date]],"mmmm")</f>
        <v>January</v>
      </c>
    </row>
    <row r="730" spans="1:8">
      <c r="A730" s="3">
        <f t="shared" si="11"/>
        <v>10167.950000000012</v>
      </c>
      <c r="H730" s="5" t="str">
        <f>TEXT(Table313[[#This Row],[Value Date]],"mmmm")</f>
        <v>January</v>
      </c>
    </row>
    <row r="731" spans="1:8">
      <c r="A731" s="3">
        <f t="shared" si="11"/>
        <v>10167.950000000012</v>
      </c>
      <c r="H731" s="5" t="str">
        <f>TEXT(Table313[[#This Row],[Value Date]],"mmmm")</f>
        <v>January</v>
      </c>
    </row>
    <row r="732" spans="1:8">
      <c r="A732" s="3">
        <f t="shared" si="11"/>
        <v>10167.950000000012</v>
      </c>
      <c r="H732" s="5" t="str">
        <f>TEXT(Table313[[#This Row],[Value Date]],"mmmm")</f>
        <v>January</v>
      </c>
    </row>
    <row r="733" spans="1:8">
      <c r="A733" s="3">
        <f t="shared" si="11"/>
        <v>10167.950000000012</v>
      </c>
      <c r="H733" s="5" t="str">
        <f>TEXT(Table313[[#This Row],[Value Date]],"mmmm")</f>
        <v>January</v>
      </c>
    </row>
    <row r="734" spans="1:8">
      <c r="A734" s="3">
        <f t="shared" si="11"/>
        <v>10167.950000000012</v>
      </c>
      <c r="H734" s="5" t="str">
        <f>TEXT(Table313[[#This Row],[Value Date]],"mmmm")</f>
        <v>January</v>
      </c>
    </row>
    <row r="735" spans="1:8">
      <c r="A735" s="3">
        <f t="shared" si="11"/>
        <v>10167.950000000012</v>
      </c>
      <c r="H735" s="5" t="str">
        <f>TEXT(Table313[[#This Row],[Value Date]],"mmmm")</f>
        <v>January</v>
      </c>
    </row>
    <row r="736" spans="1:8">
      <c r="A736" s="3">
        <f t="shared" si="11"/>
        <v>10167.950000000012</v>
      </c>
      <c r="H736" s="5" t="str">
        <f>TEXT(Table313[[#This Row],[Value Date]],"mmmm")</f>
        <v>January</v>
      </c>
    </row>
    <row r="737" spans="1:8">
      <c r="A737" s="3">
        <f t="shared" si="11"/>
        <v>10167.950000000012</v>
      </c>
      <c r="H737" s="5" t="str">
        <f>TEXT(Table313[[#This Row],[Value Date]],"mmmm")</f>
        <v>January</v>
      </c>
    </row>
    <row r="738" spans="1:8">
      <c r="A738" s="3">
        <f t="shared" si="11"/>
        <v>10167.950000000012</v>
      </c>
      <c r="H738" s="5" t="str">
        <f>TEXT(Table313[[#This Row],[Value Date]],"mmmm")</f>
        <v>January</v>
      </c>
    </row>
    <row r="739" spans="1:8">
      <c r="A739" s="3">
        <f t="shared" si="11"/>
        <v>10167.950000000012</v>
      </c>
      <c r="H739" s="5" t="str">
        <f>TEXT(Table313[[#This Row],[Value Date]],"mmmm")</f>
        <v>January</v>
      </c>
    </row>
    <row r="740" spans="1:8">
      <c r="A740" s="3">
        <f t="shared" si="11"/>
        <v>10167.950000000012</v>
      </c>
      <c r="H740" s="5" t="str">
        <f>TEXT(Table313[[#This Row],[Value Date]],"mmmm")</f>
        <v>January</v>
      </c>
    </row>
    <row r="741" spans="1:8">
      <c r="A741" s="3">
        <f t="shared" si="11"/>
        <v>10167.950000000012</v>
      </c>
      <c r="H741" s="5" t="str">
        <f>TEXT(Table313[[#This Row],[Value Date]],"mmmm")</f>
        <v>January</v>
      </c>
    </row>
    <row r="742" spans="1:8">
      <c r="A742" s="3">
        <f t="shared" si="11"/>
        <v>10167.950000000012</v>
      </c>
      <c r="H742" s="5" t="str">
        <f>TEXT(Table313[[#This Row],[Value Date]],"mmmm")</f>
        <v>January</v>
      </c>
    </row>
    <row r="743" spans="1:8">
      <c r="A743" s="3">
        <f t="shared" si="11"/>
        <v>10167.950000000012</v>
      </c>
      <c r="H743" s="5" t="str">
        <f>TEXT(Table313[[#This Row],[Value Date]],"mmmm")</f>
        <v>January</v>
      </c>
    </row>
    <row r="744" spans="1:8">
      <c r="A744" s="3">
        <f t="shared" si="11"/>
        <v>10167.950000000012</v>
      </c>
      <c r="H744" s="5" t="str">
        <f>TEXT(Table313[[#This Row],[Value Date]],"mmmm")</f>
        <v>January</v>
      </c>
    </row>
    <row r="745" spans="1:8">
      <c r="A745" s="3">
        <f t="shared" si="11"/>
        <v>10167.950000000012</v>
      </c>
      <c r="H745" s="5" t="str">
        <f>TEXT(Table313[[#This Row],[Value Date]],"mmmm")</f>
        <v>January</v>
      </c>
    </row>
    <row r="746" spans="1:8">
      <c r="A746" s="3">
        <f t="shared" si="11"/>
        <v>10167.950000000012</v>
      </c>
      <c r="H746" s="5" t="str">
        <f>TEXT(Table313[[#This Row],[Value Date]],"mmmm")</f>
        <v>January</v>
      </c>
    </row>
    <row r="747" spans="1:8">
      <c r="A747" s="3">
        <f t="shared" si="11"/>
        <v>10167.950000000012</v>
      </c>
      <c r="H747" s="5" t="str">
        <f>TEXT(Table313[[#This Row],[Value Date]],"mmmm")</f>
        <v>January</v>
      </c>
    </row>
    <row r="748" spans="1:8">
      <c r="A748" s="3">
        <f t="shared" si="11"/>
        <v>10167.950000000012</v>
      </c>
      <c r="H748" s="5" t="str">
        <f>TEXT(Table313[[#This Row],[Value Date]],"mmmm")</f>
        <v>January</v>
      </c>
    </row>
    <row r="749" spans="1:8">
      <c r="A749" s="3">
        <f t="shared" si="11"/>
        <v>10167.950000000012</v>
      </c>
      <c r="H749" s="5" t="str">
        <f>TEXT(Table313[[#This Row],[Value Date]],"mmmm")</f>
        <v>January</v>
      </c>
    </row>
    <row r="750" spans="1:8">
      <c r="A750" s="3">
        <f t="shared" si="11"/>
        <v>10167.950000000012</v>
      </c>
      <c r="H750" s="5" t="str">
        <f>TEXT(Table313[[#This Row],[Value Date]],"mmmm")</f>
        <v>January</v>
      </c>
    </row>
    <row r="751" spans="1:8">
      <c r="A751" s="3">
        <f t="shared" si="11"/>
        <v>10167.950000000012</v>
      </c>
      <c r="H751" s="5" t="str">
        <f>TEXT(Table313[[#This Row],[Value Date]],"mmmm")</f>
        <v>January</v>
      </c>
    </row>
    <row r="752" spans="1:8">
      <c r="A752" s="3">
        <f t="shared" si="11"/>
        <v>10167.950000000012</v>
      </c>
      <c r="H752" s="5" t="str">
        <f>TEXT(Table313[[#This Row],[Value Date]],"mmmm")</f>
        <v>January</v>
      </c>
    </row>
    <row r="753" spans="1:8">
      <c r="A753" s="3">
        <f t="shared" si="11"/>
        <v>10167.950000000012</v>
      </c>
      <c r="H753" s="5" t="str">
        <f>TEXT(Table313[[#This Row],[Value Date]],"mmmm")</f>
        <v>January</v>
      </c>
    </row>
    <row r="754" spans="1:8">
      <c r="A754" s="3">
        <f t="shared" si="11"/>
        <v>10167.950000000012</v>
      </c>
      <c r="H754" s="5" t="str">
        <f>TEXT(Table313[[#This Row],[Value Date]],"mmmm")</f>
        <v>January</v>
      </c>
    </row>
    <row r="755" spans="1:8">
      <c r="A755" s="3">
        <f t="shared" si="11"/>
        <v>10167.950000000012</v>
      </c>
      <c r="H755" s="5" t="str">
        <f>TEXT(Table313[[#This Row],[Value Date]],"mmmm")</f>
        <v>January</v>
      </c>
    </row>
    <row r="756" spans="1:8">
      <c r="A756" s="3">
        <f t="shared" si="11"/>
        <v>10167.950000000012</v>
      </c>
      <c r="H756" s="5" t="str">
        <f>TEXT(Table313[[#This Row],[Value Date]],"mmmm")</f>
        <v>January</v>
      </c>
    </row>
    <row r="757" spans="1:8">
      <c r="A757" s="3">
        <f t="shared" si="11"/>
        <v>10167.950000000012</v>
      </c>
      <c r="H757" s="5" t="str">
        <f>TEXT(Table313[[#This Row],[Value Date]],"mmmm")</f>
        <v>January</v>
      </c>
    </row>
    <row r="758" spans="1:8">
      <c r="A758" s="3">
        <f t="shared" si="11"/>
        <v>10167.950000000012</v>
      </c>
      <c r="H758" s="5" t="str">
        <f>TEXT(Table313[[#This Row],[Value Date]],"mmmm")</f>
        <v>January</v>
      </c>
    </row>
    <row r="759" spans="1:8">
      <c r="A759" s="3">
        <f t="shared" si="11"/>
        <v>10167.950000000012</v>
      </c>
      <c r="H759" s="5" t="str">
        <f>TEXT(Table313[[#This Row],[Value Date]],"mmmm")</f>
        <v>January</v>
      </c>
    </row>
    <row r="760" spans="1:8">
      <c r="A760" s="3">
        <f t="shared" si="11"/>
        <v>10167.950000000012</v>
      </c>
      <c r="H760" s="5" t="str">
        <f>TEXT(Table313[[#This Row],[Value Date]],"mmmm")</f>
        <v>January</v>
      </c>
    </row>
    <row r="761" spans="1:8">
      <c r="A761" s="3">
        <f t="shared" si="11"/>
        <v>10167.950000000012</v>
      </c>
      <c r="H761" s="5" t="str">
        <f>TEXT(Table313[[#This Row],[Value Date]],"mmmm")</f>
        <v>January</v>
      </c>
    </row>
    <row r="762" spans="1:8">
      <c r="A762" s="3">
        <f t="shared" si="11"/>
        <v>10167.950000000012</v>
      </c>
      <c r="H762" s="5" t="str">
        <f>TEXT(Table313[[#This Row],[Value Date]],"mmmm")</f>
        <v>January</v>
      </c>
    </row>
    <row r="763" spans="1:8">
      <c r="A763" s="3">
        <f t="shared" si="11"/>
        <v>10167.950000000012</v>
      </c>
      <c r="H763" s="5" t="str">
        <f>TEXT(Table313[[#This Row],[Value Date]],"mmmm")</f>
        <v>January</v>
      </c>
    </row>
    <row r="764" spans="1:8">
      <c r="A764" s="3">
        <f t="shared" si="11"/>
        <v>10167.950000000012</v>
      </c>
      <c r="H764" s="5" t="str">
        <f>TEXT(Table313[[#This Row],[Value Date]],"mmmm")</f>
        <v>January</v>
      </c>
    </row>
    <row r="765" spans="1:8">
      <c r="A765" s="3">
        <f t="shared" si="11"/>
        <v>10167.950000000012</v>
      </c>
      <c r="H765" s="5" t="str">
        <f>TEXT(Table313[[#This Row],[Value Date]],"mmmm")</f>
        <v>January</v>
      </c>
    </row>
    <row r="766" spans="1:8">
      <c r="A766" s="3">
        <f t="shared" si="11"/>
        <v>10167.950000000012</v>
      </c>
      <c r="H766" s="5" t="str">
        <f>TEXT(Table313[[#This Row],[Value Date]],"mmmm")</f>
        <v>January</v>
      </c>
    </row>
    <row r="767" spans="1:8">
      <c r="A767" s="3">
        <f t="shared" si="11"/>
        <v>10167.950000000012</v>
      </c>
      <c r="H767" s="5" t="str">
        <f>TEXT(Table313[[#This Row],[Value Date]],"mmmm")</f>
        <v>January</v>
      </c>
    </row>
    <row r="768" spans="1:8">
      <c r="A768" s="3">
        <f t="shared" si="11"/>
        <v>10167.950000000012</v>
      </c>
      <c r="H768" s="5" t="str">
        <f>TEXT(Table313[[#This Row],[Value Date]],"mmmm")</f>
        <v>January</v>
      </c>
    </row>
    <row r="769" spans="1:8">
      <c r="A769" s="3">
        <f t="shared" si="11"/>
        <v>10167.950000000012</v>
      </c>
      <c r="H769" s="5" t="str">
        <f>TEXT(Table313[[#This Row],[Value Date]],"mmmm")</f>
        <v>January</v>
      </c>
    </row>
    <row r="770" spans="1:8">
      <c r="A770" s="3">
        <f t="shared" si="11"/>
        <v>10167.950000000012</v>
      </c>
      <c r="H770" s="5" t="str">
        <f>TEXT(Table313[[#This Row],[Value Date]],"mmmm")</f>
        <v>January</v>
      </c>
    </row>
    <row r="771" spans="1:8">
      <c r="A771" s="3">
        <f t="shared" si="11"/>
        <v>10167.950000000012</v>
      </c>
      <c r="H771" s="5" t="str">
        <f>TEXT(Table313[[#This Row],[Value Date]],"mmmm")</f>
        <v>January</v>
      </c>
    </row>
    <row r="772" spans="1:8">
      <c r="A772" s="3">
        <f t="shared" si="11"/>
        <v>10167.950000000012</v>
      </c>
      <c r="H772" s="5" t="str">
        <f>TEXT(Table313[[#This Row],[Value Date]],"mmmm")</f>
        <v>January</v>
      </c>
    </row>
    <row r="773" spans="1:8">
      <c r="A773" s="3">
        <f t="shared" si="11"/>
        <v>10167.950000000012</v>
      </c>
      <c r="H773" s="5" t="str">
        <f>TEXT(Table313[[#This Row],[Value Date]],"mmmm")</f>
        <v>January</v>
      </c>
    </row>
    <row r="774" spans="1:8">
      <c r="A774" s="3">
        <f t="shared" ref="A774:A837" si="12">A773+B774-C774</f>
        <v>10167.950000000012</v>
      </c>
      <c r="H774" s="5" t="str">
        <f>TEXT(Table313[[#This Row],[Value Date]],"mmmm")</f>
        <v>January</v>
      </c>
    </row>
    <row r="775" spans="1:8">
      <c r="A775" s="3">
        <f t="shared" si="12"/>
        <v>10167.950000000012</v>
      </c>
      <c r="H775" s="5" t="str">
        <f>TEXT(Table313[[#This Row],[Value Date]],"mmmm")</f>
        <v>January</v>
      </c>
    </row>
    <row r="776" spans="1:8">
      <c r="A776" s="3">
        <f t="shared" si="12"/>
        <v>10167.950000000012</v>
      </c>
      <c r="H776" s="5" t="str">
        <f>TEXT(Table313[[#This Row],[Value Date]],"mmmm")</f>
        <v>January</v>
      </c>
    </row>
    <row r="777" spans="1:8">
      <c r="A777" s="3">
        <f t="shared" si="12"/>
        <v>10167.950000000012</v>
      </c>
      <c r="H777" s="5" t="str">
        <f>TEXT(Table313[[#This Row],[Value Date]],"mmmm")</f>
        <v>January</v>
      </c>
    </row>
    <row r="778" spans="1:8">
      <c r="A778" s="3">
        <f t="shared" si="12"/>
        <v>10167.950000000012</v>
      </c>
      <c r="H778" s="5" t="str">
        <f>TEXT(Table313[[#This Row],[Value Date]],"mmmm")</f>
        <v>January</v>
      </c>
    </row>
    <row r="779" spans="1:8">
      <c r="A779" s="3">
        <f t="shared" si="12"/>
        <v>10167.950000000012</v>
      </c>
      <c r="H779" s="5" t="str">
        <f>TEXT(Table313[[#This Row],[Value Date]],"mmmm")</f>
        <v>January</v>
      </c>
    </row>
    <row r="780" spans="1:8">
      <c r="A780" s="3">
        <f t="shared" si="12"/>
        <v>10167.950000000012</v>
      </c>
      <c r="H780" s="5" t="str">
        <f>TEXT(Table313[[#This Row],[Value Date]],"mmmm")</f>
        <v>January</v>
      </c>
    </row>
    <row r="781" spans="1:8">
      <c r="A781" s="3">
        <f t="shared" si="12"/>
        <v>10167.950000000012</v>
      </c>
      <c r="H781" s="5" t="str">
        <f>TEXT(Table313[[#This Row],[Value Date]],"mmmm")</f>
        <v>January</v>
      </c>
    </row>
    <row r="782" spans="1:8">
      <c r="A782" s="3">
        <f t="shared" si="12"/>
        <v>10167.950000000012</v>
      </c>
      <c r="H782" s="5" t="str">
        <f>TEXT(Table313[[#This Row],[Value Date]],"mmmm")</f>
        <v>January</v>
      </c>
    </row>
    <row r="783" spans="1:8">
      <c r="A783" s="3">
        <f t="shared" si="12"/>
        <v>10167.950000000012</v>
      </c>
      <c r="H783" s="5" t="str">
        <f>TEXT(Table313[[#This Row],[Value Date]],"mmmm")</f>
        <v>January</v>
      </c>
    </row>
    <row r="784" spans="1:8">
      <c r="A784" s="3">
        <f t="shared" si="12"/>
        <v>10167.950000000012</v>
      </c>
      <c r="H784" s="5" t="str">
        <f>TEXT(Table313[[#This Row],[Value Date]],"mmmm")</f>
        <v>January</v>
      </c>
    </row>
    <row r="785" spans="1:8">
      <c r="A785" s="3">
        <f t="shared" si="12"/>
        <v>10167.950000000012</v>
      </c>
      <c r="H785" s="5" t="str">
        <f>TEXT(Table313[[#This Row],[Value Date]],"mmmm")</f>
        <v>January</v>
      </c>
    </row>
    <row r="786" spans="1:8">
      <c r="A786" s="3">
        <f t="shared" si="12"/>
        <v>10167.950000000012</v>
      </c>
      <c r="H786" s="5" t="str">
        <f>TEXT(Table313[[#This Row],[Value Date]],"mmmm")</f>
        <v>January</v>
      </c>
    </row>
    <row r="787" spans="1:8">
      <c r="A787" s="3">
        <f t="shared" si="12"/>
        <v>10167.950000000012</v>
      </c>
      <c r="H787" s="5" t="str">
        <f>TEXT(Table313[[#This Row],[Value Date]],"mmmm")</f>
        <v>January</v>
      </c>
    </row>
    <row r="788" spans="1:8">
      <c r="A788" s="3">
        <f t="shared" si="12"/>
        <v>10167.950000000012</v>
      </c>
      <c r="H788" s="5" t="str">
        <f>TEXT(Table313[[#This Row],[Value Date]],"mmmm")</f>
        <v>January</v>
      </c>
    </row>
    <row r="789" spans="1:8">
      <c r="A789" s="3">
        <f t="shared" si="12"/>
        <v>10167.950000000012</v>
      </c>
      <c r="H789" s="5" t="str">
        <f>TEXT(Table313[[#This Row],[Value Date]],"mmmm")</f>
        <v>January</v>
      </c>
    </row>
    <row r="790" spans="1:8">
      <c r="A790" s="3">
        <f t="shared" si="12"/>
        <v>10167.950000000012</v>
      </c>
      <c r="H790" s="5" t="str">
        <f>TEXT(Table313[[#This Row],[Value Date]],"mmmm")</f>
        <v>January</v>
      </c>
    </row>
    <row r="791" spans="1:8">
      <c r="A791" s="3">
        <f t="shared" si="12"/>
        <v>10167.950000000012</v>
      </c>
      <c r="H791" s="5" t="str">
        <f>TEXT(Table313[[#This Row],[Value Date]],"mmmm")</f>
        <v>January</v>
      </c>
    </row>
    <row r="792" spans="1:8">
      <c r="A792" s="3">
        <f t="shared" si="12"/>
        <v>10167.950000000012</v>
      </c>
      <c r="H792" s="5" t="str">
        <f>TEXT(Table313[[#This Row],[Value Date]],"mmmm")</f>
        <v>January</v>
      </c>
    </row>
    <row r="793" spans="1:8">
      <c r="A793" s="3">
        <f t="shared" si="12"/>
        <v>10167.950000000012</v>
      </c>
      <c r="H793" s="5" t="str">
        <f>TEXT(Table313[[#This Row],[Value Date]],"mmmm")</f>
        <v>January</v>
      </c>
    </row>
    <row r="794" spans="1:8">
      <c r="A794" s="3">
        <f t="shared" si="12"/>
        <v>10167.950000000012</v>
      </c>
      <c r="H794" s="5" t="str">
        <f>TEXT(Table313[[#This Row],[Value Date]],"mmmm")</f>
        <v>January</v>
      </c>
    </row>
    <row r="795" spans="1:8">
      <c r="A795" s="3">
        <f t="shared" si="12"/>
        <v>10167.950000000012</v>
      </c>
      <c r="H795" s="5" t="str">
        <f>TEXT(Table313[[#This Row],[Value Date]],"mmmm")</f>
        <v>January</v>
      </c>
    </row>
    <row r="796" spans="1:8">
      <c r="A796" s="3">
        <f t="shared" si="12"/>
        <v>10167.950000000012</v>
      </c>
      <c r="H796" s="5" t="str">
        <f>TEXT(Table313[[#This Row],[Value Date]],"mmmm")</f>
        <v>January</v>
      </c>
    </row>
    <row r="797" spans="1:8">
      <c r="A797" s="3">
        <f t="shared" si="12"/>
        <v>10167.950000000012</v>
      </c>
      <c r="H797" s="5" t="str">
        <f>TEXT(Table313[[#This Row],[Value Date]],"mmmm")</f>
        <v>January</v>
      </c>
    </row>
    <row r="798" spans="1:8">
      <c r="A798" s="3">
        <f t="shared" si="12"/>
        <v>10167.950000000012</v>
      </c>
      <c r="H798" s="5" t="str">
        <f>TEXT(Table313[[#This Row],[Value Date]],"mmmm")</f>
        <v>January</v>
      </c>
    </row>
    <row r="799" spans="1:8">
      <c r="A799" s="3">
        <f t="shared" si="12"/>
        <v>10167.950000000012</v>
      </c>
      <c r="H799" s="5" t="str">
        <f>TEXT(Table313[[#This Row],[Value Date]],"mmmm")</f>
        <v>January</v>
      </c>
    </row>
    <row r="800" spans="1:8">
      <c r="A800" s="3">
        <f t="shared" si="12"/>
        <v>10167.950000000012</v>
      </c>
      <c r="H800" s="5" t="str">
        <f>TEXT(Table313[[#This Row],[Value Date]],"mmmm")</f>
        <v>January</v>
      </c>
    </row>
    <row r="801" spans="1:8">
      <c r="A801" s="3">
        <f t="shared" si="12"/>
        <v>10167.950000000012</v>
      </c>
      <c r="H801" s="5" t="str">
        <f>TEXT(Table313[[#This Row],[Value Date]],"mmmm")</f>
        <v>January</v>
      </c>
    </row>
    <row r="802" spans="1:8">
      <c r="A802" s="3">
        <f t="shared" si="12"/>
        <v>10167.950000000012</v>
      </c>
      <c r="H802" s="5" t="str">
        <f>TEXT(Table313[[#This Row],[Value Date]],"mmmm")</f>
        <v>January</v>
      </c>
    </row>
    <row r="803" spans="1:8">
      <c r="A803" s="3">
        <f t="shared" si="12"/>
        <v>10167.950000000012</v>
      </c>
      <c r="H803" s="5" t="str">
        <f>TEXT(Table313[[#This Row],[Value Date]],"mmmm")</f>
        <v>January</v>
      </c>
    </row>
    <row r="804" spans="1:8">
      <c r="A804" s="3">
        <f t="shared" si="12"/>
        <v>10167.950000000012</v>
      </c>
      <c r="H804" s="5" t="str">
        <f>TEXT(Table313[[#This Row],[Value Date]],"mmmm")</f>
        <v>January</v>
      </c>
    </row>
    <row r="805" spans="1:8">
      <c r="A805" s="3">
        <f t="shared" si="12"/>
        <v>10167.950000000012</v>
      </c>
      <c r="H805" s="5" t="str">
        <f>TEXT(Table313[[#This Row],[Value Date]],"mmmm")</f>
        <v>January</v>
      </c>
    </row>
    <row r="806" spans="1:8">
      <c r="A806" s="3">
        <f t="shared" si="12"/>
        <v>10167.950000000012</v>
      </c>
      <c r="H806" s="5" t="str">
        <f>TEXT(Table313[[#This Row],[Value Date]],"mmmm")</f>
        <v>January</v>
      </c>
    </row>
    <row r="807" spans="1:8">
      <c r="A807" s="3">
        <f t="shared" si="12"/>
        <v>10167.950000000012</v>
      </c>
      <c r="H807" s="5" t="str">
        <f>TEXT(Table313[[#This Row],[Value Date]],"mmmm")</f>
        <v>January</v>
      </c>
    </row>
    <row r="808" spans="1:8">
      <c r="A808" s="3">
        <f t="shared" si="12"/>
        <v>10167.950000000012</v>
      </c>
      <c r="H808" s="5" t="str">
        <f>TEXT(Table313[[#This Row],[Value Date]],"mmmm")</f>
        <v>January</v>
      </c>
    </row>
    <row r="809" spans="1:8">
      <c r="A809" s="3">
        <f t="shared" si="12"/>
        <v>10167.950000000012</v>
      </c>
      <c r="H809" s="5" t="str">
        <f>TEXT(Table313[[#This Row],[Value Date]],"mmmm")</f>
        <v>January</v>
      </c>
    </row>
    <row r="810" spans="1:8">
      <c r="A810" s="3">
        <f t="shared" si="12"/>
        <v>10167.950000000012</v>
      </c>
      <c r="H810" s="5" t="str">
        <f>TEXT(Table313[[#This Row],[Value Date]],"mmmm")</f>
        <v>January</v>
      </c>
    </row>
    <row r="811" spans="1:8">
      <c r="A811" s="3">
        <f t="shared" si="12"/>
        <v>10167.950000000012</v>
      </c>
      <c r="H811" s="5" t="str">
        <f>TEXT(Table313[[#This Row],[Value Date]],"mmmm")</f>
        <v>January</v>
      </c>
    </row>
    <row r="812" spans="1:8">
      <c r="A812" s="3">
        <f t="shared" si="12"/>
        <v>10167.950000000012</v>
      </c>
      <c r="H812" s="5" t="str">
        <f>TEXT(Table313[[#This Row],[Value Date]],"mmmm")</f>
        <v>January</v>
      </c>
    </row>
    <row r="813" spans="1:8">
      <c r="A813" s="3">
        <f t="shared" si="12"/>
        <v>10167.950000000012</v>
      </c>
      <c r="H813" s="5" t="str">
        <f>TEXT(Table313[[#This Row],[Value Date]],"mmmm")</f>
        <v>January</v>
      </c>
    </row>
    <row r="814" spans="1:8">
      <c r="A814" s="3">
        <f t="shared" si="12"/>
        <v>10167.950000000012</v>
      </c>
      <c r="H814" s="5" t="str">
        <f>TEXT(Table313[[#This Row],[Value Date]],"mmmm")</f>
        <v>January</v>
      </c>
    </row>
    <row r="815" spans="1:8">
      <c r="A815" s="3">
        <f t="shared" si="12"/>
        <v>10167.950000000012</v>
      </c>
      <c r="H815" s="5" t="str">
        <f>TEXT(Table313[[#This Row],[Value Date]],"mmmm")</f>
        <v>January</v>
      </c>
    </row>
    <row r="816" spans="1:8">
      <c r="A816" s="3">
        <f t="shared" si="12"/>
        <v>10167.950000000012</v>
      </c>
      <c r="H816" s="5" t="str">
        <f>TEXT(Table313[[#This Row],[Value Date]],"mmmm")</f>
        <v>January</v>
      </c>
    </row>
    <row r="817" spans="1:8">
      <c r="A817" s="3">
        <f t="shared" si="12"/>
        <v>10167.950000000012</v>
      </c>
      <c r="H817" s="5" t="str">
        <f>TEXT(Table313[[#This Row],[Value Date]],"mmmm")</f>
        <v>January</v>
      </c>
    </row>
    <row r="818" spans="1:8">
      <c r="A818" s="3">
        <f t="shared" si="12"/>
        <v>10167.950000000012</v>
      </c>
      <c r="H818" s="5" t="str">
        <f>TEXT(Table313[[#This Row],[Value Date]],"mmmm")</f>
        <v>January</v>
      </c>
    </row>
    <row r="819" spans="1:8">
      <c r="A819" s="3">
        <f t="shared" si="12"/>
        <v>10167.950000000012</v>
      </c>
      <c r="H819" s="5" t="str">
        <f>TEXT(Table313[[#This Row],[Value Date]],"mmmm")</f>
        <v>January</v>
      </c>
    </row>
    <row r="820" spans="1:8">
      <c r="A820" s="3">
        <f t="shared" si="12"/>
        <v>10167.950000000012</v>
      </c>
      <c r="H820" s="5" t="str">
        <f>TEXT(Table313[[#This Row],[Value Date]],"mmmm")</f>
        <v>January</v>
      </c>
    </row>
    <row r="821" spans="1:8">
      <c r="A821" s="3">
        <f t="shared" si="12"/>
        <v>10167.950000000012</v>
      </c>
      <c r="H821" s="5" t="str">
        <f>TEXT(Table313[[#This Row],[Value Date]],"mmmm")</f>
        <v>January</v>
      </c>
    </row>
    <row r="822" spans="1:8">
      <c r="A822" s="3">
        <f t="shared" si="12"/>
        <v>10167.950000000012</v>
      </c>
      <c r="H822" s="5" t="str">
        <f>TEXT(Table313[[#This Row],[Value Date]],"mmmm")</f>
        <v>January</v>
      </c>
    </row>
    <row r="823" spans="1:8">
      <c r="A823" s="3">
        <f t="shared" si="12"/>
        <v>10167.950000000012</v>
      </c>
      <c r="H823" s="5" t="str">
        <f>TEXT(Table313[[#This Row],[Value Date]],"mmmm")</f>
        <v>January</v>
      </c>
    </row>
    <row r="824" spans="1:8">
      <c r="A824" s="3">
        <f t="shared" si="12"/>
        <v>10167.950000000012</v>
      </c>
      <c r="H824" s="5" t="str">
        <f>TEXT(Table313[[#This Row],[Value Date]],"mmmm")</f>
        <v>January</v>
      </c>
    </row>
    <row r="825" spans="1:8">
      <c r="A825" s="3">
        <f t="shared" si="12"/>
        <v>10167.950000000012</v>
      </c>
      <c r="H825" s="5" t="str">
        <f>TEXT(Table313[[#This Row],[Value Date]],"mmmm")</f>
        <v>January</v>
      </c>
    </row>
    <row r="826" spans="1:8">
      <c r="A826" s="3">
        <f t="shared" si="12"/>
        <v>10167.950000000012</v>
      </c>
      <c r="H826" s="5" t="str">
        <f>TEXT(Table313[[#This Row],[Value Date]],"mmmm")</f>
        <v>January</v>
      </c>
    </row>
    <row r="827" spans="1:8">
      <c r="A827" s="3">
        <f t="shared" si="12"/>
        <v>10167.950000000012</v>
      </c>
      <c r="H827" s="5" t="str">
        <f>TEXT(Table313[[#This Row],[Value Date]],"mmmm")</f>
        <v>January</v>
      </c>
    </row>
    <row r="828" spans="1:8">
      <c r="A828" s="3">
        <f t="shared" si="12"/>
        <v>10167.950000000012</v>
      </c>
      <c r="H828" s="5" t="str">
        <f>TEXT(Table313[[#This Row],[Value Date]],"mmmm")</f>
        <v>January</v>
      </c>
    </row>
    <row r="829" spans="1:8">
      <c r="A829" s="3">
        <f t="shared" si="12"/>
        <v>10167.950000000012</v>
      </c>
      <c r="H829" s="5" t="str">
        <f>TEXT(Table313[[#This Row],[Value Date]],"mmmm")</f>
        <v>January</v>
      </c>
    </row>
    <row r="830" spans="1:8">
      <c r="A830" s="3">
        <f t="shared" si="12"/>
        <v>10167.950000000012</v>
      </c>
      <c r="H830" s="5" t="str">
        <f>TEXT(Table313[[#This Row],[Value Date]],"mmmm")</f>
        <v>January</v>
      </c>
    </row>
    <row r="831" spans="1:8">
      <c r="A831" s="3">
        <f t="shared" si="12"/>
        <v>10167.950000000012</v>
      </c>
      <c r="H831" s="5" t="str">
        <f>TEXT(Table313[[#This Row],[Value Date]],"mmmm")</f>
        <v>January</v>
      </c>
    </row>
    <row r="832" spans="1:8">
      <c r="A832" s="3">
        <f t="shared" si="12"/>
        <v>10167.950000000012</v>
      </c>
      <c r="H832" s="5" t="str">
        <f>TEXT(Table313[[#This Row],[Value Date]],"mmmm")</f>
        <v>January</v>
      </c>
    </row>
    <row r="833" spans="1:8">
      <c r="A833" s="3">
        <f t="shared" si="12"/>
        <v>10167.950000000012</v>
      </c>
      <c r="H833" s="5" t="str">
        <f>TEXT(Table313[[#This Row],[Value Date]],"mmmm")</f>
        <v>January</v>
      </c>
    </row>
    <row r="834" spans="1:8">
      <c r="A834" s="3">
        <f t="shared" si="12"/>
        <v>10167.950000000012</v>
      </c>
      <c r="H834" s="5" t="str">
        <f>TEXT(Table313[[#This Row],[Value Date]],"mmmm")</f>
        <v>January</v>
      </c>
    </row>
    <row r="835" spans="1:8">
      <c r="A835" s="3">
        <f t="shared" si="12"/>
        <v>10167.950000000012</v>
      </c>
      <c r="H835" s="5" t="str">
        <f>TEXT(Table313[[#This Row],[Value Date]],"mmmm")</f>
        <v>January</v>
      </c>
    </row>
    <row r="836" spans="1:8">
      <c r="A836" s="3">
        <f t="shared" si="12"/>
        <v>10167.950000000012</v>
      </c>
      <c r="H836" s="5" t="str">
        <f>TEXT(Table313[[#This Row],[Value Date]],"mmmm")</f>
        <v>January</v>
      </c>
    </row>
    <row r="837" spans="1:8">
      <c r="A837" s="3">
        <f t="shared" si="12"/>
        <v>10167.950000000012</v>
      </c>
      <c r="H837" s="5" t="str">
        <f>TEXT(Table313[[#This Row],[Value Date]],"mmmm")</f>
        <v>January</v>
      </c>
    </row>
    <row r="838" spans="1:8">
      <c r="A838" s="3">
        <f t="shared" ref="A838:A856" si="13">A837+B838-C838</f>
        <v>10167.950000000012</v>
      </c>
      <c r="H838" s="5" t="str">
        <f>TEXT(Table313[[#This Row],[Value Date]],"mmmm")</f>
        <v>January</v>
      </c>
    </row>
    <row r="839" spans="1:8">
      <c r="A839" s="3">
        <f t="shared" si="13"/>
        <v>10167.950000000012</v>
      </c>
      <c r="H839" s="5" t="str">
        <f>TEXT(Table313[[#This Row],[Value Date]],"mmmm")</f>
        <v>January</v>
      </c>
    </row>
    <row r="840" spans="1:8">
      <c r="A840" s="3">
        <f t="shared" si="13"/>
        <v>10167.950000000012</v>
      </c>
      <c r="H840" s="5" t="str">
        <f>TEXT(Table313[[#This Row],[Value Date]],"mmmm")</f>
        <v>January</v>
      </c>
    </row>
    <row r="841" spans="1:8">
      <c r="A841" s="3">
        <f t="shared" si="13"/>
        <v>10167.950000000012</v>
      </c>
      <c r="H841" s="5" t="str">
        <f>TEXT(Table313[[#This Row],[Value Date]],"mmmm")</f>
        <v>January</v>
      </c>
    </row>
    <row r="842" spans="1:8">
      <c r="A842" s="3">
        <f t="shared" si="13"/>
        <v>10167.950000000012</v>
      </c>
      <c r="H842" s="5" t="str">
        <f>TEXT(Table313[[#This Row],[Value Date]],"mmmm")</f>
        <v>January</v>
      </c>
    </row>
    <row r="843" spans="1:8">
      <c r="A843" s="3">
        <f t="shared" si="13"/>
        <v>10167.950000000012</v>
      </c>
      <c r="H843" s="5" t="str">
        <f>TEXT(Table313[[#This Row],[Value Date]],"mmmm")</f>
        <v>January</v>
      </c>
    </row>
    <row r="844" spans="1:8">
      <c r="A844" s="3">
        <f t="shared" si="13"/>
        <v>10167.950000000012</v>
      </c>
      <c r="H844" s="5" t="str">
        <f>TEXT(Table313[[#This Row],[Value Date]],"mmmm")</f>
        <v>January</v>
      </c>
    </row>
    <row r="845" spans="1:8">
      <c r="A845" s="3">
        <f t="shared" si="13"/>
        <v>10167.950000000012</v>
      </c>
      <c r="H845" s="5" t="str">
        <f>TEXT(Table313[[#This Row],[Value Date]],"mmmm")</f>
        <v>January</v>
      </c>
    </row>
    <row r="846" spans="1:8">
      <c r="A846" s="3">
        <f t="shared" si="13"/>
        <v>10167.950000000012</v>
      </c>
      <c r="H846" s="5" t="str">
        <f>TEXT(Table313[[#This Row],[Value Date]],"mmmm")</f>
        <v>January</v>
      </c>
    </row>
    <row r="847" spans="1:8">
      <c r="A847" s="3">
        <f t="shared" si="13"/>
        <v>10167.950000000012</v>
      </c>
      <c r="H847" s="5" t="str">
        <f>TEXT(Table313[[#This Row],[Value Date]],"mmmm")</f>
        <v>January</v>
      </c>
    </row>
    <row r="848" spans="1:8">
      <c r="A848" s="3">
        <f t="shared" si="13"/>
        <v>10167.950000000012</v>
      </c>
      <c r="H848" s="5" t="str">
        <f>TEXT(Table313[[#This Row],[Value Date]],"mmmm")</f>
        <v>January</v>
      </c>
    </row>
    <row r="849" spans="1:10">
      <c r="A849" s="3">
        <f t="shared" si="13"/>
        <v>10167.950000000012</v>
      </c>
      <c r="H849" s="5" t="str">
        <f>TEXT(Table313[[#This Row],[Value Date]],"mmmm")</f>
        <v>January</v>
      </c>
    </row>
    <row r="850" spans="1:10">
      <c r="A850" s="3">
        <f t="shared" si="13"/>
        <v>10167.950000000012</v>
      </c>
      <c r="H850" s="5" t="str">
        <f>TEXT(Table313[[#This Row],[Value Date]],"mmmm")</f>
        <v>January</v>
      </c>
    </row>
    <row r="851" spans="1:10">
      <c r="A851" s="3">
        <f t="shared" si="13"/>
        <v>10167.950000000012</v>
      </c>
      <c r="H851" s="5" t="str">
        <f>TEXT(Table313[[#This Row],[Value Date]],"mmmm")</f>
        <v>January</v>
      </c>
    </row>
    <row r="852" spans="1:10">
      <c r="A852" s="3">
        <f t="shared" si="13"/>
        <v>10167.950000000012</v>
      </c>
      <c r="H852" s="5" t="str">
        <f>TEXT(Table313[[#This Row],[Value Date]],"mmmm")</f>
        <v>January</v>
      </c>
    </row>
    <row r="853" spans="1:10">
      <c r="A853" s="3">
        <f t="shared" si="13"/>
        <v>10167.950000000012</v>
      </c>
      <c r="H853" s="5" t="str">
        <f>TEXT(Table313[[#This Row],[Value Date]],"mmmm")</f>
        <v>January</v>
      </c>
    </row>
    <row r="854" spans="1:10">
      <c r="A854" s="3">
        <f t="shared" si="13"/>
        <v>10167.950000000012</v>
      </c>
      <c r="H854" s="5" t="str">
        <f>TEXT(Table313[[#This Row],[Value Date]],"mmmm")</f>
        <v>January</v>
      </c>
    </row>
    <row r="855" spans="1:10">
      <c r="A855" s="3">
        <f t="shared" si="13"/>
        <v>10167.950000000012</v>
      </c>
      <c r="H855" s="5" t="str">
        <f>TEXT(Table313[[#This Row],[Value Date]],"mmmm")</f>
        <v>January</v>
      </c>
    </row>
    <row r="856" spans="1:10" s="15" customFormat="1">
      <c r="A856" s="12">
        <f t="shared" si="13"/>
        <v>10167.950000000012</v>
      </c>
      <c r="B856" s="12"/>
      <c r="C856" s="12"/>
      <c r="D856" s="13"/>
      <c r="E856" s="13"/>
      <c r="F856" s="13"/>
      <c r="G856" s="14" t="s">
        <v>33</v>
      </c>
      <c r="H856" s="14" t="str">
        <f>TEXT(Table313[[#This Row],[Value Date]],"mmmm")</f>
        <v>January</v>
      </c>
      <c r="I856" s="13"/>
      <c r="J856" s="13"/>
    </row>
  </sheetData>
  <pageMargins left="0.7" right="0.7" top="0.75" bottom="0.75" header="0.3" footer="0.3"/>
  <pageSetup paperSize="9" scale="23" orientation="portrait" r:id="rId1"/>
  <rowBreaks count="2" manualBreakCount="2">
    <brk id="241" max="9" man="1"/>
    <brk id="367" max="9" man="1"/>
  </rowBreak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C0142-4AF8-4152-9C61-222D052966D1}">
  <sheetPr codeName="Sheet4"/>
  <dimension ref="A1:P18"/>
  <sheetViews>
    <sheetView workbookViewId="0"/>
  </sheetViews>
  <sheetFormatPr defaultRowHeight="15"/>
  <cols>
    <col min="1" max="1" width="11.5703125" bestFit="1" customWidth="1"/>
    <col min="2" max="2" width="9.85546875" bestFit="1" customWidth="1"/>
    <col min="3" max="3" width="23.85546875" bestFit="1" customWidth="1"/>
    <col min="4" max="4" width="15.42578125" bestFit="1" customWidth="1"/>
    <col min="5" max="5" width="23.5703125" bestFit="1" customWidth="1"/>
    <col min="6" max="6" width="9.42578125" bestFit="1" customWidth="1"/>
    <col min="7" max="7" width="11.7109375" bestFit="1" customWidth="1"/>
    <col min="8" max="8" width="16" bestFit="1" customWidth="1"/>
    <col min="9" max="9" width="24.42578125" bestFit="1" customWidth="1"/>
    <col min="10" max="10" width="15.42578125" bestFit="1" customWidth="1"/>
    <col min="11" max="11" width="12" style="1" bestFit="1" customWidth="1"/>
    <col min="12" max="12" width="11.85546875" bestFit="1" customWidth="1"/>
    <col min="14" max="14" width="11.28515625" bestFit="1" customWidth="1"/>
    <col min="15" max="15" width="12.85546875" bestFit="1" customWidth="1"/>
    <col min="16" max="16" width="6.5703125" bestFit="1" customWidth="1"/>
  </cols>
  <sheetData>
    <row r="1" spans="1:16" ht="21.75" thickBot="1">
      <c r="J1" s="29" t="s">
        <v>11</v>
      </c>
      <c r="K1" s="25">
        <f>SUBTOTAL(9,Table478[[العهدة ]])</f>
        <v>0</v>
      </c>
    </row>
    <row r="2" spans="1:16" s="35" customFormat="1" ht="26.25" customHeight="1">
      <c r="A2" s="30" t="s">
        <v>0</v>
      </c>
      <c r="B2" s="31" t="s">
        <v>1</v>
      </c>
      <c r="C2" s="31" t="s">
        <v>2</v>
      </c>
      <c r="D2" s="31" t="s">
        <v>3</v>
      </c>
      <c r="E2" s="31" t="s">
        <v>5</v>
      </c>
      <c r="F2" s="31" t="s">
        <v>8</v>
      </c>
      <c r="G2" s="32" t="s">
        <v>7</v>
      </c>
      <c r="H2" s="32" t="s">
        <v>4</v>
      </c>
      <c r="I2" s="32" t="s">
        <v>34</v>
      </c>
      <c r="J2" s="32" t="s">
        <v>49</v>
      </c>
      <c r="K2" s="33" t="s">
        <v>50</v>
      </c>
      <c r="L2" s="34" t="s">
        <v>12</v>
      </c>
      <c r="N2" s="38" t="s">
        <v>35</v>
      </c>
      <c r="O2" s="38" t="s">
        <v>36</v>
      </c>
      <c r="P2" s="35" t="s">
        <v>42</v>
      </c>
    </row>
    <row r="3" spans="1:16">
      <c r="A3" s="18"/>
      <c r="B3" s="19" t="str">
        <f>TEXT(Table478[[#This Row],[التاريخ ]],"mmmm")</f>
        <v>January</v>
      </c>
      <c r="C3" s="19"/>
      <c r="D3" s="19" t="e">
        <f>VLOOKUP(E:E,'قاعدة بيانات  '!K:L,2,0)</f>
        <v>#N/A</v>
      </c>
      <c r="E3" s="19"/>
      <c r="F3" s="19"/>
      <c r="G3" s="19"/>
      <c r="H3" s="19"/>
      <c r="I3" s="19"/>
      <c r="J3" s="19"/>
      <c r="K3" s="27"/>
      <c r="N3" t="s">
        <v>39</v>
      </c>
    </row>
    <row r="4" spans="1:16">
      <c r="A4" s="21"/>
      <c r="B4" s="19" t="str">
        <f>TEXT(Table478[[#This Row],[التاريخ ]],"mmmm")</f>
        <v>January</v>
      </c>
      <c r="C4" s="19"/>
      <c r="D4" s="19" t="e">
        <f>VLOOKUP(E:E,'قاعدة بيانات  '!K:L,2,0)</f>
        <v>#N/A</v>
      </c>
      <c r="E4" s="19"/>
      <c r="F4" s="19"/>
      <c r="G4" s="19"/>
      <c r="H4" s="19"/>
      <c r="I4" s="19"/>
      <c r="J4" s="19"/>
      <c r="K4" s="27"/>
    </row>
    <row r="5" spans="1:16">
      <c r="A5" s="21"/>
      <c r="B5" s="19" t="str">
        <f>TEXT(Table478[[#This Row],[التاريخ ]],"mmmm")</f>
        <v>January</v>
      </c>
      <c r="C5" s="19"/>
      <c r="D5" s="19" t="e">
        <f>VLOOKUP(E:E,'قاعدة بيانات  '!K:L,2,0)</f>
        <v>#N/A</v>
      </c>
      <c r="E5" s="19"/>
      <c r="F5" s="19"/>
      <c r="G5" s="19"/>
      <c r="H5" s="19"/>
      <c r="I5" s="19"/>
      <c r="J5" s="19"/>
      <c r="K5" s="27"/>
    </row>
    <row r="6" spans="1:16">
      <c r="A6" s="21"/>
      <c r="B6" s="19" t="str">
        <f>TEXT(Table478[[#This Row],[التاريخ ]],"mmmm")</f>
        <v>January</v>
      </c>
      <c r="C6" s="19"/>
      <c r="D6" s="19" t="e">
        <f>VLOOKUP(E:E,'قاعدة بيانات  '!K:L,2,0)</f>
        <v>#N/A</v>
      </c>
      <c r="E6" s="19"/>
      <c r="F6" s="19"/>
      <c r="G6" s="19"/>
      <c r="H6" s="19"/>
      <c r="I6" s="19"/>
      <c r="J6" s="19"/>
      <c r="K6" s="27"/>
    </row>
    <row r="7" spans="1:16">
      <c r="A7" s="21"/>
      <c r="B7" s="19" t="str">
        <f>TEXT(Table478[[#This Row],[التاريخ ]],"mmmm")</f>
        <v>January</v>
      </c>
      <c r="C7" s="19"/>
      <c r="D7" s="19" t="e">
        <f>VLOOKUP(E:E,'قاعدة بيانات  '!K:L,2,0)</f>
        <v>#N/A</v>
      </c>
      <c r="E7" s="19"/>
      <c r="F7" s="19"/>
      <c r="G7" s="19"/>
      <c r="H7" s="19"/>
      <c r="I7" s="19"/>
      <c r="J7" s="19"/>
      <c r="K7" s="27"/>
    </row>
    <row r="8" spans="1:16">
      <c r="A8" s="21"/>
      <c r="B8" s="19" t="str">
        <f>TEXT(Table478[[#This Row],[التاريخ ]],"mmmm")</f>
        <v>January</v>
      </c>
      <c r="C8" s="19"/>
      <c r="D8" s="19" t="e">
        <f>VLOOKUP(E:E,'قاعدة بيانات  '!K:L,2,0)</f>
        <v>#N/A</v>
      </c>
      <c r="E8" s="19"/>
      <c r="F8" s="19"/>
      <c r="G8" s="19"/>
      <c r="H8" s="19"/>
      <c r="I8" s="19"/>
      <c r="J8" s="19"/>
      <c r="K8" s="27"/>
    </row>
    <row r="9" spans="1:16">
      <c r="A9" s="21"/>
      <c r="B9" s="19" t="str">
        <f>TEXT(Table478[[#This Row],[التاريخ ]],"mmmm")</f>
        <v>January</v>
      </c>
      <c r="C9" s="19"/>
      <c r="D9" s="19" t="e">
        <f>VLOOKUP(E:E,'قاعدة بيانات  '!K:L,2,0)</f>
        <v>#N/A</v>
      </c>
      <c r="E9" s="19"/>
      <c r="F9" s="19"/>
      <c r="G9" s="19"/>
      <c r="H9" s="19"/>
      <c r="I9" s="19"/>
      <c r="J9" s="19"/>
      <c r="K9" s="27"/>
    </row>
    <row r="10" spans="1:16">
      <c r="A10" s="21"/>
      <c r="B10" s="19" t="str">
        <f>TEXT(Table478[[#This Row],[التاريخ ]],"mmmm")</f>
        <v>January</v>
      </c>
      <c r="C10" s="19"/>
      <c r="D10" s="19" t="e">
        <f>VLOOKUP(E:E,'قاعدة بيانات  '!K:L,2,0)</f>
        <v>#N/A</v>
      </c>
      <c r="E10" s="19"/>
      <c r="F10" s="19"/>
      <c r="G10" s="19"/>
      <c r="H10" s="19"/>
      <c r="I10" s="19"/>
      <c r="J10" s="19"/>
      <c r="K10" s="27"/>
    </row>
    <row r="11" spans="1:16">
      <c r="A11" s="21"/>
      <c r="B11" s="19" t="str">
        <f>TEXT(Table478[[#This Row],[التاريخ ]],"mmmm")</f>
        <v>January</v>
      </c>
      <c r="C11" s="19"/>
      <c r="D11" s="19" t="e">
        <f>VLOOKUP(E:E,'قاعدة بيانات  '!K:L,2,0)</f>
        <v>#N/A</v>
      </c>
      <c r="E11" s="19"/>
      <c r="F11" s="19"/>
      <c r="G11" s="19"/>
      <c r="H11" s="19"/>
      <c r="I11" s="19"/>
      <c r="J11" s="19"/>
      <c r="K11" s="27"/>
    </row>
    <row r="12" spans="1:16">
      <c r="A12" s="21"/>
      <c r="B12" s="19" t="str">
        <f>TEXT(Table478[[#This Row],[التاريخ ]],"mmmm")</f>
        <v>January</v>
      </c>
      <c r="C12" s="19"/>
      <c r="D12" s="19" t="e">
        <f>VLOOKUP(E:E,'قاعدة بيانات  '!K:L,2,0)</f>
        <v>#N/A</v>
      </c>
      <c r="E12" s="19"/>
      <c r="F12" s="19"/>
      <c r="G12" s="19"/>
      <c r="H12" s="19"/>
      <c r="I12" s="19"/>
      <c r="J12" s="19"/>
      <c r="K12" s="27"/>
    </row>
    <row r="13" spans="1:16">
      <c r="A13" s="21"/>
      <c r="B13" s="19" t="str">
        <f>TEXT(Table478[[#This Row],[التاريخ ]],"mmmm")</f>
        <v>January</v>
      </c>
      <c r="C13" s="19"/>
      <c r="D13" s="19" t="e">
        <f>VLOOKUP(E:E,'قاعدة بيانات  '!K:L,2,0)</f>
        <v>#N/A</v>
      </c>
      <c r="E13" s="19"/>
      <c r="F13" s="19"/>
      <c r="G13" s="19"/>
      <c r="H13" s="19"/>
      <c r="I13" s="19"/>
      <c r="J13" s="19"/>
      <c r="K13" s="27"/>
    </row>
    <row r="14" spans="1:16">
      <c r="A14" s="21"/>
      <c r="B14" s="19" t="str">
        <f>TEXT(Table478[[#This Row],[التاريخ ]],"mmmm")</f>
        <v>January</v>
      </c>
      <c r="C14" s="19"/>
      <c r="D14" s="19" t="e">
        <f>VLOOKUP(E:E,'قاعدة بيانات  '!K:L,2,0)</f>
        <v>#N/A</v>
      </c>
      <c r="E14" s="19"/>
      <c r="F14" s="19"/>
      <c r="G14" s="19"/>
      <c r="H14" s="19"/>
      <c r="I14" s="19"/>
      <c r="J14" s="19"/>
      <c r="K14" s="27"/>
    </row>
    <row r="15" spans="1:16">
      <c r="A15" s="21"/>
      <c r="B15" s="19" t="str">
        <f>TEXT(Table478[[#This Row],[التاريخ ]],"mmmm")</f>
        <v>January</v>
      </c>
      <c r="C15" s="19"/>
      <c r="D15" s="19" t="e">
        <f>VLOOKUP(E:E,'قاعدة بيانات  '!K:L,2,0)</f>
        <v>#N/A</v>
      </c>
      <c r="E15" s="19"/>
      <c r="F15" s="19"/>
      <c r="G15" s="19"/>
      <c r="H15" s="19"/>
      <c r="I15" s="19"/>
      <c r="J15" s="19"/>
      <c r="K15" s="27"/>
    </row>
    <row r="16" spans="1:16">
      <c r="A16" s="21"/>
      <c r="B16" s="19" t="str">
        <f>TEXT(Table478[[#This Row],[التاريخ ]],"mmmm")</f>
        <v>January</v>
      </c>
      <c r="C16" s="19"/>
      <c r="D16" s="19" t="e">
        <f>VLOOKUP(E:E,'قاعدة بيانات  '!K:L,2,0)</f>
        <v>#N/A</v>
      </c>
      <c r="E16" s="19"/>
      <c r="F16" s="19"/>
      <c r="G16" s="19"/>
      <c r="H16" s="19"/>
      <c r="I16" s="19"/>
      <c r="J16" s="19"/>
      <c r="K16" s="27"/>
    </row>
    <row r="17" spans="1:11">
      <c r="A17" s="21"/>
      <c r="B17" s="19" t="str">
        <f>TEXT(Table478[[#This Row],[التاريخ ]],"mmmm")</f>
        <v>January</v>
      </c>
      <c r="C17" s="19"/>
      <c r="D17" s="19" t="e">
        <f>VLOOKUP(E:E,'قاعدة بيانات  '!K:L,2,0)</f>
        <v>#N/A</v>
      </c>
      <c r="E17" s="19"/>
      <c r="F17" s="19"/>
      <c r="G17" s="19"/>
      <c r="H17" s="19"/>
      <c r="I17" s="19"/>
      <c r="J17" s="19"/>
      <c r="K17" s="27"/>
    </row>
    <row r="18" spans="1:11">
      <c r="A18" s="22"/>
      <c r="B18" s="19" t="str">
        <f>TEXT(Table478[[#This Row],[التاريخ ]],"mmmm")</f>
        <v>January</v>
      </c>
      <c r="C18" s="23"/>
      <c r="D18" s="23" t="e">
        <f>VLOOKUP(E:E,'قاعدة بيانات  '!K:L,2,0)</f>
        <v>#N/A</v>
      </c>
      <c r="E18" s="23"/>
      <c r="F18" s="23"/>
      <c r="G18" s="23"/>
      <c r="H18" s="23"/>
      <c r="I18" s="23"/>
      <c r="J18" s="23"/>
      <c r="K18" s="28"/>
    </row>
  </sheetData>
  <pageMargins left="0.7" right="0.7" top="0.75" bottom="0.75" header="0.3" footer="0.3"/>
  <pageSetup paperSize="9" scale="44" orientation="portrait" r:id="rId2"/>
  <colBreaks count="1" manualBreakCount="1">
    <brk id="12" max="1048575" man="1"/>
  </colBreaks>
  <tableParts count="1">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F542-6894-4AF9-9C53-80824C5F716F}">
  <sheetPr codeName="Sheet15"/>
  <dimension ref="A1:K65"/>
  <sheetViews>
    <sheetView workbookViewId="0">
      <selection sqref="A1:D6"/>
    </sheetView>
  </sheetViews>
  <sheetFormatPr defaultRowHeight="15"/>
  <cols>
    <col min="1" max="1" width="11.85546875" style="118" bestFit="1" customWidth="1"/>
    <col min="2" max="2" width="16.28515625" style="104" customWidth="1"/>
    <col min="3" max="3" width="16" style="104" bestFit="1" customWidth="1"/>
    <col min="4" max="4" width="17.28515625" style="104" customWidth="1"/>
    <col min="5" max="5" width="16" style="104" bestFit="1" customWidth="1"/>
    <col min="6" max="6" width="16.42578125" bestFit="1" customWidth="1"/>
    <col min="7" max="7" width="6.28515625" customWidth="1"/>
    <col min="8" max="8" width="6.7109375" customWidth="1"/>
    <col min="9" max="9" width="16.42578125" style="99" bestFit="1" customWidth="1"/>
    <col min="10" max="10" width="16" style="99" bestFit="1" customWidth="1"/>
    <col min="11" max="11" width="12.28515625" style="100" bestFit="1" customWidth="1"/>
  </cols>
  <sheetData>
    <row r="1" spans="1:11">
      <c r="A1" s="407" t="s">
        <v>282</v>
      </c>
      <c r="B1" s="407"/>
      <c r="C1" s="407"/>
      <c r="D1" s="407"/>
      <c r="E1" s="96" t="s">
        <v>283</v>
      </c>
      <c r="F1" s="97">
        <f>B65</f>
        <v>86250</v>
      </c>
      <c r="G1" s="98">
        <f>F1/$F$5</f>
        <v>0.25</v>
      </c>
    </row>
    <row r="2" spans="1:11">
      <c r="A2" s="407"/>
      <c r="B2" s="407"/>
      <c r="C2" s="407"/>
      <c r="D2" s="407"/>
      <c r="E2" s="96" t="s">
        <v>284</v>
      </c>
      <c r="F2" s="97">
        <f>C65</f>
        <v>86250</v>
      </c>
      <c r="G2" s="98">
        <f>F2/$F$5</f>
        <v>0.25</v>
      </c>
    </row>
    <row r="3" spans="1:11">
      <c r="A3" s="407"/>
      <c r="B3" s="407"/>
      <c r="C3" s="407"/>
      <c r="D3" s="407"/>
      <c r="E3" s="96" t="s">
        <v>285</v>
      </c>
      <c r="F3" s="97">
        <f>D65</f>
        <v>86250</v>
      </c>
      <c r="G3" s="98">
        <f>F3/$F$5</f>
        <v>0.25</v>
      </c>
    </row>
    <row r="4" spans="1:11">
      <c r="A4" s="407"/>
      <c r="B4" s="407"/>
      <c r="C4" s="407"/>
      <c r="D4" s="407"/>
      <c r="E4" s="96" t="s">
        <v>286</v>
      </c>
      <c r="F4" s="97">
        <f>E65</f>
        <v>86250</v>
      </c>
      <c r="G4" s="98">
        <f>F4/$F$5</f>
        <v>0.25</v>
      </c>
    </row>
    <row r="5" spans="1:11" ht="20.25" thickBot="1">
      <c r="A5" s="407"/>
      <c r="B5" s="407"/>
      <c r="C5" s="407"/>
      <c r="D5" s="407"/>
      <c r="E5" s="101" t="s">
        <v>46</v>
      </c>
      <c r="F5" s="102">
        <f>SUM(F1:F4)</f>
        <v>345000</v>
      </c>
      <c r="G5" s="103"/>
    </row>
    <row r="6" spans="1:11" ht="15.75" thickTop="1">
      <c r="A6" s="408"/>
      <c r="B6" s="408"/>
      <c r="C6" s="408"/>
      <c r="D6" s="408"/>
      <c r="F6" s="80"/>
    </row>
    <row r="7" spans="1:11">
      <c r="A7" s="105" t="s">
        <v>0</v>
      </c>
      <c r="B7" s="106" t="s">
        <v>283</v>
      </c>
      <c r="C7" s="107" t="s">
        <v>284</v>
      </c>
      <c r="D7" s="106" t="s">
        <v>285</v>
      </c>
      <c r="E7" s="107" t="s">
        <v>286</v>
      </c>
      <c r="F7" s="108" t="s">
        <v>2</v>
      </c>
    </row>
    <row r="8" spans="1:11">
      <c r="A8" s="109">
        <v>43831</v>
      </c>
      <c r="B8" s="110">
        <v>2600</v>
      </c>
      <c r="C8" s="110"/>
      <c r="D8" s="110"/>
      <c r="E8" s="110"/>
      <c r="F8" s="111" t="s">
        <v>287</v>
      </c>
    </row>
    <row r="9" spans="1:11">
      <c r="A9" s="109" t="s">
        <v>288</v>
      </c>
      <c r="B9" s="110">
        <v>2000</v>
      </c>
      <c r="C9" s="110">
        <v>2000</v>
      </c>
      <c r="D9" s="110">
        <v>2000</v>
      </c>
      <c r="E9" s="110">
        <v>2000</v>
      </c>
      <c r="F9" s="111" t="s">
        <v>289</v>
      </c>
    </row>
    <row r="10" spans="1:11">
      <c r="A10" s="109" t="s">
        <v>288</v>
      </c>
      <c r="B10" s="110">
        <v>10000</v>
      </c>
      <c r="C10" s="110">
        <v>10000</v>
      </c>
      <c r="D10" s="110">
        <v>10000</v>
      </c>
      <c r="E10" s="110">
        <v>10000</v>
      </c>
      <c r="F10" s="111" t="s">
        <v>290</v>
      </c>
    </row>
    <row r="11" spans="1:11">
      <c r="A11" s="109" t="s">
        <v>288</v>
      </c>
      <c r="B11" s="110">
        <v>5000</v>
      </c>
      <c r="C11" s="110">
        <v>5000</v>
      </c>
      <c r="D11" s="110">
        <v>5000</v>
      </c>
      <c r="E11" s="110">
        <v>5000</v>
      </c>
      <c r="F11" s="111" t="s">
        <v>290</v>
      </c>
    </row>
    <row r="12" spans="1:11">
      <c r="A12" s="109" t="s">
        <v>288</v>
      </c>
      <c r="B12" s="110">
        <v>4000</v>
      </c>
      <c r="C12" s="110">
        <v>4000</v>
      </c>
      <c r="D12" s="110">
        <v>4000</v>
      </c>
      <c r="E12" s="110"/>
      <c r="F12" s="111" t="s">
        <v>290</v>
      </c>
    </row>
    <row r="13" spans="1:11">
      <c r="A13" s="109">
        <v>45231</v>
      </c>
      <c r="B13" s="110">
        <v>1800</v>
      </c>
      <c r="C13" s="110"/>
      <c r="D13" s="110"/>
      <c r="E13" s="110"/>
      <c r="F13" s="111" t="s">
        <v>291</v>
      </c>
    </row>
    <row r="14" spans="1:11">
      <c r="A14" s="109">
        <v>44898</v>
      </c>
      <c r="B14" s="110">
        <v>18200</v>
      </c>
      <c r="C14" s="110">
        <v>20000</v>
      </c>
      <c r="D14" s="110">
        <v>20000</v>
      </c>
      <c r="E14" s="110">
        <v>20000</v>
      </c>
      <c r="F14" s="111" t="s">
        <v>290</v>
      </c>
    </row>
    <row r="15" spans="1:11">
      <c r="A15" s="109" t="s">
        <v>292</v>
      </c>
      <c r="B15" s="110">
        <v>25000</v>
      </c>
      <c r="C15" s="110">
        <v>25000</v>
      </c>
      <c r="D15" s="110">
        <v>25000</v>
      </c>
      <c r="E15" s="110">
        <v>25000</v>
      </c>
      <c r="F15" s="111" t="s">
        <v>290</v>
      </c>
    </row>
    <row r="16" spans="1:11">
      <c r="A16" s="109" t="s">
        <v>293</v>
      </c>
      <c r="B16" s="110">
        <v>5000</v>
      </c>
      <c r="C16" s="110">
        <v>5000</v>
      </c>
      <c r="D16" s="110">
        <v>5000</v>
      </c>
      <c r="E16" s="110">
        <v>5000</v>
      </c>
      <c r="F16" s="111" t="s">
        <v>290</v>
      </c>
      <c r="I16" s="99">
        <f>SUM(Table215[[#This Row],[باسم صلاح ]:[علاء عوض ]])</f>
        <v>20000</v>
      </c>
      <c r="J16" s="99">
        <f>'[14]خزينة 2023'!C58+'[14]خزينة 2023'!C59+'[14]خزينة 2023'!C60+'[14]خزينة 2023'!C61</f>
        <v>20000</v>
      </c>
      <c r="K16" s="100">
        <f>J16-I16</f>
        <v>0</v>
      </c>
    </row>
    <row r="17" spans="1:11">
      <c r="A17" s="109">
        <v>44964</v>
      </c>
      <c r="B17" s="110">
        <v>20000</v>
      </c>
      <c r="C17" s="110">
        <v>20000</v>
      </c>
      <c r="D17" s="110">
        <v>20000</v>
      </c>
      <c r="E17" s="110">
        <v>20000</v>
      </c>
      <c r="F17" s="111" t="s">
        <v>290</v>
      </c>
      <c r="I17" s="99">
        <f>SUM(Table215[[#This Row],[باسم صلاح ]:[علاء عوض ]])</f>
        <v>80000</v>
      </c>
      <c r="J17" s="99">
        <f>'[14]خزينة 2023'!C78+'[14]خزينة 2023'!C79+'[14]خزينة 2023'!C80+'[14]خزينة 2023'!C81</f>
        <v>80000</v>
      </c>
      <c r="K17" s="100">
        <f t="shared" ref="K17:K25" si="0">J17-I17</f>
        <v>0</v>
      </c>
    </row>
    <row r="18" spans="1:11">
      <c r="A18" s="109" t="s">
        <v>294</v>
      </c>
      <c r="B18" s="110">
        <v>10000</v>
      </c>
      <c r="C18" s="110">
        <v>10000</v>
      </c>
      <c r="D18" s="110">
        <v>10000</v>
      </c>
      <c r="E18" s="110">
        <v>10000</v>
      </c>
      <c r="F18" s="111" t="s">
        <v>290</v>
      </c>
      <c r="I18" s="99">
        <f>SUM(Table215[[#This Row],[باسم صلاح ]:[علاء عوض ]])</f>
        <v>40000</v>
      </c>
      <c r="J18" s="99">
        <f>'[14]خزينة 2023'!C96+'[14]خزينة 2023'!C97+'[14]خزينة 2023'!C98+'[14]خزينة 2023'!C99</f>
        <v>40000</v>
      </c>
      <c r="K18" s="100">
        <f t="shared" si="0"/>
        <v>0</v>
      </c>
    </row>
    <row r="19" spans="1:11">
      <c r="A19" s="109" t="s">
        <v>295</v>
      </c>
      <c r="B19" s="110">
        <v>10000</v>
      </c>
      <c r="C19" s="110">
        <v>10000</v>
      </c>
      <c r="D19" s="110">
        <v>10000</v>
      </c>
      <c r="E19" s="110">
        <v>10000</v>
      </c>
      <c r="F19" s="111" t="s">
        <v>290</v>
      </c>
      <c r="I19" s="99">
        <f>SUM(Table215[[#This Row],[باسم صلاح ]:[علاء عوض ]])</f>
        <v>40000</v>
      </c>
      <c r="J19" s="99">
        <f>'[14]خزينة 2023'!C117+'[14]خزينة 2023'!C132+'[14]خزينة 2023'!C133+'[14]خزينة 2023'!C136+'[14]خزينة 2023'!C137+'[14]خزينة 2023'!C146</f>
        <v>40000</v>
      </c>
      <c r="K19" s="100">
        <f t="shared" si="0"/>
        <v>0</v>
      </c>
    </row>
    <row r="20" spans="1:11">
      <c r="A20" s="109">
        <v>44996</v>
      </c>
      <c r="B20" s="110">
        <v>5000</v>
      </c>
      <c r="C20" s="110">
        <v>5000</v>
      </c>
      <c r="D20" s="110">
        <v>5000</v>
      </c>
      <c r="E20" s="110">
        <v>5000</v>
      </c>
      <c r="F20" s="111" t="s">
        <v>290</v>
      </c>
      <c r="I20" s="99">
        <f>SUM(Table215[[#This Row],[باسم صلاح ]:[علاء عوض ]])</f>
        <v>20000</v>
      </c>
      <c r="J20" s="99">
        <f>'[14]خزينة 2023'!C157+'[14]خزينة 2023'!C158+'[14]خزينة 2023'!C159+'[14]خزينة 2023'!C160</f>
        <v>20000</v>
      </c>
      <c r="K20" s="100">
        <f t="shared" si="0"/>
        <v>0</v>
      </c>
    </row>
    <row r="21" spans="1:11">
      <c r="A21" s="109" t="s">
        <v>296</v>
      </c>
      <c r="B21" s="110">
        <v>10000</v>
      </c>
      <c r="C21" s="110">
        <v>10000</v>
      </c>
      <c r="D21" s="110">
        <v>10000</v>
      </c>
      <c r="E21" s="110">
        <v>10000</v>
      </c>
      <c r="F21" s="111" t="s">
        <v>290</v>
      </c>
      <c r="I21" s="99">
        <f>SUM(Table215[[#This Row],[باسم صلاح ]:[علاء عوض ]])</f>
        <v>40000</v>
      </c>
      <c r="J21" s="99">
        <f>'[14]خزينة 2023'!C177+'[14]خزينة 2023'!C179+'[14]خزينة 2023'!C180+'[14]خزينة 2023'!C181</f>
        <v>40000</v>
      </c>
      <c r="K21" s="100">
        <f t="shared" si="0"/>
        <v>0</v>
      </c>
    </row>
    <row r="22" spans="1:11">
      <c r="A22" s="109" t="s">
        <v>297</v>
      </c>
      <c r="B22" s="110">
        <v>25000</v>
      </c>
      <c r="C22" s="110">
        <v>25000</v>
      </c>
      <c r="D22" s="110">
        <v>25000</v>
      </c>
      <c r="E22" s="110">
        <v>25000</v>
      </c>
      <c r="F22" s="111" t="s">
        <v>290</v>
      </c>
      <c r="I22" s="99">
        <f>SUM(Table215[[#This Row],[باسم صلاح ]:[علاء عوض ]])</f>
        <v>100000</v>
      </c>
      <c r="J22" s="99">
        <f>'[14]خزينة 2023'!C223+'[14]خزينة 2023'!C207+'[14]خزينة 2023'!C206+'[14]خزينة 2023'!C205+'[14]خزينة 2023'!C202+'[14]خزينة 2023'!C201</f>
        <v>50000</v>
      </c>
      <c r="K22" s="100">
        <f t="shared" si="0"/>
        <v>-50000</v>
      </c>
    </row>
    <row r="23" spans="1:11">
      <c r="A23" s="109">
        <v>45021</v>
      </c>
      <c r="B23" s="110">
        <v>0</v>
      </c>
      <c r="C23" s="110">
        <v>0</v>
      </c>
      <c r="D23" s="110">
        <v>0</v>
      </c>
      <c r="E23" s="110">
        <v>4000</v>
      </c>
      <c r="F23" s="111" t="s">
        <v>290</v>
      </c>
      <c r="I23" s="99">
        <f>SUM(Table215[[#This Row],[باسم صلاح ]:[علاء عوض ]])</f>
        <v>4000</v>
      </c>
      <c r="J23" s="99">
        <f>'[14]خزينة 2023'!C236</f>
        <v>0</v>
      </c>
      <c r="K23" s="100">
        <f t="shared" si="0"/>
        <v>-4000</v>
      </c>
    </row>
    <row r="24" spans="1:11">
      <c r="A24" s="109">
        <v>45045</v>
      </c>
      <c r="B24" s="110"/>
      <c r="C24" s="110"/>
      <c r="D24" s="110">
        <v>5000</v>
      </c>
      <c r="E24" s="110">
        <v>5000</v>
      </c>
      <c r="F24" s="111" t="s">
        <v>290</v>
      </c>
      <c r="I24" s="99">
        <f>SUM(Table215[[#This Row],[باسم صلاح ]:[علاء عوض ]])</f>
        <v>10000</v>
      </c>
      <c r="K24" s="100">
        <f t="shared" si="0"/>
        <v>-10000</v>
      </c>
    </row>
    <row r="25" spans="1:11">
      <c r="A25" s="109">
        <v>45046</v>
      </c>
      <c r="B25" s="110"/>
      <c r="C25" s="110"/>
      <c r="D25" s="110"/>
      <c r="E25" s="110">
        <v>10000</v>
      </c>
      <c r="F25" s="111" t="s">
        <v>290</v>
      </c>
      <c r="I25" s="99">
        <f>SUM(Table215[[#This Row],[باسم صلاح ]:[علاء عوض ]])</f>
        <v>10000</v>
      </c>
      <c r="K25" s="100">
        <f t="shared" si="0"/>
        <v>-10000</v>
      </c>
    </row>
    <row r="26" spans="1:11">
      <c r="A26" s="109">
        <v>45047</v>
      </c>
      <c r="B26" s="110">
        <v>5000</v>
      </c>
      <c r="C26" s="110">
        <v>5000</v>
      </c>
      <c r="D26" s="110"/>
      <c r="E26" s="110">
        <v>5000</v>
      </c>
      <c r="F26" s="111" t="s">
        <v>290</v>
      </c>
    </row>
    <row r="27" spans="1:11">
      <c r="A27" s="109">
        <v>45048</v>
      </c>
      <c r="B27" s="110"/>
      <c r="C27" s="110">
        <v>15000</v>
      </c>
      <c r="D27" s="110">
        <v>10000</v>
      </c>
      <c r="E27" s="110"/>
      <c r="F27" s="111" t="s">
        <v>290</v>
      </c>
    </row>
    <row r="28" spans="1:11">
      <c r="A28" s="109">
        <v>45052</v>
      </c>
      <c r="B28" s="110">
        <v>17750</v>
      </c>
      <c r="C28" s="110"/>
      <c r="D28" s="110">
        <v>5000</v>
      </c>
      <c r="E28" s="110"/>
      <c r="F28" s="111" t="s">
        <v>290</v>
      </c>
    </row>
    <row r="29" spans="1:11">
      <c r="A29" s="109">
        <v>45056</v>
      </c>
      <c r="B29" s="110"/>
      <c r="C29" s="110">
        <v>2750</v>
      </c>
      <c r="D29" s="110"/>
      <c r="E29" s="110"/>
      <c r="F29" s="111" t="s">
        <v>290</v>
      </c>
    </row>
    <row r="30" spans="1:11">
      <c r="A30" s="109">
        <v>45073</v>
      </c>
      <c r="B30" s="110"/>
      <c r="C30" s="110"/>
      <c r="D30" s="110">
        <v>2750</v>
      </c>
      <c r="E30" s="110">
        <v>2750</v>
      </c>
      <c r="F30" s="111" t="s">
        <v>290</v>
      </c>
    </row>
    <row r="31" spans="1:11">
      <c r="A31" s="109">
        <v>45075</v>
      </c>
      <c r="B31" s="110">
        <v>19000</v>
      </c>
      <c r="C31" s="110">
        <v>20000</v>
      </c>
      <c r="D31" s="110">
        <v>15000</v>
      </c>
      <c r="E31" s="110">
        <v>20000</v>
      </c>
      <c r="F31" s="111" t="s">
        <v>290</v>
      </c>
    </row>
    <row r="32" spans="1:11">
      <c r="A32" s="109">
        <v>45082</v>
      </c>
      <c r="B32" s="110"/>
      <c r="C32" s="110"/>
      <c r="D32" s="110">
        <v>5000</v>
      </c>
      <c r="E32" s="110"/>
      <c r="F32" s="111" t="s">
        <v>290</v>
      </c>
    </row>
    <row r="33" spans="1:6">
      <c r="A33" s="109">
        <v>45115</v>
      </c>
      <c r="B33" s="110">
        <v>-1600</v>
      </c>
      <c r="C33" s="110"/>
      <c r="D33" s="110"/>
      <c r="E33" s="110"/>
      <c r="F33" s="111" t="s">
        <v>290</v>
      </c>
    </row>
    <row r="34" spans="1:6">
      <c r="A34" s="109">
        <v>45185</v>
      </c>
      <c r="B34" s="110">
        <v>-75000</v>
      </c>
      <c r="C34" s="110">
        <v>-75000</v>
      </c>
      <c r="D34" s="110">
        <v>-75000</v>
      </c>
      <c r="E34" s="110">
        <v>-75000</v>
      </c>
      <c r="F34" s="111" t="s">
        <v>290</v>
      </c>
    </row>
    <row r="35" spans="1:6">
      <c r="A35" s="109">
        <v>45229</v>
      </c>
      <c r="B35" s="110">
        <v>55000</v>
      </c>
      <c r="C35" s="110">
        <v>55000</v>
      </c>
      <c r="D35" s="110">
        <v>55000</v>
      </c>
      <c r="E35" s="110">
        <v>55000</v>
      </c>
      <c r="F35" s="111" t="s">
        <v>290</v>
      </c>
    </row>
    <row r="36" spans="1:6">
      <c r="A36" s="109">
        <v>45305</v>
      </c>
      <c r="B36" s="110">
        <v>-50000</v>
      </c>
      <c r="C36" s="110">
        <v>-50000</v>
      </c>
      <c r="D36" s="110">
        <v>-50000</v>
      </c>
      <c r="E36" s="110">
        <v>-50000</v>
      </c>
      <c r="F36" s="111" t="s">
        <v>290</v>
      </c>
    </row>
    <row r="37" spans="1:6">
      <c r="A37" s="109">
        <v>45321</v>
      </c>
      <c r="B37" s="110">
        <v>10000</v>
      </c>
      <c r="C37" s="110">
        <v>10000</v>
      </c>
      <c r="D37" s="110">
        <v>10000</v>
      </c>
      <c r="E37" s="110">
        <v>10000</v>
      </c>
      <c r="F37" s="111" t="s">
        <v>290</v>
      </c>
    </row>
    <row r="38" spans="1:6">
      <c r="A38" s="109">
        <v>45326</v>
      </c>
      <c r="B38" s="110">
        <v>-10000</v>
      </c>
      <c r="C38" s="110">
        <v>-10000</v>
      </c>
      <c r="D38" s="110">
        <v>-10000</v>
      </c>
      <c r="E38" s="110">
        <v>-10000</v>
      </c>
      <c r="F38" s="111" t="s">
        <v>290</v>
      </c>
    </row>
    <row r="39" spans="1:6">
      <c r="A39" s="109">
        <v>45382</v>
      </c>
      <c r="B39" s="110">
        <v>22500</v>
      </c>
      <c r="C39" s="110">
        <v>22500</v>
      </c>
      <c r="D39" s="110">
        <v>22500</v>
      </c>
      <c r="E39" s="110">
        <v>22500</v>
      </c>
      <c r="F39" s="111" t="s">
        <v>290</v>
      </c>
    </row>
    <row r="40" spans="1:6">
      <c r="A40" s="109">
        <v>45383</v>
      </c>
      <c r="B40" s="110">
        <v>15000</v>
      </c>
      <c r="C40" s="110">
        <v>15000</v>
      </c>
      <c r="D40" s="110">
        <v>15000</v>
      </c>
      <c r="E40" s="110">
        <v>15000</v>
      </c>
      <c r="F40" s="111" t="s">
        <v>290</v>
      </c>
    </row>
    <row r="41" spans="1:6">
      <c r="A41" s="109">
        <v>45384</v>
      </c>
      <c r="B41" s="110">
        <v>20000</v>
      </c>
      <c r="C41" s="110">
        <v>20000</v>
      </c>
      <c r="D41" s="110">
        <v>20000</v>
      </c>
      <c r="E41" s="110">
        <v>20000</v>
      </c>
      <c r="F41" s="111" t="s">
        <v>290</v>
      </c>
    </row>
    <row r="42" spans="1:6">
      <c r="A42" s="109">
        <v>45390</v>
      </c>
      <c r="B42" s="110">
        <v>5000</v>
      </c>
      <c r="C42" s="110"/>
      <c r="D42" s="110">
        <v>5000</v>
      </c>
      <c r="E42" s="110"/>
      <c r="F42" s="111" t="s">
        <v>290</v>
      </c>
    </row>
    <row r="43" spans="1:6">
      <c r="A43" s="109">
        <v>45397</v>
      </c>
      <c r="B43" s="110"/>
      <c r="C43" s="110">
        <v>5000</v>
      </c>
      <c r="D43" s="110"/>
      <c r="E43" s="110"/>
      <c r="F43" s="111" t="s">
        <v>290</v>
      </c>
    </row>
    <row r="44" spans="1:6">
      <c r="A44" s="109">
        <v>45398</v>
      </c>
      <c r="B44" s="110">
        <v>-100000</v>
      </c>
      <c r="C44" s="110">
        <v>-100000</v>
      </c>
      <c r="D44" s="110">
        <v>-100000</v>
      </c>
      <c r="E44" s="110">
        <v>-100000</v>
      </c>
      <c r="F44" s="111" t="s">
        <v>290</v>
      </c>
    </row>
    <row r="45" spans="1:6">
      <c r="A45" s="109">
        <v>45403</v>
      </c>
      <c r="B45" s="110"/>
      <c r="C45" s="110"/>
      <c r="D45" s="110"/>
      <c r="E45" s="110">
        <v>5000</v>
      </c>
      <c r="F45" s="111" t="s">
        <v>290</v>
      </c>
    </row>
    <row r="46" spans="1:6">
      <c r="A46" s="109"/>
      <c r="B46" s="110"/>
      <c r="C46" s="110"/>
      <c r="D46" s="110"/>
      <c r="E46" s="110"/>
      <c r="F46" s="111"/>
    </row>
    <row r="47" spans="1:6">
      <c r="A47" s="109"/>
      <c r="B47" s="110"/>
      <c r="C47" s="110"/>
      <c r="D47" s="110"/>
      <c r="E47" s="110"/>
      <c r="F47" s="111"/>
    </row>
    <row r="48" spans="1:6">
      <c r="A48" s="109"/>
      <c r="B48" s="110"/>
      <c r="C48" s="110"/>
      <c r="D48" s="110"/>
      <c r="E48" s="110"/>
      <c r="F48" s="111"/>
    </row>
    <row r="49" spans="1:6">
      <c r="A49" s="109"/>
      <c r="B49" s="110"/>
      <c r="C49" s="110"/>
      <c r="D49" s="110"/>
      <c r="E49" s="110"/>
      <c r="F49" s="111"/>
    </row>
    <row r="50" spans="1:6">
      <c r="A50" s="109"/>
      <c r="B50" s="110"/>
      <c r="C50" s="110"/>
      <c r="D50" s="110"/>
      <c r="E50" s="110"/>
      <c r="F50" s="111"/>
    </row>
    <row r="51" spans="1:6">
      <c r="A51" s="109"/>
      <c r="B51" s="110"/>
      <c r="C51" s="110"/>
      <c r="D51" s="110"/>
      <c r="E51" s="110"/>
      <c r="F51" s="111"/>
    </row>
    <row r="52" spans="1:6">
      <c r="A52" s="109"/>
      <c r="B52" s="110"/>
      <c r="C52" s="110"/>
      <c r="D52" s="110"/>
      <c r="E52" s="110"/>
      <c r="F52" s="111"/>
    </row>
    <row r="53" spans="1:6">
      <c r="A53" s="109"/>
      <c r="B53" s="110"/>
      <c r="C53" s="110"/>
      <c r="D53" s="110"/>
      <c r="E53" s="110"/>
      <c r="F53" s="111"/>
    </row>
    <row r="54" spans="1:6">
      <c r="A54" s="109"/>
      <c r="B54" s="110"/>
      <c r="C54" s="110"/>
      <c r="D54" s="110"/>
      <c r="E54" s="110"/>
      <c r="F54" s="111"/>
    </row>
    <row r="55" spans="1:6">
      <c r="A55" s="109"/>
      <c r="B55" s="110"/>
      <c r="C55" s="110"/>
      <c r="D55" s="110"/>
      <c r="E55" s="110"/>
      <c r="F55" s="111"/>
    </row>
    <row r="56" spans="1:6">
      <c r="A56" s="109"/>
      <c r="B56" s="110"/>
      <c r="C56" s="110"/>
      <c r="D56" s="110"/>
      <c r="E56" s="110"/>
      <c r="F56" s="111"/>
    </row>
    <row r="57" spans="1:6">
      <c r="A57" s="109"/>
      <c r="B57" s="110"/>
      <c r="C57" s="110"/>
      <c r="D57" s="110"/>
      <c r="E57" s="110"/>
      <c r="F57" s="111"/>
    </row>
    <row r="58" spans="1:6">
      <c r="A58" s="109"/>
      <c r="B58" s="110"/>
      <c r="C58" s="110"/>
      <c r="D58" s="110"/>
      <c r="E58" s="110"/>
      <c r="F58" s="111"/>
    </row>
    <row r="59" spans="1:6">
      <c r="A59" s="109"/>
      <c r="B59" s="110"/>
      <c r="C59" s="110"/>
      <c r="D59" s="110"/>
      <c r="E59" s="110"/>
      <c r="F59" s="111"/>
    </row>
    <row r="60" spans="1:6">
      <c r="A60" s="109"/>
      <c r="B60" s="110"/>
      <c r="C60" s="110"/>
      <c r="D60" s="110"/>
      <c r="E60" s="110"/>
      <c r="F60" s="111"/>
    </row>
    <row r="61" spans="1:6">
      <c r="A61" s="109"/>
      <c r="B61" s="110"/>
      <c r="C61" s="110"/>
      <c r="D61" s="110"/>
      <c r="E61" s="110"/>
      <c r="F61" s="111"/>
    </row>
    <row r="62" spans="1:6">
      <c r="A62" s="109"/>
      <c r="B62" s="110"/>
      <c r="C62" s="110"/>
      <c r="D62" s="110"/>
      <c r="E62" s="110"/>
      <c r="F62" s="111"/>
    </row>
    <row r="63" spans="1:6">
      <c r="A63" s="109"/>
      <c r="B63" s="110"/>
      <c r="C63" s="110"/>
      <c r="D63" s="110"/>
      <c r="E63" s="110"/>
      <c r="F63" s="111"/>
    </row>
    <row r="64" spans="1:6">
      <c r="A64" s="112"/>
      <c r="B64" s="113"/>
      <c r="C64" s="113"/>
      <c r="D64" s="113"/>
      <c r="E64" s="113"/>
      <c r="F64" s="114"/>
    </row>
    <row r="65" spans="1:6" ht="18.75">
      <c r="A65" s="115" t="s">
        <v>298</v>
      </c>
      <c r="B65" s="116">
        <f>SUM(B8:B64)</f>
        <v>86250</v>
      </c>
      <c r="C65" s="116">
        <f>SUM(C8:C64)</f>
        <v>86250</v>
      </c>
      <c r="D65" s="116">
        <f>SUM(D8:D64)</f>
        <v>86250</v>
      </c>
      <c r="E65" s="116">
        <f>SUM(E8:E64)</f>
        <v>86250</v>
      </c>
      <c r="F65" s="117"/>
    </row>
  </sheetData>
  <mergeCells count="1">
    <mergeCell ref="A1:D6"/>
  </mergeCells>
  <pageMargins left="0.24" right="0.24" top="0.75" bottom="0.75" header="0.3" footer="0.3"/>
  <pageSetup paperSize="9" scale="9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14</vt:i4>
      </vt:variant>
      <vt:variant>
        <vt:lpstr>النطاقات المسماة</vt:lpstr>
      </vt:variant>
      <vt:variant>
        <vt:i4>11</vt:i4>
      </vt:variant>
    </vt:vector>
  </HeadingPairs>
  <TitlesOfParts>
    <vt:vector size="25" baseType="lpstr">
      <vt:lpstr>قاعدة بيانات  </vt:lpstr>
      <vt:lpstr>تحليلات 2024</vt:lpstr>
      <vt:lpstr>Report </vt:lpstr>
      <vt:lpstr>الايرادات </vt:lpstr>
      <vt:lpstr>الخزينه </vt:lpstr>
      <vt:lpstr>بنك مصر  </vt:lpstr>
      <vt:lpstr>خزينه السلف </vt:lpstr>
      <vt:lpstr>العهد </vt:lpstr>
      <vt:lpstr>بنك كريدي </vt:lpstr>
      <vt:lpstr>الاهلى الكويتى</vt:lpstr>
      <vt:lpstr>ايجي بنك</vt:lpstr>
      <vt:lpstr>بنك مصر  المنصورة</vt:lpstr>
      <vt:lpstr>فوري </vt:lpstr>
      <vt:lpstr>اجمالى راس المال</vt:lpstr>
      <vt:lpstr>'Report '!Print_Area</vt:lpstr>
      <vt:lpstr>'اجمالى راس المال'!Print_Area</vt:lpstr>
      <vt:lpstr>'الاهلى الكويتى'!Print_Area</vt:lpstr>
      <vt:lpstr>'الايرادات '!Print_Area</vt:lpstr>
      <vt:lpstr>'الخزينه '!Print_Area</vt:lpstr>
      <vt:lpstr>'العهد '!Print_Area</vt:lpstr>
      <vt:lpstr>'بنك كريدي '!Print_Area</vt:lpstr>
      <vt:lpstr>'بنك مصر  '!Print_Area</vt:lpstr>
      <vt:lpstr>'بنك مصر  المنصورة'!Print_Area</vt:lpstr>
      <vt:lpstr>'خزينه السلف '!Print_Area</vt:lpstr>
      <vt:lpstr>'قاعدة بيانات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Finance</dc:creator>
  <cp:lastModifiedBy>201126923449</cp:lastModifiedBy>
  <cp:lastPrinted>2025-12-08T10:06:50Z</cp:lastPrinted>
  <dcterms:created xsi:type="dcterms:W3CDTF">2015-06-05T18:17:20Z</dcterms:created>
  <dcterms:modified xsi:type="dcterms:W3CDTF">2025-12-15T00:28:33Z</dcterms:modified>
</cp:coreProperties>
</file>